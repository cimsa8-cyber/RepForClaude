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NSACCIONES" sheetId="2" state="visible" r:id="rId2"/>
    <sheet name="CONFIG" sheetId="3" state="visible" r:id="rId3"/>
    <sheet name="CxP" sheetId="4" state="visible" r:id="rId4"/>
    <sheet name="CxC" sheetId="5" state="visible" r:id="rId5"/>
    <sheet name="FLUJO_CAJA" sheetId="6" state="visible" r:id="rId6"/>
    <sheet name="IVA_CONTROL" sheetId="7" state="visible" r:id="rId7"/>
    <sheet name="TARJETAS" sheetId="8" state="visible" r:id="rId8"/>
    <sheet name="CONCILIACION" sheetId="9" state="visible" r:id="rId9"/>
    <sheet name="PERSONAL_VS_NEGOCIO" sheetId="10" state="visible" r:id="rId10"/>
    <sheet name="CATEGORIAS" sheetId="11" state="visible" r:id="rId11"/>
    <sheet name="PROYECTOS" sheetId="12" state="visible" r:id="rId12"/>
    <sheet name="PROVEEDORES" sheetId="13" state="visible" r:id="rId13"/>
    <sheet name="CLIENTES" sheetId="14" state="visible" r:id="rId14"/>
    <sheet name="AUDITORIA" sheetId="15" state="visible" r:id="rId15"/>
    <sheet name="CIERRE_MENSUAL" sheetId="16" state="visible" r:id="rId16"/>
    <sheet name="HISTORICO_TC" sheetId="17" state="visible" r:id="rId17"/>
    <sheet name="ASIENTOS_AJUSTE" sheetId="18" state="visible" r:id="rId18"/>
    <sheet name="BALANCE_GENERAL" sheetId="19" state="visible" r:id="rId19"/>
    <sheet name="ESTADO_RESULTADOS" sheetId="20" state="visible" r:id="rId20"/>
    <sheet name="INSTRUCCIONES" sheetId="21" state="visible" r:id="rId2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₡#,##0.00"/>
    <numFmt numFmtId="166" formatCode="0.0&quot;%&quot;"/>
    <numFmt numFmtId="167" formatCode="0.0"/>
    <numFmt numFmtId="168" formatCode="yyyy-mm-dd"/>
    <numFmt numFmtId="169" formatCode="DD/MM/YY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0000"/>
      <sz val="10"/>
    </font>
    <font>
      <b val="1"/>
    </font>
    <font>
      <b val="1"/>
      <sz val="12"/>
    </font>
    <font>
      <b val="1"/>
      <color rgb="00FFFFFF"/>
    </font>
    <font>
      <sz val="10"/>
    </font>
    <font>
      <b val="1"/>
      <color rgb="00FFFFFF"/>
      <sz val="12"/>
    </font>
    <font>
      <i val="1"/>
      <color rgb="00FF0000"/>
    </font>
    <font>
      <i val="1"/>
      <color rgb="00666666"/>
    </font>
    <font>
      <b val="1"/>
      <sz val="11"/>
    </font>
    <font>
      <b val="1"/>
      <color rgb="00FF0000"/>
    </font>
    <font>
      <b val="1"/>
      <color rgb="00FFFFFF"/>
      <sz val="14"/>
    </font>
    <font>
      <b val="1"/>
      <color rgb="00FFFFFF"/>
      <sz val="11"/>
    </font>
  </fonts>
  <fills count="28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5252"/>
        <bgColor rgb="00FF5252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388E3C"/>
        <bgColor rgb="00388E3C"/>
      </patternFill>
    </fill>
    <fill>
      <patternFill patternType="solid">
        <fgColor rgb="00607D8B"/>
        <bgColor rgb="00607D8B"/>
      </patternFill>
    </fill>
    <fill>
      <patternFill patternType="solid">
        <fgColor rgb="00D32F2F"/>
        <bgColor rgb="00D32F2F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6600"/>
        <bgColor rgb="00FF6600"/>
      </patternFill>
    </fill>
    <fill>
      <patternFill patternType="solid">
        <fgColor rgb="00BDBDBD"/>
        <bgColor rgb="00BDBDBD"/>
      </patternFill>
    </fill>
    <fill>
      <patternFill patternType="solid">
        <fgColor rgb="00FFFF00"/>
        <bgColor rgb="00FFFF00"/>
      </patternFill>
    </fill>
    <fill>
      <patternFill patternType="solid">
        <fgColor rgb="00FFEB3B"/>
        <bgColor rgb="00FFEB3B"/>
      </patternFill>
    </fill>
    <fill>
      <patternFill patternType="solid">
        <fgColor rgb="00E65100"/>
        <bgColor rgb="00E65100"/>
      </patternFill>
    </fill>
    <fill>
      <patternFill patternType="solid">
        <fgColor rgb="001976D2"/>
        <bgColor rgb="001976D2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0D47A1"/>
        <bgColor rgb="000D47A1"/>
      </patternFill>
    </fill>
    <fill>
      <patternFill patternType="solid">
        <fgColor rgb="00E0E0E0"/>
        <bgColor rgb="00E0E0E0"/>
      </patternFill>
    </fill>
    <fill>
      <patternFill patternType="solid">
        <fgColor rgb="00BBDEFB"/>
        <bgColor rgb="00BBDEFB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1B5E20"/>
        <bgColor rgb="001B5E20"/>
      </patternFill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166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2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169" fontId="0" fillId="0" borderId="0" pivotButton="0" quotePrefix="0" xfId="0"/>
    <xf numFmtId="4" fontId="0" fillId="0" borderId="0" pivotButton="0" quotePrefix="0" xfId="0"/>
    <xf numFmtId="0" fontId="1" fillId="1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14" borderId="0" pivotButton="0" quotePrefix="0" xfId="0"/>
    <xf numFmtId="0" fontId="6" fillId="15" borderId="0" pivotButton="0" quotePrefix="0" xfId="0"/>
    <xf numFmtId="0" fontId="7" fillId="16" borderId="0" pivotButton="0" quotePrefix="0" xfId="0"/>
    <xf numFmtId="0" fontId="1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/>
    </xf>
    <xf numFmtId="0" fontId="9" fillId="0" borderId="0" pivotButton="0" quotePrefix="0" xfId="0"/>
    <xf numFmtId="0" fontId="10" fillId="18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6" fillId="14" borderId="0" applyAlignment="1" pivotButton="0" quotePrefix="0" xfId="0">
      <alignment horizontal="center"/>
    </xf>
    <xf numFmtId="0" fontId="1" fillId="19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6" fillId="14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/>
    </xf>
    <xf numFmtId="0" fontId="13" fillId="22" borderId="0" pivotButton="0" quotePrefix="0" xfId="0"/>
    <xf numFmtId="164" fontId="6" fillId="0" borderId="0" pivotButton="0" quotePrefix="0" xfId="0"/>
    <xf numFmtId="164" fontId="7" fillId="23" borderId="0" pivotButton="0" quotePrefix="0" xfId="0"/>
    <xf numFmtId="164" fontId="7" fillId="24" borderId="0" pivotButton="0" quotePrefix="0" xfId="0"/>
    <xf numFmtId="164" fontId="7" fillId="25" borderId="0" pivotButton="0" quotePrefix="0" xfId="0"/>
    <xf numFmtId="164" fontId="14" fillId="0" borderId="0" pivotButton="0" quotePrefix="0" xfId="0"/>
    <xf numFmtId="0" fontId="1" fillId="26" borderId="0" applyAlignment="1" pivotButton="0" quotePrefix="0" xfId="0">
      <alignment horizontal="center" vertical="center"/>
    </xf>
    <xf numFmtId="164" fontId="6" fillId="23" borderId="0" pivotButton="0" quotePrefix="0" xfId="0"/>
    <xf numFmtId="164" fontId="7" fillId="0" borderId="0" pivotButton="0" quotePrefix="0" xfId="0"/>
    <xf numFmtId="164" fontId="15" fillId="4" borderId="0" pivotButton="0" quotePrefix="0" xfId="0"/>
    <xf numFmtId="0" fontId="1" fillId="27" borderId="0" applyAlignment="1" pivotButton="0" quotePrefix="0" xfId="0">
      <alignment horizontal="center" vertical="center"/>
    </xf>
    <xf numFmtId="0" fontId="7" fillId="22" borderId="0" pivotButton="0" quotePrefix="0" xfId="0"/>
    <xf numFmtId="0" fontId="16" fillId="16" borderId="0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DASHBOARD FINANCIERO - AlvaroVelasco Net SRL</t>
        </is>
      </c>
    </row>
    <row r="2">
      <c r="A2" s="2" t="inlineStr">
        <is>
          <t>Última actualización: 17/11/2025 00:00</t>
        </is>
      </c>
    </row>
    <row r="4" ht="25" customHeight="1">
      <c r="A4" s="3" t="inlineStr">
        <is>
          <t>CUENTAS POR PAGAR (CxP)</t>
        </is>
      </c>
    </row>
    <row r="5">
      <c r="A5" t="inlineStr">
        <is>
          <t>Total CxP USD:</t>
        </is>
      </c>
      <c r="B5" s="4">
        <f>SUMIF(CxP!D3:D1000,"USD",CxP!H3:H1000)</f>
        <v/>
      </c>
    </row>
    <row r="6">
      <c r="A6" t="inlineStr">
        <is>
          <t>Total CxP CRC:</t>
        </is>
      </c>
      <c r="B6" s="5">
        <f>SUMIF(CxP!D3:D1000,"CRC",CxP!C3:C1000)</f>
        <v/>
      </c>
    </row>
    <row r="7">
      <c r="A7" t="inlineStr">
        <is>
          <t>Facturas vencidas:</t>
        </is>
      </c>
      <c r="B7" s="6">
        <f>COUNTIF(CxP!G3:G1000,"&gt;0")</f>
        <v/>
      </c>
    </row>
    <row r="8">
      <c r="A8" t="inlineStr">
        <is>
          <t>Promedio días pago:</t>
        </is>
      </c>
      <c r="B8" s="6">
        <f>AVERAGE(CxP!G3:G1000)</f>
        <v/>
      </c>
    </row>
    <row r="10" ht="25" customHeight="1">
      <c r="A10" s="7" t="inlineStr">
        <is>
          <t>CUENTAS POR COBRAR (CxC)</t>
        </is>
      </c>
    </row>
    <row r="11">
      <c r="A11" t="inlineStr">
        <is>
          <t>Total CxC USD:</t>
        </is>
      </c>
      <c r="B11" s="4">
        <f>SUMIF(CxC!D3:D1000,"USD",CxC!H3:H1000)</f>
        <v/>
      </c>
    </row>
    <row r="12">
      <c r="A12" t="inlineStr">
        <is>
          <t>Total CxC CRC:</t>
        </is>
      </c>
      <c r="B12" s="5">
        <f>SUMIF(CxC!D3:D1000,"CRC",CxC!C3:C1000)</f>
        <v/>
      </c>
    </row>
    <row r="13">
      <c r="A13" t="inlineStr">
        <is>
          <t>Facturas &gt;60 días:</t>
        </is>
      </c>
      <c r="B13" s="6">
        <f>COUNTIF(CxC!G3:G1000,"&gt;60")</f>
        <v/>
      </c>
    </row>
    <row r="14">
      <c r="A14" t="inlineStr">
        <is>
          <t>Promedio días cobro:</t>
        </is>
      </c>
      <c r="B14" s="6">
        <f>AVERAGE(CxC!G3:G1000)</f>
        <v/>
      </c>
    </row>
    <row r="15">
      <c r="A15" t="inlineStr">
        <is>
          <t>% CxC en riesgo (&gt;90):</t>
        </is>
      </c>
      <c r="B15" s="8">
        <f>IFERROR(SUMIF(CxC!G3:G1000,"&gt;90",CxC!H3:H1000)/SUM(CxC!H3:H1000)*100,0)</f>
        <v/>
      </c>
    </row>
    <row r="17" ht="25" customHeight="1">
      <c r="A17" s="9" t="inlineStr">
        <is>
          <t>RATIOS FINANCIEROS</t>
        </is>
      </c>
    </row>
    <row r="18">
      <c r="A18" t="inlineStr">
        <is>
          <t>Activo Corriente:</t>
        </is>
      </c>
      <c r="B18" s="4">
        <f>BALANCE_GENERAL!B8</f>
        <v/>
      </c>
    </row>
    <row r="19">
      <c r="A19" t="inlineStr">
        <is>
          <t>Pasivo Corriente:</t>
        </is>
      </c>
      <c r="B19" s="4">
        <f>BALANCE_GENERAL!B22</f>
        <v/>
      </c>
    </row>
    <row r="20">
      <c r="A20" t="inlineStr">
        <is>
          <t>Ratio Liquidez:</t>
        </is>
      </c>
      <c r="B20" s="10">
        <f>IFERROR(B18/B19,0)</f>
        <v/>
      </c>
    </row>
    <row r="21">
      <c r="A21" t="inlineStr">
        <is>
          <t>Capital de Trabajo:</t>
        </is>
      </c>
      <c r="B21" s="4">
        <f>B18-B19</f>
        <v/>
      </c>
    </row>
    <row r="22">
      <c r="A22" t="inlineStr">
        <is>
          <t>Quick Ratio:</t>
        </is>
      </c>
      <c r="B22" s="10">
        <f>IFERROR((BALANCE_GENERAL!B5+BALANCE_GENERAL!B6)/BALANCE_GENERAL!B22,0)</f>
        <v/>
      </c>
    </row>
    <row r="24" ht="25" customHeight="1">
      <c r="A24" s="11" t="inlineStr">
        <is>
          <t>FLUJO DE CAJA</t>
        </is>
      </c>
    </row>
    <row r="25">
      <c r="A25" t="inlineStr">
        <is>
          <t>Ingresos mes USD:</t>
        </is>
      </c>
      <c r="B25" s="4">
        <f>SUMIFS(TRANSACCIONES!F:F,TRANSACCIONES!C:C,"Ingreso",TRANSACCIONES!E:E,"USD")</f>
        <v/>
      </c>
    </row>
    <row r="26">
      <c r="A26" t="inlineStr">
        <is>
          <t>Gastos mes USD:</t>
        </is>
      </c>
      <c r="B26" s="4">
        <f>SUMIFS(TRANSACCIONES!F:F,TRANSACCIONES!C:C,"Gasto",TRANSACCIONES!E:E,"USD")</f>
        <v/>
      </c>
    </row>
    <row r="27">
      <c r="A27" t="inlineStr">
        <is>
          <t>Balance mes USD:</t>
        </is>
      </c>
      <c r="B27" s="4">
        <f>B25-B26</f>
        <v/>
      </c>
    </row>
    <row r="28">
      <c r="A28" t="inlineStr">
        <is>
          <t>Efectivo disponible:</t>
        </is>
      </c>
      <c r="B28" s="4">
        <f>BALANCE_GENERAL!B5</f>
        <v/>
      </c>
    </row>
    <row r="30" ht="25" customHeight="1">
      <c r="A30" s="12" t="inlineStr">
        <is>
          <t>EFICIENCIA OPERACIONAL</t>
        </is>
      </c>
    </row>
    <row r="31">
      <c r="A31" t="inlineStr">
        <is>
          <t>Días promedio CxC:</t>
        </is>
      </c>
      <c r="B31" s="6">
        <f>IFERROR(AVERAGE(CxC!G3:G1000),0)</f>
        <v/>
      </c>
    </row>
    <row r="32">
      <c r="A32" t="inlineStr">
        <is>
          <t>Días promedio CxP:</t>
        </is>
      </c>
      <c r="B32" s="6">
        <f>IFERROR(AVERAGE(CxP!G3:G1000),0)</f>
        <v/>
      </c>
    </row>
    <row r="33">
      <c r="A33" t="inlineStr">
        <is>
          <t>Ciclo conversión $ (días):</t>
        </is>
      </c>
      <c r="B33" s="6">
        <f>B31-B32</f>
        <v/>
      </c>
    </row>
    <row r="34">
      <c r="A34" t="inlineStr">
        <is>
          <t>Burn Rate (mes):</t>
        </is>
      </c>
      <c r="B34" s="4">
        <f>SUMIFS(TRANSACCIONES!F:F,TRANSACCIONES!C:C,"Gasto",TRANSACCIONES!E:E,"USD")/1</f>
        <v/>
      </c>
    </row>
    <row r="35">
      <c r="A35" t="inlineStr">
        <is>
          <t>Runway (meses):</t>
        </is>
      </c>
      <c r="B35" s="13">
        <f>IFERROR(B31/B34,0)</f>
        <v/>
      </c>
    </row>
    <row r="37" ht="25" customHeight="1">
      <c r="A37" s="14" t="inlineStr">
        <is>
          <t>RENTABILIDAD</t>
        </is>
      </c>
    </row>
    <row r="38">
      <c r="A38" t="inlineStr">
        <is>
          <t>Ingresos totales:</t>
        </is>
      </c>
      <c r="B38" s="4">
        <f>ESTADO_RESULTADOS!B8</f>
        <v/>
      </c>
    </row>
    <row r="39">
      <c r="A39" t="inlineStr">
        <is>
          <t>Utilidad bruta:</t>
        </is>
      </c>
      <c r="B39" s="4">
        <f>ESTADO_RESULTADOS!B15</f>
        <v/>
      </c>
    </row>
    <row r="40">
      <c r="A40" t="inlineStr">
        <is>
          <t>Margen bruto %:</t>
        </is>
      </c>
      <c r="B40" s="8">
        <f>ESTADO_RESULTADOS!B16</f>
        <v/>
      </c>
    </row>
    <row r="41">
      <c r="A41" t="inlineStr">
        <is>
          <t>Utilidad neta:</t>
        </is>
      </c>
      <c r="B41" s="4">
        <f>ESTADO_RESULTADOS!B40</f>
        <v/>
      </c>
    </row>
    <row r="42">
      <c r="A42" t="inlineStr">
        <is>
          <t>Margen neto %:</t>
        </is>
      </c>
      <c r="B42" s="8">
        <f>ESTADO_RESULTADOS!B41</f>
        <v/>
      </c>
    </row>
    <row r="43">
      <c r="A43" t="inlineStr">
        <is>
          <t>ROE %:</t>
        </is>
      </c>
      <c r="B43" s="8">
        <f>IFERROR(ESTADO_RESULTADOS!B40/BALANCE_GENERAL!B34*100,0)</f>
        <v/>
      </c>
    </row>
    <row r="45" ht="25" customHeight="1">
      <c r="A45" s="15" t="inlineStr">
        <is>
          <t>IVA CONTROL</t>
        </is>
      </c>
    </row>
    <row r="46">
      <c r="A46" t="inlineStr">
        <is>
          <t>IVA Ventas:</t>
        </is>
      </c>
      <c r="B46" s="5">
        <f>SUMIFS(IVA_CONTROL!D:D,IVA_CONTROL!E:E,"Venta")</f>
        <v/>
      </c>
    </row>
    <row r="47">
      <c r="A47" t="inlineStr">
        <is>
          <t>IVA Compras:</t>
        </is>
      </c>
      <c r="B47" s="5">
        <f>SUMIFS(IVA_CONTROL!D:D,IVA_CONTROL!E:E,"Compra")</f>
        <v/>
      </c>
    </row>
    <row r="48">
      <c r="A48" t="inlineStr">
        <is>
          <t>A pagar Hacienda:</t>
        </is>
      </c>
      <c r="B48" s="5">
        <f>B46-B47</f>
        <v/>
      </c>
    </row>
    <row r="50" ht="25" customHeight="1">
      <c r="A50" s="16" t="inlineStr">
        <is>
          <t>ANÁLISIS DE RIESGO</t>
        </is>
      </c>
    </row>
    <row r="51">
      <c r="A51" t="inlineStr">
        <is>
          <t>Concentración Top 3 Clientes:</t>
        </is>
      </c>
      <c r="B51" s="8" t="inlineStr">
        <is>
          <t>0.0%</t>
        </is>
      </c>
    </row>
    <row r="52">
      <c r="A52" t="inlineStr">
        <is>
          <t>Concentración Top 3 Proveed:</t>
        </is>
      </c>
      <c r="B52" s="8" t="inlineStr">
        <is>
          <t>0.0%</t>
        </is>
      </c>
    </row>
    <row r="53">
      <c r="A53" t="inlineStr">
        <is>
          <t>Facturas vencidas &gt;90 días:</t>
        </is>
      </c>
      <c r="B53" s="6">
        <f>COUNTIF(CxC!G3:G1000,"&gt;90")</f>
        <v/>
      </c>
    </row>
  </sheetData>
  <mergeCells count="10">
    <mergeCell ref="A45:D45"/>
    <mergeCell ref="A17:D17"/>
    <mergeCell ref="A37:D37"/>
    <mergeCell ref="A50:D50"/>
    <mergeCell ref="A4:D4"/>
    <mergeCell ref="A2:H2"/>
    <mergeCell ref="A30:D30"/>
    <mergeCell ref="A24:D24"/>
    <mergeCell ref="A1:H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8" customWidth="1" min="4" max="4"/>
    <col width="10" customWidth="1" min="5" max="5"/>
    <col width="15" customWidth="1" min="6" max="6"/>
    <col width="30" customWidth="1" min="7" max="7"/>
    <col width="15" customWidth="1" min="8" max="8"/>
    <col width="8" customWidth="1" min="9" max="9"/>
    <col width="2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5" customWidth="1" min="15" max="15"/>
    <col width="18" customWidth="1" min="16" max="16"/>
    <col width="12" customWidth="1" min="17" max="17"/>
    <col width="20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17" t="inlineStr">
        <is>
          <t>TRANSACCIONES - ÚNICA FUENTE DE VERDAD</t>
        </is>
      </c>
    </row>
    <row r="2" ht="30" customHeight="1">
      <c r="A2" s="18" t="inlineStr">
        <is>
          <t>Fecha</t>
        </is>
      </c>
      <c r="B2" s="18" t="inlineStr">
        <is>
          <t>Entidad</t>
        </is>
      </c>
      <c r="C2" s="18" t="inlineStr">
        <is>
          <t>Categoría</t>
        </is>
      </c>
      <c r="D2" s="18" t="inlineStr">
        <is>
          <t>Subcategoría</t>
        </is>
      </c>
      <c r="E2" s="18" t="inlineStr">
        <is>
          <t>Moneda</t>
        </is>
      </c>
      <c r="F2" s="18" t="inlineStr">
        <is>
          <t>Monto</t>
        </is>
      </c>
      <c r="G2" s="18" t="inlineStr">
        <is>
          <t>Descripción</t>
        </is>
      </c>
      <c r="H2" s="18" t="inlineStr">
        <is>
          <t>Forma Pago</t>
        </is>
      </c>
      <c r="I2" s="18" t="inlineStr">
        <is>
          <t>IVA</t>
        </is>
      </c>
      <c r="J2" s="18" t="inlineStr">
        <is>
          <t>Notas</t>
        </is>
      </c>
      <c r="K2" s="18" t="inlineStr">
        <is>
          <t>Recurrente</t>
        </is>
      </c>
      <c r="L2" s="18" t="inlineStr">
        <is>
          <t>Proyecto</t>
        </is>
      </c>
      <c r="M2" s="18" t="inlineStr">
        <is>
          <t>Estado</t>
        </is>
      </c>
      <c r="N2" s="18" t="inlineStr">
        <is>
          <t>Factura #</t>
        </is>
      </c>
      <c r="O2" s="18" t="inlineStr">
        <is>
          <t>Tag</t>
        </is>
      </c>
      <c r="P2" s="18" t="inlineStr">
        <is>
          <t>Personal/Negocio</t>
        </is>
      </c>
      <c r="Q2" s="18" t="inlineStr">
        <is>
          <t>TC Aplicado</t>
        </is>
      </c>
      <c r="R2" s="18" t="inlineStr">
        <is>
          <t>✓ Validación</t>
        </is>
      </c>
      <c r="S2" s="18" t="inlineStr">
        <is>
          <t>Días Trans</t>
        </is>
      </c>
      <c r="T2" s="18" t="inlineStr">
        <is>
          <t>Equiv USD</t>
        </is>
      </c>
      <c r="U2" s="18" t="inlineStr">
        <is>
          <t>Fecha Venc</t>
        </is>
      </c>
      <c r="V2" s="18" t="inlineStr">
        <is>
          <t>Prior CxP</t>
        </is>
      </c>
      <c r="W2" s="18" t="inlineStr">
        <is>
          <t>Prior CxC</t>
        </is>
      </c>
    </row>
    <row r="3">
      <c r="A3" s="19" t="n">
        <v>45978</v>
      </c>
      <c r="B3" t="inlineStr">
        <is>
          <t>BAC San José</t>
        </is>
      </c>
      <c r="C3" t="inlineStr">
        <is>
          <t>CxP</t>
        </is>
      </c>
      <c r="D3" t="inlineStr">
        <is>
          <t>Tarjeta Crédito</t>
        </is>
      </c>
      <c r="E3" t="inlineStr">
        <is>
          <t>CRC</t>
        </is>
      </c>
      <c r="F3" s="20" t="n">
        <v>1831000</v>
      </c>
      <c r="G3" t="inlineStr">
        <is>
          <t>Saldo tarjeta Visa Clásica</t>
        </is>
      </c>
      <c r="H3" t="inlineStr">
        <is>
          <t>Tarjeta Crédito</t>
        </is>
      </c>
      <c r="I3" t="inlineStr">
        <is>
          <t>No</t>
        </is>
      </c>
      <c r="J3" t="inlineStr">
        <is>
          <t>Pre-cargado - Corte día 15</t>
        </is>
      </c>
      <c r="K3" t="inlineStr">
        <is>
          <t>No</t>
        </is>
      </c>
      <c r="L3" t="inlineStr"/>
      <c r="M3" t="inlineStr">
        <is>
          <t>Pendiente</t>
        </is>
      </c>
      <c r="N3" t="inlineStr"/>
      <c r="O3" t="inlineStr">
        <is>
          <t>Deuda Inicial</t>
        </is>
      </c>
      <c r="P3" t="inlineStr">
        <is>
          <t>Negocio</t>
        </is>
      </c>
      <c r="Q3" s="10" t="n">
        <v>1</v>
      </c>
      <c r="R3">
        <f>IF(AND(A3&lt;&gt;"",ISNUMBER(A3),B3&lt;&gt;"",C3&lt;&gt;"",OR(E3="USD",E3="CRC"),F3&gt;0,ISNUMBER(Q3),Q3&gt;0),"✓ OK","✗ ERROR: Revisa datos")</f>
        <v/>
      </c>
      <c r="S3" s="6" t="n">
        <v>0</v>
      </c>
      <c r="T3" s="4" t="n">
        <v>3390.740740740741</v>
      </c>
      <c r="U3" s="19" t="n">
        <v>46008</v>
      </c>
      <c r="V3" t="inlineStr">
        <is>
          <t>Baja</t>
        </is>
      </c>
      <c r="W3" t="inlineStr"/>
    </row>
    <row r="4">
      <c r="A4" s="19" t="n">
        <v>45978</v>
      </c>
      <c r="B4" t="inlineStr">
        <is>
          <t>BCR</t>
        </is>
      </c>
      <c r="C4" t="inlineStr">
        <is>
          <t>CxP</t>
        </is>
      </c>
      <c r="D4" t="inlineStr">
        <is>
          <t>Tarjeta Crédito</t>
        </is>
      </c>
      <c r="E4" t="inlineStr">
        <is>
          <t>CRC</t>
        </is>
      </c>
      <c r="F4" s="20" t="n">
        <v>1750000</v>
      </c>
      <c r="G4" t="inlineStr">
        <is>
          <t>Saldo tarjeta Mastercard</t>
        </is>
      </c>
      <c r="H4" t="inlineStr">
        <is>
          <t>Tarjeta Crédito</t>
        </is>
      </c>
      <c r="I4" t="inlineStr">
        <is>
          <t>No</t>
        </is>
      </c>
      <c r="J4" t="inlineStr">
        <is>
          <t>Pre-cargado - Corte día 20</t>
        </is>
      </c>
      <c r="K4" t="inlineStr">
        <is>
          <t>No</t>
        </is>
      </c>
      <c r="L4" t="inlineStr"/>
      <c r="M4" t="inlineStr">
        <is>
          <t>Pendiente</t>
        </is>
      </c>
      <c r="N4" t="inlineStr"/>
      <c r="O4" t="inlineStr">
        <is>
          <t>Deuda Inicial</t>
        </is>
      </c>
      <c r="P4" t="inlineStr">
        <is>
          <t>Negocio</t>
        </is>
      </c>
      <c r="Q4" s="10" t="n">
        <v>1</v>
      </c>
      <c r="R4">
        <f>IF(AND(A4&lt;&gt;"",ISNUMBER(A4),B4&lt;&gt;"",C4&lt;&gt;"",OR(E4="USD",E4="CRC"),F4&gt;0,ISNUMBER(Q4),Q4&gt;0),"✓ OK","✗ ERROR: Revisa datos")</f>
        <v/>
      </c>
      <c r="S4" s="6" t="n">
        <v>0</v>
      </c>
      <c r="T4" s="4" t="n">
        <v>3240.740740740741</v>
      </c>
      <c r="U4" s="19" t="n">
        <v>46008</v>
      </c>
      <c r="V4" t="inlineStr">
        <is>
          <t>Baja</t>
        </is>
      </c>
      <c r="W4" t="inlineStr"/>
    </row>
    <row r="5">
      <c r="A5" s="19" t="n">
        <v>45978</v>
      </c>
      <c r="B5" t="inlineStr">
        <is>
          <t>Credomatic</t>
        </is>
      </c>
      <c r="C5" t="inlineStr">
        <is>
          <t>CxP</t>
        </is>
      </c>
      <c r="D5" t="inlineStr">
        <is>
          <t>Tarjeta Crédito</t>
        </is>
      </c>
      <c r="E5" t="inlineStr">
        <is>
          <t>USD</t>
        </is>
      </c>
      <c r="F5" s="20" t="n">
        <v>2500</v>
      </c>
      <c r="G5" t="inlineStr">
        <is>
          <t>Saldo tarjeta Platinum</t>
        </is>
      </c>
      <c r="H5" t="inlineStr">
        <is>
          <t>Tarjeta Crédito</t>
        </is>
      </c>
      <c r="I5" t="inlineStr">
        <is>
          <t>No</t>
        </is>
      </c>
      <c r="J5" t="inlineStr">
        <is>
          <t>Pre-cargado - Corte día 10</t>
        </is>
      </c>
      <c r="K5" t="inlineStr">
        <is>
          <t>No</t>
        </is>
      </c>
      <c r="L5" t="inlineStr"/>
      <c r="M5" t="inlineStr">
        <is>
          <t>Pendiente</t>
        </is>
      </c>
      <c r="N5" t="inlineStr"/>
      <c r="O5" t="inlineStr">
        <is>
          <t>Deuda Inicial</t>
        </is>
      </c>
      <c r="P5" t="inlineStr">
        <is>
          <t>Negocio</t>
        </is>
      </c>
      <c r="Q5" s="10" t="n">
        <v>540</v>
      </c>
      <c r="R5">
        <f>IF(AND(A5&lt;&gt;"",ISNUMBER(A5),B5&lt;&gt;"",C5&lt;&gt;"",OR(E5="USD",E5="CRC"),F5&gt;0,ISNUMBER(Q5),Q5&gt;0),"✓ OK","✗ ERROR: Revisa datos")</f>
        <v/>
      </c>
      <c r="S5" s="6" t="n">
        <v>0</v>
      </c>
      <c r="T5" s="4" t="n">
        <v>2500</v>
      </c>
      <c r="U5" s="19" t="n">
        <v>46008</v>
      </c>
      <c r="V5" t="inlineStr">
        <is>
          <t>Baja</t>
        </is>
      </c>
      <c r="W5" t="inlineStr"/>
    </row>
    <row r="6">
      <c r="A6" s="19" t="n">
        <v>45978</v>
      </c>
      <c r="B6" t="inlineStr">
        <is>
          <t>Credomatic</t>
        </is>
      </c>
      <c r="C6" t="inlineStr">
        <is>
          <t>CxP</t>
        </is>
      </c>
      <c r="D6" t="inlineStr">
        <is>
          <t>Tarjeta Crédito</t>
        </is>
      </c>
      <c r="E6" t="inlineStr">
        <is>
          <t>CRC</t>
        </is>
      </c>
      <c r="F6" s="20" t="n">
        <v>2800000</v>
      </c>
      <c r="G6" t="inlineStr">
        <is>
          <t>Saldo tarjeta Gold</t>
        </is>
      </c>
      <c r="H6" t="inlineStr">
        <is>
          <t>Tarjeta Crédito</t>
        </is>
      </c>
      <c r="I6" t="inlineStr">
        <is>
          <t>No</t>
        </is>
      </c>
      <c r="J6" t="inlineStr">
        <is>
          <t>Pre-cargado - Corte día 10</t>
        </is>
      </c>
      <c r="K6" t="inlineStr">
        <is>
          <t>No</t>
        </is>
      </c>
      <c r="L6" t="inlineStr"/>
      <c r="M6" t="inlineStr">
        <is>
          <t>Pendiente</t>
        </is>
      </c>
      <c r="N6" t="inlineStr"/>
      <c r="O6" t="inlineStr">
        <is>
          <t>Deuda Inicial</t>
        </is>
      </c>
      <c r="P6" t="inlineStr">
        <is>
          <t>Negocio</t>
        </is>
      </c>
      <c r="Q6" s="10" t="n">
        <v>1</v>
      </c>
      <c r="R6">
        <f>IF(AND(A6&lt;&gt;"",ISNUMBER(A6),B6&lt;&gt;"",C6&lt;&gt;"",OR(E6="USD",E6="CRC"),F6&gt;0,ISNUMBER(Q6),Q6&gt;0),"✓ OK","✗ ERROR: Revisa datos")</f>
        <v/>
      </c>
      <c r="S6" s="6" t="n">
        <v>0</v>
      </c>
      <c r="T6" s="4" t="n">
        <v>5185.185185185185</v>
      </c>
      <c r="U6" s="19" t="n">
        <v>46008</v>
      </c>
      <c r="V6" t="inlineStr">
        <is>
          <t>Baja</t>
        </is>
      </c>
      <c r="W6" t="inlineStr"/>
    </row>
    <row r="7">
      <c r="A7" s="19" t="n"/>
      <c r="F7" s="20" t="n"/>
      <c r="Q7" s="10">
        <f>IF(E7="USD",CONFIG!$B$5,1)</f>
        <v/>
      </c>
      <c r="R7">
        <f>IF(AND(A7&lt;&gt;"",ISNUMBER(A7),B7&lt;&gt;"",C7&lt;&gt;"",OR(E7="USD",E7="CRC"),F7&gt;0,ISNUMBER(Q7),Q7&gt;0),"✓ OK","✗ ERROR: Revisa datos")</f>
        <v/>
      </c>
      <c r="S7" s="6">
        <f>IF(A7&lt;&gt;"",TODAY()-A7,"")</f>
        <v/>
      </c>
      <c r="T7" s="4">
        <f>IF(E7="USD",F7,IF(E7="CRC",F7/CONFIG!$B$5,""))</f>
        <v/>
      </c>
      <c r="U7" s="19">
        <f>IF(A7&lt;&gt;"",A7+30,"")</f>
        <v/>
      </c>
      <c r="V7">
        <f>IF(AND(C7="CxP",S7&gt;60),"Alta",IF(AND(C7="CxP",S7&gt;30),"Media",IF(C7="CxP","Baja","")))</f>
        <v/>
      </c>
      <c r="W7">
        <f>IF(AND(C7="CxC",S7&gt;90),"Alta",IF(AND(C7="CxC",S7&gt;60),"Media",IF(C7="CxC","Baja","")))</f>
        <v/>
      </c>
    </row>
    <row r="8">
      <c r="A8" s="19" t="n"/>
      <c r="F8" s="20" t="n"/>
      <c r="Q8" s="10">
        <f>IF(E8="USD",CONFIG!$B$5,1)</f>
        <v/>
      </c>
      <c r="R8">
        <f>IF(AND(A8&lt;&gt;"",ISNUMBER(A8),B8&lt;&gt;"",C8&lt;&gt;"",OR(E8="USD",E8="CRC"),F8&gt;0,ISNUMBER(Q8),Q8&gt;0),"✓ OK","✗ ERROR: Revisa datos")</f>
        <v/>
      </c>
      <c r="S8" s="6">
        <f>IF(A8&lt;&gt;"",TODAY()-A8,"")</f>
        <v/>
      </c>
      <c r="T8" s="4">
        <f>IF(E8="USD",F8,IF(E8="CRC",F8/CONFIG!$B$5,""))</f>
        <v/>
      </c>
      <c r="U8" s="19">
        <f>IF(A8&lt;&gt;"",A8+30,"")</f>
        <v/>
      </c>
      <c r="V8">
        <f>IF(AND(C8="CxP",S8&gt;60),"Alta",IF(AND(C8="CxP",S8&gt;30),"Media",IF(C8="CxP","Baja","")))</f>
        <v/>
      </c>
      <c r="W8">
        <f>IF(AND(C8="CxC",S8&gt;90),"Alta",IF(AND(C8="CxC",S8&gt;60),"Media",IF(C8="CxC","Baja","")))</f>
        <v/>
      </c>
    </row>
    <row r="9">
      <c r="A9" s="19" t="n"/>
      <c r="F9" s="20" t="n"/>
      <c r="Q9" s="10">
        <f>IF(E9="USD",CONFIG!$B$5,1)</f>
        <v/>
      </c>
      <c r="R9">
        <f>IF(AND(A9&lt;&gt;"",ISNUMBER(A9),B9&lt;&gt;"",C9&lt;&gt;"",OR(E9="USD",E9="CRC"),F9&gt;0,ISNUMBER(Q9),Q9&gt;0),"✓ OK","✗ ERROR: Revisa datos")</f>
        <v/>
      </c>
      <c r="S9" s="6">
        <f>IF(A9&lt;&gt;"",TODAY()-A9,"")</f>
        <v/>
      </c>
      <c r="T9" s="4">
        <f>IF(E9="USD",F9,IF(E9="CRC",F9/CONFIG!$B$5,""))</f>
        <v/>
      </c>
      <c r="U9" s="19">
        <f>IF(A9&lt;&gt;"",A9+30,"")</f>
        <v/>
      </c>
      <c r="V9">
        <f>IF(AND(C9="CxP",S9&gt;60),"Alta",IF(AND(C9="CxP",S9&gt;30),"Media",IF(C9="CxP","Baja","")))</f>
        <v/>
      </c>
      <c r="W9">
        <f>IF(AND(C9="CxC",S9&gt;90),"Alta",IF(AND(C9="CxC",S9&gt;60),"Media",IF(C9="CxC","Baja","")))</f>
        <v/>
      </c>
    </row>
    <row r="10">
      <c r="A10" s="19" t="n"/>
      <c r="F10" s="20" t="n"/>
      <c r="Q10" s="10">
        <f>IF(E10="USD",CONFIG!$B$5,1)</f>
        <v/>
      </c>
      <c r="R10">
        <f>IF(AND(A10&lt;&gt;"",ISNUMBER(A10),B10&lt;&gt;"",C10&lt;&gt;"",OR(E10="USD",E10="CRC"),F10&gt;0,ISNUMBER(Q10),Q10&gt;0),"✓ OK","✗ ERROR: Revisa datos")</f>
        <v/>
      </c>
      <c r="S10" s="6">
        <f>IF(A10&lt;&gt;"",TODAY()-A10,"")</f>
        <v/>
      </c>
      <c r="T10" s="4">
        <f>IF(E10="USD",F10,IF(E10="CRC",F10/CONFIG!$B$5,""))</f>
        <v/>
      </c>
      <c r="U10" s="19">
        <f>IF(A10&lt;&gt;"",A10+30,"")</f>
        <v/>
      </c>
      <c r="V10">
        <f>IF(AND(C10="CxP",S10&gt;60),"Alta",IF(AND(C10="CxP",S10&gt;30),"Media",IF(C10="CxP","Baja","")))</f>
        <v/>
      </c>
      <c r="W10">
        <f>IF(AND(C10="CxC",S10&gt;90),"Alta",IF(AND(C10="CxC",S10&gt;60),"Media",IF(C10="CxC","Baja","")))</f>
        <v/>
      </c>
    </row>
    <row r="11">
      <c r="A11" s="19" t="n"/>
      <c r="F11" s="20" t="n"/>
      <c r="Q11" s="10">
        <f>IF(E11="USD",CONFIG!$B$5,1)</f>
        <v/>
      </c>
      <c r="R11">
        <f>IF(AND(A11&lt;&gt;"",ISNUMBER(A11),B11&lt;&gt;"",C11&lt;&gt;"",OR(E11="USD",E11="CRC"),F11&gt;0,ISNUMBER(Q11),Q11&gt;0),"✓ OK","✗ ERROR: Revisa datos")</f>
        <v/>
      </c>
      <c r="S11" s="6">
        <f>IF(A11&lt;&gt;"",TODAY()-A11,"")</f>
        <v/>
      </c>
      <c r="T11" s="4">
        <f>IF(E11="USD",F11,IF(E11="CRC",F11/CONFIG!$B$5,""))</f>
        <v/>
      </c>
      <c r="U11" s="19">
        <f>IF(A11&lt;&gt;"",A11+30,"")</f>
        <v/>
      </c>
      <c r="V11">
        <f>IF(AND(C11="CxP",S11&gt;60),"Alta",IF(AND(C11="CxP",S11&gt;30),"Media",IF(C11="CxP","Baja","")))</f>
        <v/>
      </c>
      <c r="W11">
        <f>IF(AND(C11="CxC",S11&gt;90),"Alta",IF(AND(C11="CxC",S11&gt;60),"Media",IF(C11="CxC","Baja","")))</f>
        <v/>
      </c>
    </row>
    <row r="12">
      <c r="A12" s="19" t="n"/>
      <c r="F12" s="20" t="n"/>
      <c r="Q12" s="10">
        <f>IF(E12="USD",CONFIG!$B$5,1)</f>
        <v/>
      </c>
      <c r="R12">
        <f>IF(AND(A12&lt;&gt;"",ISNUMBER(A12),B12&lt;&gt;"",C12&lt;&gt;"",OR(E12="USD",E12="CRC"),F12&gt;0,ISNUMBER(Q12),Q12&gt;0),"✓ OK","✗ ERROR: Revisa datos")</f>
        <v/>
      </c>
      <c r="S12" s="6">
        <f>IF(A12&lt;&gt;"",TODAY()-A12,"")</f>
        <v/>
      </c>
      <c r="T12" s="4">
        <f>IF(E12="USD",F12,IF(E12="CRC",F12/CONFIG!$B$5,""))</f>
        <v/>
      </c>
      <c r="U12" s="19">
        <f>IF(A12&lt;&gt;"",A12+30,"")</f>
        <v/>
      </c>
      <c r="V12">
        <f>IF(AND(C12="CxP",S12&gt;60),"Alta",IF(AND(C12="CxP",S12&gt;30),"Media",IF(C12="CxP","Baja","")))</f>
        <v/>
      </c>
      <c r="W12">
        <f>IF(AND(C12="CxC",S12&gt;90),"Alta",IF(AND(C12="CxC",S12&gt;60),"Media",IF(C12="CxC","Baja","")))</f>
        <v/>
      </c>
    </row>
    <row r="13">
      <c r="A13" s="19" t="n"/>
      <c r="F13" s="20" t="n"/>
      <c r="Q13" s="10">
        <f>IF(E13="USD",CONFIG!$B$5,1)</f>
        <v/>
      </c>
      <c r="R13">
        <f>IF(AND(A13&lt;&gt;"",ISNUMBER(A13),B13&lt;&gt;"",C13&lt;&gt;"",OR(E13="USD",E13="CRC"),F13&gt;0,ISNUMBER(Q13),Q13&gt;0),"✓ OK","✗ ERROR: Revisa datos")</f>
        <v/>
      </c>
      <c r="S13" s="6">
        <f>IF(A13&lt;&gt;"",TODAY()-A13,"")</f>
        <v/>
      </c>
      <c r="T13" s="4">
        <f>IF(E13="USD",F13,IF(E13="CRC",F13/CONFIG!$B$5,""))</f>
        <v/>
      </c>
      <c r="U13" s="19">
        <f>IF(A13&lt;&gt;"",A13+30,"")</f>
        <v/>
      </c>
      <c r="V13">
        <f>IF(AND(C13="CxP",S13&gt;60),"Alta",IF(AND(C13="CxP",S13&gt;30),"Media",IF(C13="CxP","Baja","")))</f>
        <v/>
      </c>
      <c r="W13">
        <f>IF(AND(C13="CxC",S13&gt;90),"Alta",IF(AND(C13="CxC",S13&gt;60),"Media",IF(C13="CxC","Baja","")))</f>
        <v/>
      </c>
    </row>
    <row r="14">
      <c r="A14" s="19" t="n"/>
      <c r="F14" s="20" t="n"/>
      <c r="Q14" s="10">
        <f>IF(E14="USD",CONFIG!$B$5,1)</f>
        <v/>
      </c>
      <c r="R14">
        <f>IF(AND(A14&lt;&gt;"",ISNUMBER(A14),B14&lt;&gt;"",C14&lt;&gt;"",OR(E14="USD",E14="CRC"),F14&gt;0,ISNUMBER(Q14),Q14&gt;0),"✓ OK","✗ ERROR: Revisa datos")</f>
        <v/>
      </c>
      <c r="S14" s="6">
        <f>IF(A14&lt;&gt;"",TODAY()-A14,"")</f>
        <v/>
      </c>
      <c r="T14" s="4">
        <f>IF(E14="USD",F14,IF(E14="CRC",F14/CONFIG!$B$5,""))</f>
        <v/>
      </c>
      <c r="U14" s="19">
        <f>IF(A14&lt;&gt;"",A14+30,"")</f>
        <v/>
      </c>
      <c r="V14">
        <f>IF(AND(C14="CxP",S14&gt;60),"Alta",IF(AND(C14="CxP",S14&gt;30),"Media",IF(C14="CxP","Baja","")))</f>
        <v/>
      </c>
      <c r="W14">
        <f>IF(AND(C14="CxC",S14&gt;90),"Alta",IF(AND(C14="CxC",S14&gt;60),"Media",IF(C14="CxC","Baja","")))</f>
        <v/>
      </c>
    </row>
    <row r="15">
      <c r="A15" s="19" t="n"/>
      <c r="F15" s="20" t="n"/>
      <c r="Q15" s="10">
        <f>IF(E15="USD",CONFIG!$B$5,1)</f>
        <v/>
      </c>
      <c r="R15">
        <f>IF(AND(A15&lt;&gt;"",ISNUMBER(A15),B15&lt;&gt;"",C15&lt;&gt;"",OR(E15="USD",E15="CRC"),F15&gt;0,ISNUMBER(Q15),Q15&gt;0),"✓ OK","✗ ERROR: Revisa datos")</f>
        <v/>
      </c>
      <c r="S15" s="6">
        <f>IF(A15&lt;&gt;"",TODAY()-A15,"")</f>
        <v/>
      </c>
      <c r="T15" s="4">
        <f>IF(E15="USD",F15,IF(E15="CRC",F15/CONFIG!$B$5,""))</f>
        <v/>
      </c>
      <c r="U15" s="19">
        <f>IF(A15&lt;&gt;"",A15+30,"")</f>
        <v/>
      </c>
      <c r="V15">
        <f>IF(AND(C15="CxP",S15&gt;60),"Alta",IF(AND(C15="CxP",S15&gt;30),"Media",IF(C15="CxP","Baja","")))</f>
        <v/>
      </c>
      <c r="W15">
        <f>IF(AND(C15="CxC",S15&gt;90),"Alta",IF(AND(C15="CxC",S15&gt;60),"Media",IF(C15="CxC","Baja","")))</f>
        <v/>
      </c>
    </row>
    <row r="16">
      <c r="A16" s="19" t="n"/>
      <c r="F16" s="20" t="n"/>
      <c r="Q16" s="10">
        <f>IF(E16="USD",CONFIG!$B$5,1)</f>
        <v/>
      </c>
      <c r="R16">
        <f>IF(AND(A16&lt;&gt;"",ISNUMBER(A16),B16&lt;&gt;"",C16&lt;&gt;"",OR(E16="USD",E16="CRC"),F16&gt;0,ISNUMBER(Q16),Q16&gt;0),"✓ OK","✗ ERROR: Revisa datos")</f>
        <v/>
      </c>
      <c r="S16" s="6">
        <f>IF(A16&lt;&gt;"",TODAY()-A16,"")</f>
        <v/>
      </c>
      <c r="T16" s="4">
        <f>IF(E16="USD",F16,IF(E16="CRC",F16/CONFIG!$B$5,""))</f>
        <v/>
      </c>
      <c r="U16" s="19">
        <f>IF(A16&lt;&gt;"",A16+30,"")</f>
        <v/>
      </c>
      <c r="V16">
        <f>IF(AND(C16="CxP",S16&gt;60),"Alta",IF(AND(C16="CxP",S16&gt;30),"Media",IF(C16="CxP","Baja","")))</f>
        <v/>
      </c>
      <c r="W16">
        <f>IF(AND(C16="CxC",S16&gt;90),"Alta",IF(AND(C16="CxC",S16&gt;60),"Media",IF(C16="CxC","Baja","")))</f>
        <v/>
      </c>
    </row>
    <row r="17">
      <c r="A17" s="19" t="n"/>
      <c r="F17" s="20" t="n"/>
      <c r="Q17" s="10">
        <f>IF(E17="USD",CONFIG!$B$5,1)</f>
        <v/>
      </c>
      <c r="R17">
        <f>IF(AND(A17&lt;&gt;"",ISNUMBER(A17),B17&lt;&gt;"",C17&lt;&gt;"",OR(E17="USD",E17="CRC"),F17&gt;0,ISNUMBER(Q17),Q17&gt;0),"✓ OK","✗ ERROR: Revisa datos")</f>
        <v/>
      </c>
      <c r="S17" s="6">
        <f>IF(A17&lt;&gt;"",TODAY()-A17,"")</f>
        <v/>
      </c>
      <c r="T17" s="4">
        <f>IF(E17="USD",F17,IF(E17="CRC",F17/CONFIG!$B$5,""))</f>
        <v/>
      </c>
      <c r="U17" s="19">
        <f>IF(A17&lt;&gt;"",A17+30,"")</f>
        <v/>
      </c>
      <c r="V17">
        <f>IF(AND(C17="CxP",S17&gt;60),"Alta",IF(AND(C17="CxP",S17&gt;30),"Media",IF(C17="CxP","Baja","")))</f>
        <v/>
      </c>
      <c r="W17">
        <f>IF(AND(C17="CxC",S17&gt;90),"Alta",IF(AND(C17="CxC",S17&gt;60),"Media",IF(C17="CxC","Baja","")))</f>
        <v/>
      </c>
    </row>
    <row r="18">
      <c r="A18" s="19" t="n"/>
      <c r="F18" s="20" t="n"/>
      <c r="Q18" s="10">
        <f>IF(E18="USD",CONFIG!$B$5,1)</f>
        <v/>
      </c>
      <c r="R18">
        <f>IF(AND(A18&lt;&gt;"",ISNUMBER(A18),B18&lt;&gt;"",C18&lt;&gt;"",OR(E18="USD",E18="CRC"),F18&gt;0,ISNUMBER(Q18),Q18&gt;0),"✓ OK","✗ ERROR: Revisa datos")</f>
        <v/>
      </c>
      <c r="S18" s="6">
        <f>IF(A18&lt;&gt;"",TODAY()-A18,"")</f>
        <v/>
      </c>
      <c r="T18" s="4">
        <f>IF(E18="USD",F18,IF(E18="CRC",F18/CONFIG!$B$5,""))</f>
        <v/>
      </c>
      <c r="U18" s="19">
        <f>IF(A18&lt;&gt;"",A18+30,"")</f>
        <v/>
      </c>
      <c r="V18">
        <f>IF(AND(C18="CxP",S18&gt;60),"Alta",IF(AND(C18="CxP",S18&gt;30),"Media",IF(C18="CxP","Baja","")))</f>
        <v/>
      </c>
      <c r="W18">
        <f>IF(AND(C18="CxC",S18&gt;90),"Alta",IF(AND(C18="CxC",S18&gt;60),"Media",IF(C18="CxC","Baja","")))</f>
        <v/>
      </c>
    </row>
    <row r="19">
      <c r="A19" s="19" t="n"/>
      <c r="F19" s="20" t="n"/>
      <c r="Q19" s="10">
        <f>IF(E19="USD",CONFIG!$B$5,1)</f>
        <v/>
      </c>
      <c r="R19">
        <f>IF(AND(A19&lt;&gt;"",ISNUMBER(A19),B19&lt;&gt;"",C19&lt;&gt;"",OR(E19="USD",E19="CRC"),F19&gt;0,ISNUMBER(Q19),Q19&gt;0),"✓ OK","✗ ERROR: Revisa datos")</f>
        <v/>
      </c>
      <c r="S19" s="6">
        <f>IF(A19&lt;&gt;"",TODAY()-A19,"")</f>
        <v/>
      </c>
      <c r="T19" s="4">
        <f>IF(E19="USD",F19,IF(E19="CRC",F19/CONFIG!$B$5,""))</f>
        <v/>
      </c>
      <c r="U19" s="19">
        <f>IF(A19&lt;&gt;"",A19+30,"")</f>
        <v/>
      </c>
      <c r="V19">
        <f>IF(AND(C19="CxP",S19&gt;60),"Alta",IF(AND(C19="CxP",S19&gt;30),"Media",IF(C19="CxP","Baja","")))</f>
        <v/>
      </c>
      <c r="W19">
        <f>IF(AND(C19="CxC",S19&gt;90),"Alta",IF(AND(C19="CxC",S19&gt;60),"Media",IF(C19="CxC","Baja","")))</f>
        <v/>
      </c>
    </row>
    <row r="20">
      <c r="A20" s="19" t="n"/>
      <c r="F20" s="20" t="n"/>
      <c r="Q20" s="10">
        <f>IF(E20="USD",CONFIG!$B$5,1)</f>
        <v/>
      </c>
      <c r="R20">
        <f>IF(AND(A20&lt;&gt;"",ISNUMBER(A20),B20&lt;&gt;"",C20&lt;&gt;"",OR(E20="USD",E20="CRC"),F20&gt;0,ISNUMBER(Q20),Q20&gt;0),"✓ OK","✗ ERROR: Revisa datos")</f>
        <v/>
      </c>
      <c r="S20" s="6">
        <f>IF(A20&lt;&gt;"",TODAY()-A20,"")</f>
        <v/>
      </c>
      <c r="T20" s="4">
        <f>IF(E20="USD",F20,IF(E20="CRC",F20/CONFIG!$B$5,""))</f>
        <v/>
      </c>
      <c r="U20" s="19">
        <f>IF(A20&lt;&gt;"",A20+30,"")</f>
        <v/>
      </c>
      <c r="V20">
        <f>IF(AND(C20="CxP",S20&gt;60),"Alta",IF(AND(C20="CxP",S20&gt;30),"Media",IF(C20="CxP","Baja","")))</f>
        <v/>
      </c>
      <c r="W20">
        <f>IF(AND(C20="CxC",S20&gt;90),"Alta",IF(AND(C20="CxC",S20&gt;60),"Media",IF(C20="CxC","Baja","")))</f>
        <v/>
      </c>
    </row>
    <row r="21">
      <c r="A21" s="19" t="n"/>
      <c r="F21" s="20" t="n"/>
      <c r="Q21" s="10">
        <f>IF(E21="USD",CONFIG!$B$5,1)</f>
        <v/>
      </c>
      <c r="R21">
        <f>IF(AND(A21&lt;&gt;"",ISNUMBER(A21),B21&lt;&gt;"",C21&lt;&gt;"",OR(E21="USD",E21="CRC"),F21&gt;0,ISNUMBER(Q21),Q21&gt;0),"✓ OK","✗ ERROR: Revisa datos")</f>
        <v/>
      </c>
      <c r="S21" s="6">
        <f>IF(A21&lt;&gt;"",TODAY()-A21,"")</f>
        <v/>
      </c>
      <c r="T21" s="4">
        <f>IF(E21="USD",F21,IF(E21="CRC",F21/CONFIG!$B$5,""))</f>
        <v/>
      </c>
      <c r="U21" s="19">
        <f>IF(A21&lt;&gt;"",A21+30,"")</f>
        <v/>
      </c>
      <c r="V21">
        <f>IF(AND(C21="CxP",S21&gt;60),"Alta",IF(AND(C21="CxP",S21&gt;30),"Media",IF(C21="CxP","Baja","")))</f>
        <v/>
      </c>
      <c r="W21">
        <f>IF(AND(C21="CxC",S21&gt;90),"Alta",IF(AND(C21="CxC",S21&gt;60),"Media",IF(C21="CxC","Baja","")))</f>
        <v/>
      </c>
    </row>
    <row r="22">
      <c r="A22" s="19" t="n"/>
      <c r="F22" s="20" t="n"/>
      <c r="Q22" s="10">
        <f>IF(E22="USD",CONFIG!$B$5,1)</f>
        <v/>
      </c>
      <c r="R22">
        <f>IF(AND(A22&lt;&gt;"",ISNUMBER(A22),B22&lt;&gt;"",C22&lt;&gt;"",OR(E22="USD",E22="CRC"),F22&gt;0,ISNUMBER(Q22),Q22&gt;0),"✓ OK","✗ ERROR: Revisa datos")</f>
        <v/>
      </c>
      <c r="S22" s="6">
        <f>IF(A22&lt;&gt;"",TODAY()-A22,"")</f>
        <v/>
      </c>
      <c r="T22" s="4">
        <f>IF(E22="USD",F22,IF(E22="CRC",F22/CONFIG!$B$5,""))</f>
        <v/>
      </c>
      <c r="U22" s="19">
        <f>IF(A22&lt;&gt;"",A22+30,"")</f>
        <v/>
      </c>
      <c r="V22">
        <f>IF(AND(C22="CxP",S22&gt;60),"Alta",IF(AND(C22="CxP",S22&gt;30),"Media",IF(C22="CxP","Baja","")))</f>
        <v/>
      </c>
      <c r="W22">
        <f>IF(AND(C22="CxC",S22&gt;90),"Alta",IF(AND(C22="CxC",S22&gt;60),"Media",IF(C22="CxC","Baja","")))</f>
        <v/>
      </c>
    </row>
    <row r="23">
      <c r="A23" s="19" t="n"/>
      <c r="F23" s="20" t="n"/>
      <c r="Q23" s="10">
        <f>IF(E23="USD",CONFIG!$B$5,1)</f>
        <v/>
      </c>
      <c r="R23">
        <f>IF(AND(A23&lt;&gt;"",ISNUMBER(A23),B23&lt;&gt;"",C23&lt;&gt;"",OR(E23="USD",E23="CRC"),F23&gt;0,ISNUMBER(Q23),Q23&gt;0),"✓ OK","✗ ERROR: Revisa datos")</f>
        <v/>
      </c>
      <c r="S23" s="6">
        <f>IF(A23&lt;&gt;"",TODAY()-A23,"")</f>
        <v/>
      </c>
      <c r="T23" s="4">
        <f>IF(E23="USD",F23,IF(E23="CRC",F23/CONFIG!$B$5,""))</f>
        <v/>
      </c>
      <c r="U23" s="19">
        <f>IF(A23&lt;&gt;"",A23+30,"")</f>
        <v/>
      </c>
      <c r="V23">
        <f>IF(AND(C23="CxP",S23&gt;60),"Alta",IF(AND(C23="CxP",S23&gt;30),"Media",IF(C23="CxP","Baja","")))</f>
        <v/>
      </c>
      <c r="W23">
        <f>IF(AND(C23="CxC",S23&gt;90),"Alta",IF(AND(C23="CxC",S23&gt;60),"Media",IF(C23="CxC","Baja","")))</f>
        <v/>
      </c>
    </row>
    <row r="24">
      <c r="A24" s="19" t="n"/>
      <c r="F24" s="20" t="n"/>
      <c r="Q24" s="10">
        <f>IF(E24="USD",CONFIG!$B$5,1)</f>
        <v/>
      </c>
      <c r="R24">
        <f>IF(AND(A24&lt;&gt;"",ISNUMBER(A24),B24&lt;&gt;"",C24&lt;&gt;"",OR(E24="USD",E24="CRC"),F24&gt;0,ISNUMBER(Q24),Q24&gt;0),"✓ OK","✗ ERROR: Revisa datos")</f>
        <v/>
      </c>
      <c r="S24" s="6">
        <f>IF(A24&lt;&gt;"",TODAY()-A24,"")</f>
        <v/>
      </c>
      <c r="T24" s="4">
        <f>IF(E24="USD",F24,IF(E24="CRC",F24/CONFIG!$B$5,""))</f>
        <v/>
      </c>
      <c r="U24" s="19">
        <f>IF(A24&lt;&gt;"",A24+30,"")</f>
        <v/>
      </c>
      <c r="V24">
        <f>IF(AND(C24="CxP",S24&gt;60),"Alta",IF(AND(C24="CxP",S24&gt;30),"Media",IF(C24="CxP","Baja","")))</f>
        <v/>
      </c>
      <c r="W24">
        <f>IF(AND(C24="CxC",S24&gt;90),"Alta",IF(AND(C24="CxC",S24&gt;60),"Media",IF(C24="CxC","Baja","")))</f>
        <v/>
      </c>
    </row>
    <row r="25">
      <c r="A25" s="19" t="n"/>
      <c r="F25" s="20" t="n"/>
      <c r="Q25" s="10">
        <f>IF(E25="USD",CONFIG!$B$5,1)</f>
        <v/>
      </c>
      <c r="R25">
        <f>IF(AND(A25&lt;&gt;"",ISNUMBER(A25),B25&lt;&gt;"",C25&lt;&gt;"",OR(E25="USD",E25="CRC"),F25&gt;0,ISNUMBER(Q25),Q25&gt;0),"✓ OK","✗ ERROR: Revisa datos")</f>
        <v/>
      </c>
      <c r="S25" s="6">
        <f>IF(A25&lt;&gt;"",TODAY()-A25,"")</f>
        <v/>
      </c>
      <c r="T25" s="4">
        <f>IF(E25="USD",F25,IF(E25="CRC",F25/CONFIG!$B$5,""))</f>
        <v/>
      </c>
      <c r="U25" s="19">
        <f>IF(A25&lt;&gt;"",A25+30,"")</f>
        <v/>
      </c>
      <c r="V25">
        <f>IF(AND(C25="CxP",S25&gt;60),"Alta",IF(AND(C25="CxP",S25&gt;30),"Media",IF(C25="CxP","Baja","")))</f>
        <v/>
      </c>
      <c r="W25">
        <f>IF(AND(C25="CxC",S25&gt;90),"Alta",IF(AND(C25="CxC",S25&gt;60),"Media",IF(C25="CxC","Baja","")))</f>
        <v/>
      </c>
    </row>
    <row r="26">
      <c r="A26" s="19" t="n"/>
      <c r="F26" s="20" t="n"/>
      <c r="Q26" s="10">
        <f>IF(E26="USD",CONFIG!$B$5,1)</f>
        <v/>
      </c>
      <c r="R26">
        <f>IF(AND(A26&lt;&gt;"",ISNUMBER(A26),B26&lt;&gt;"",C26&lt;&gt;"",OR(E26="USD",E26="CRC"),F26&gt;0,ISNUMBER(Q26),Q26&gt;0),"✓ OK","✗ ERROR: Revisa datos")</f>
        <v/>
      </c>
      <c r="S26" s="6">
        <f>IF(A26&lt;&gt;"",TODAY()-A26,"")</f>
        <v/>
      </c>
      <c r="T26" s="4">
        <f>IF(E26="USD",F26,IF(E26="CRC",F26/CONFIG!$B$5,""))</f>
        <v/>
      </c>
      <c r="U26" s="19">
        <f>IF(A26&lt;&gt;"",A26+30,"")</f>
        <v/>
      </c>
      <c r="V26">
        <f>IF(AND(C26="CxP",S26&gt;60),"Alta",IF(AND(C26="CxP",S26&gt;30),"Media",IF(C26="CxP","Baja","")))</f>
        <v/>
      </c>
      <c r="W26">
        <f>IF(AND(C26="CxC",S26&gt;90),"Alta",IF(AND(C26="CxC",S26&gt;60),"Media",IF(C26="CxC","Baja","")))</f>
        <v/>
      </c>
    </row>
    <row r="27">
      <c r="A27" s="19" t="n"/>
      <c r="F27" s="20" t="n"/>
      <c r="Q27" s="10">
        <f>IF(E27="USD",CONFIG!$B$5,1)</f>
        <v/>
      </c>
      <c r="R27">
        <f>IF(AND(A27&lt;&gt;"",ISNUMBER(A27),B27&lt;&gt;"",C27&lt;&gt;"",OR(E27="USD",E27="CRC"),F27&gt;0,ISNUMBER(Q27),Q27&gt;0),"✓ OK","✗ ERROR: Revisa datos")</f>
        <v/>
      </c>
      <c r="S27" s="6">
        <f>IF(A27&lt;&gt;"",TODAY()-A27,"")</f>
        <v/>
      </c>
      <c r="T27" s="4">
        <f>IF(E27="USD",F27,IF(E27="CRC",F27/CONFIG!$B$5,""))</f>
        <v/>
      </c>
      <c r="U27" s="19">
        <f>IF(A27&lt;&gt;"",A27+30,"")</f>
        <v/>
      </c>
      <c r="V27">
        <f>IF(AND(C27="CxP",S27&gt;60),"Alta",IF(AND(C27="CxP",S27&gt;30),"Media",IF(C27="CxP","Baja","")))</f>
        <v/>
      </c>
      <c r="W27">
        <f>IF(AND(C27="CxC",S27&gt;90),"Alta",IF(AND(C27="CxC",S27&gt;60),"Media",IF(C27="CxC","Baja","")))</f>
        <v/>
      </c>
    </row>
    <row r="28">
      <c r="A28" s="19" t="n"/>
      <c r="F28" s="20" t="n"/>
      <c r="Q28" s="10">
        <f>IF(E28="USD",CONFIG!$B$5,1)</f>
        <v/>
      </c>
      <c r="R28">
        <f>IF(AND(A28&lt;&gt;"",ISNUMBER(A28),B28&lt;&gt;"",C28&lt;&gt;"",OR(E28="USD",E28="CRC"),F28&gt;0,ISNUMBER(Q28),Q28&gt;0),"✓ OK","✗ ERROR: Revisa datos")</f>
        <v/>
      </c>
      <c r="S28" s="6">
        <f>IF(A28&lt;&gt;"",TODAY()-A28,"")</f>
        <v/>
      </c>
      <c r="T28" s="4">
        <f>IF(E28="USD",F28,IF(E28="CRC",F28/CONFIG!$B$5,""))</f>
        <v/>
      </c>
      <c r="U28" s="19">
        <f>IF(A28&lt;&gt;"",A28+30,"")</f>
        <v/>
      </c>
      <c r="V28">
        <f>IF(AND(C28="CxP",S28&gt;60),"Alta",IF(AND(C28="CxP",S28&gt;30),"Media",IF(C28="CxP","Baja","")))</f>
        <v/>
      </c>
      <c r="W28">
        <f>IF(AND(C28="CxC",S28&gt;90),"Alta",IF(AND(C28="CxC",S28&gt;60),"Media",IF(C28="CxC","Baja","")))</f>
        <v/>
      </c>
    </row>
    <row r="29">
      <c r="A29" s="19" t="n"/>
      <c r="F29" s="20" t="n"/>
      <c r="Q29" s="10">
        <f>IF(E29="USD",CONFIG!$B$5,1)</f>
        <v/>
      </c>
      <c r="R29">
        <f>IF(AND(A29&lt;&gt;"",ISNUMBER(A29),B29&lt;&gt;"",C29&lt;&gt;"",OR(E29="USD",E29="CRC"),F29&gt;0,ISNUMBER(Q29),Q29&gt;0),"✓ OK","✗ ERROR: Revisa datos")</f>
        <v/>
      </c>
      <c r="S29" s="6">
        <f>IF(A29&lt;&gt;"",TODAY()-A29,"")</f>
        <v/>
      </c>
      <c r="T29" s="4">
        <f>IF(E29="USD",F29,IF(E29="CRC",F29/CONFIG!$B$5,""))</f>
        <v/>
      </c>
      <c r="U29" s="19">
        <f>IF(A29&lt;&gt;"",A29+30,"")</f>
        <v/>
      </c>
      <c r="V29">
        <f>IF(AND(C29="CxP",S29&gt;60),"Alta",IF(AND(C29="CxP",S29&gt;30),"Media",IF(C29="CxP","Baja","")))</f>
        <v/>
      </c>
      <c r="W29">
        <f>IF(AND(C29="CxC",S29&gt;90),"Alta",IF(AND(C29="CxC",S29&gt;60),"Media",IF(C29="CxC","Baja","")))</f>
        <v/>
      </c>
    </row>
    <row r="30">
      <c r="A30" s="19" t="n"/>
      <c r="F30" s="20" t="n"/>
      <c r="Q30" s="10">
        <f>IF(E30="USD",CONFIG!$B$5,1)</f>
        <v/>
      </c>
      <c r="R30">
        <f>IF(AND(A30&lt;&gt;"",ISNUMBER(A30),B30&lt;&gt;"",C30&lt;&gt;"",OR(E30="USD",E30="CRC"),F30&gt;0,ISNUMBER(Q30),Q30&gt;0),"✓ OK","✗ ERROR: Revisa datos")</f>
        <v/>
      </c>
      <c r="S30" s="6">
        <f>IF(A30&lt;&gt;"",TODAY()-A30,"")</f>
        <v/>
      </c>
      <c r="T30" s="4">
        <f>IF(E30="USD",F30,IF(E30="CRC",F30/CONFIG!$B$5,""))</f>
        <v/>
      </c>
      <c r="U30" s="19">
        <f>IF(A30&lt;&gt;"",A30+30,"")</f>
        <v/>
      </c>
      <c r="V30">
        <f>IF(AND(C30="CxP",S30&gt;60),"Alta",IF(AND(C30="CxP",S30&gt;30),"Media",IF(C30="CxP","Baja","")))</f>
        <v/>
      </c>
      <c r="W30">
        <f>IF(AND(C30="CxC",S30&gt;90),"Alta",IF(AND(C30="CxC",S30&gt;60),"Media",IF(C30="CxC","Baja","")))</f>
        <v/>
      </c>
    </row>
    <row r="31">
      <c r="A31" s="19" t="n"/>
      <c r="F31" s="20" t="n"/>
      <c r="Q31" s="10">
        <f>IF(E31="USD",CONFIG!$B$5,1)</f>
        <v/>
      </c>
      <c r="R31">
        <f>IF(AND(A31&lt;&gt;"",ISNUMBER(A31),B31&lt;&gt;"",C31&lt;&gt;"",OR(E31="USD",E31="CRC"),F31&gt;0,ISNUMBER(Q31),Q31&gt;0),"✓ OK","✗ ERROR: Revisa datos")</f>
        <v/>
      </c>
      <c r="S31" s="6">
        <f>IF(A31&lt;&gt;"",TODAY()-A31,"")</f>
        <v/>
      </c>
      <c r="T31" s="4">
        <f>IF(E31="USD",F31,IF(E31="CRC",F31/CONFIG!$B$5,""))</f>
        <v/>
      </c>
      <c r="U31" s="19">
        <f>IF(A31&lt;&gt;"",A31+30,"")</f>
        <v/>
      </c>
      <c r="V31">
        <f>IF(AND(C31="CxP",S31&gt;60),"Alta",IF(AND(C31="CxP",S31&gt;30),"Media",IF(C31="CxP","Baja","")))</f>
        <v/>
      </c>
      <c r="W31">
        <f>IF(AND(C31="CxC",S31&gt;90),"Alta",IF(AND(C31="CxC",S31&gt;60),"Media",IF(C31="CxC","Baja","")))</f>
        <v/>
      </c>
    </row>
    <row r="32">
      <c r="A32" s="19" t="n"/>
      <c r="F32" s="20" t="n"/>
      <c r="Q32" s="10">
        <f>IF(E32="USD",CONFIG!$B$5,1)</f>
        <v/>
      </c>
      <c r="R32">
        <f>IF(AND(A32&lt;&gt;"",ISNUMBER(A32),B32&lt;&gt;"",C32&lt;&gt;"",OR(E32="USD",E32="CRC"),F32&gt;0,ISNUMBER(Q32),Q32&gt;0),"✓ OK","✗ ERROR: Revisa datos")</f>
        <v/>
      </c>
      <c r="S32" s="6">
        <f>IF(A32&lt;&gt;"",TODAY()-A32,"")</f>
        <v/>
      </c>
      <c r="T32" s="4">
        <f>IF(E32="USD",F32,IF(E32="CRC",F32/CONFIG!$B$5,""))</f>
        <v/>
      </c>
      <c r="U32" s="19">
        <f>IF(A32&lt;&gt;"",A32+30,"")</f>
        <v/>
      </c>
      <c r="V32">
        <f>IF(AND(C32="CxP",S32&gt;60),"Alta",IF(AND(C32="CxP",S32&gt;30),"Media",IF(C32="CxP","Baja","")))</f>
        <v/>
      </c>
      <c r="W32">
        <f>IF(AND(C32="CxC",S32&gt;90),"Alta",IF(AND(C32="CxC",S32&gt;60),"Media",IF(C32="CxC","Baja","")))</f>
        <v/>
      </c>
    </row>
    <row r="33">
      <c r="A33" s="19" t="n"/>
      <c r="F33" s="20" t="n"/>
      <c r="Q33" s="10">
        <f>IF(E33="USD",CONFIG!$B$5,1)</f>
        <v/>
      </c>
      <c r="R33">
        <f>IF(AND(A33&lt;&gt;"",ISNUMBER(A33),B33&lt;&gt;"",C33&lt;&gt;"",OR(E33="USD",E33="CRC"),F33&gt;0,ISNUMBER(Q33),Q33&gt;0),"✓ OK","✗ ERROR: Revisa datos")</f>
        <v/>
      </c>
      <c r="S33" s="6">
        <f>IF(A33&lt;&gt;"",TODAY()-A33,"")</f>
        <v/>
      </c>
      <c r="T33" s="4">
        <f>IF(E33="USD",F33,IF(E33="CRC",F33/CONFIG!$B$5,""))</f>
        <v/>
      </c>
      <c r="U33" s="19">
        <f>IF(A33&lt;&gt;"",A33+30,"")</f>
        <v/>
      </c>
      <c r="V33">
        <f>IF(AND(C33="CxP",S33&gt;60),"Alta",IF(AND(C33="CxP",S33&gt;30),"Media",IF(C33="CxP","Baja","")))</f>
        <v/>
      </c>
      <c r="W33">
        <f>IF(AND(C33="CxC",S33&gt;90),"Alta",IF(AND(C33="CxC",S33&gt;60),"Media",IF(C33="CxC","Baja","")))</f>
        <v/>
      </c>
    </row>
    <row r="34">
      <c r="A34" s="19" t="n"/>
      <c r="F34" s="20" t="n"/>
      <c r="Q34" s="10">
        <f>IF(E34="USD",CONFIG!$B$5,1)</f>
        <v/>
      </c>
      <c r="R34">
        <f>IF(AND(A34&lt;&gt;"",ISNUMBER(A34),B34&lt;&gt;"",C34&lt;&gt;"",OR(E34="USD",E34="CRC"),F34&gt;0,ISNUMBER(Q34),Q34&gt;0),"✓ OK","✗ ERROR: Revisa datos")</f>
        <v/>
      </c>
      <c r="S34" s="6">
        <f>IF(A34&lt;&gt;"",TODAY()-A34,"")</f>
        <v/>
      </c>
      <c r="T34" s="4">
        <f>IF(E34="USD",F34,IF(E34="CRC",F34/CONFIG!$B$5,""))</f>
        <v/>
      </c>
      <c r="U34" s="19">
        <f>IF(A34&lt;&gt;"",A34+30,"")</f>
        <v/>
      </c>
      <c r="V34">
        <f>IF(AND(C34="CxP",S34&gt;60),"Alta",IF(AND(C34="CxP",S34&gt;30),"Media",IF(C34="CxP","Baja","")))</f>
        <v/>
      </c>
      <c r="W34">
        <f>IF(AND(C34="CxC",S34&gt;90),"Alta",IF(AND(C34="CxC",S34&gt;60),"Media",IF(C34="CxC","Baja","")))</f>
        <v/>
      </c>
    </row>
    <row r="35">
      <c r="A35" s="19" t="n"/>
      <c r="F35" s="20" t="n"/>
      <c r="Q35" s="10">
        <f>IF(E35="USD",CONFIG!$B$5,1)</f>
        <v/>
      </c>
      <c r="R35">
        <f>IF(AND(A35&lt;&gt;"",ISNUMBER(A35),B35&lt;&gt;"",C35&lt;&gt;"",OR(E35="USD",E35="CRC"),F35&gt;0,ISNUMBER(Q35),Q35&gt;0),"✓ OK","✗ ERROR: Revisa datos")</f>
        <v/>
      </c>
      <c r="S35" s="6">
        <f>IF(A35&lt;&gt;"",TODAY()-A35,"")</f>
        <v/>
      </c>
      <c r="T35" s="4">
        <f>IF(E35="USD",F35,IF(E35="CRC",F35/CONFIG!$B$5,""))</f>
        <v/>
      </c>
      <c r="U35" s="19">
        <f>IF(A35&lt;&gt;"",A35+30,"")</f>
        <v/>
      </c>
      <c r="V35">
        <f>IF(AND(C35="CxP",S35&gt;60),"Alta",IF(AND(C35="CxP",S35&gt;30),"Media",IF(C35="CxP","Baja","")))</f>
        <v/>
      </c>
      <c r="W35">
        <f>IF(AND(C35="CxC",S35&gt;90),"Alta",IF(AND(C35="CxC",S35&gt;60),"Media",IF(C35="CxC","Baja","")))</f>
        <v/>
      </c>
    </row>
    <row r="36">
      <c r="A36" s="19" t="n"/>
      <c r="F36" s="20" t="n"/>
      <c r="Q36" s="10">
        <f>IF(E36="USD",CONFIG!$B$5,1)</f>
        <v/>
      </c>
      <c r="R36">
        <f>IF(AND(A36&lt;&gt;"",ISNUMBER(A36),B36&lt;&gt;"",C36&lt;&gt;"",OR(E36="USD",E36="CRC"),F36&gt;0,ISNUMBER(Q36),Q36&gt;0),"✓ OK","✗ ERROR: Revisa datos")</f>
        <v/>
      </c>
      <c r="S36" s="6">
        <f>IF(A36&lt;&gt;"",TODAY()-A36,"")</f>
        <v/>
      </c>
      <c r="T36" s="4">
        <f>IF(E36="USD",F36,IF(E36="CRC",F36/CONFIG!$B$5,""))</f>
        <v/>
      </c>
      <c r="U36" s="19">
        <f>IF(A36&lt;&gt;"",A36+30,"")</f>
        <v/>
      </c>
      <c r="V36">
        <f>IF(AND(C36="CxP",S36&gt;60),"Alta",IF(AND(C36="CxP",S36&gt;30),"Media",IF(C36="CxP","Baja","")))</f>
        <v/>
      </c>
      <c r="W36">
        <f>IF(AND(C36="CxC",S36&gt;90),"Alta",IF(AND(C36="CxC",S36&gt;60),"Media",IF(C36="CxC","Baja","")))</f>
        <v/>
      </c>
    </row>
    <row r="37">
      <c r="A37" s="19" t="n"/>
      <c r="F37" s="20" t="n"/>
      <c r="Q37" s="10">
        <f>IF(E37="USD",CONFIG!$B$5,1)</f>
        <v/>
      </c>
      <c r="R37">
        <f>IF(AND(A37&lt;&gt;"",ISNUMBER(A37),B37&lt;&gt;"",C37&lt;&gt;"",OR(E37="USD",E37="CRC"),F37&gt;0,ISNUMBER(Q37),Q37&gt;0),"✓ OK","✗ ERROR: Revisa datos")</f>
        <v/>
      </c>
      <c r="S37" s="6">
        <f>IF(A37&lt;&gt;"",TODAY()-A37,"")</f>
        <v/>
      </c>
      <c r="T37" s="4">
        <f>IF(E37="USD",F37,IF(E37="CRC",F37/CONFIG!$B$5,""))</f>
        <v/>
      </c>
      <c r="U37" s="19">
        <f>IF(A37&lt;&gt;"",A37+30,"")</f>
        <v/>
      </c>
      <c r="V37">
        <f>IF(AND(C37="CxP",S37&gt;60),"Alta",IF(AND(C37="CxP",S37&gt;30),"Media",IF(C37="CxP","Baja","")))</f>
        <v/>
      </c>
      <c r="W37">
        <f>IF(AND(C37="CxC",S37&gt;90),"Alta",IF(AND(C37="CxC",S37&gt;60),"Media",IF(C37="CxC","Baja","")))</f>
        <v/>
      </c>
    </row>
    <row r="38">
      <c r="A38" s="19" t="n"/>
      <c r="F38" s="20" t="n"/>
      <c r="Q38" s="10">
        <f>IF(E38="USD",CONFIG!$B$5,1)</f>
        <v/>
      </c>
      <c r="R38">
        <f>IF(AND(A38&lt;&gt;"",ISNUMBER(A38),B38&lt;&gt;"",C38&lt;&gt;"",OR(E38="USD",E38="CRC"),F38&gt;0,ISNUMBER(Q38),Q38&gt;0),"✓ OK","✗ ERROR: Revisa datos")</f>
        <v/>
      </c>
      <c r="S38" s="6">
        <f>IF(A38&lt;&gt;"",TODAY()-A38,"")</f>
        <v/>
      </c>
      <c r="T38" s="4">
        <f>IF(E38="USD",F38,IF(E38="CRC",F38/CONFIG!$B$5,""))</f>
        <v/>
      </c>
      <c r="U38" s="19">
        <f>IF(A38&lt;&gt;"",A38+30,"")</f>
        <v/>
      </c>
      <c r="V38">
        <f>IF(AND(C38="CxP",S38&gt;60),"Alta",IF(AND(C38="CxP",S38&gt;30),"Media",IF(C38="CxP","Baja","")))</f>
        <v/>
      </c>
      <c r="W38">
        <f>IF(AND(C38="CxC",S38&gt;90),"Alta",IF(AND(C38="CxC",S38&gt;60),"Media",IF(C38="CxC","Baja","")))</f>
        <v/>
      </c>
    </row>
    <row r="39">
      <c r="A39" s="19" t="n"/>
      <c r="F39" s="20" t="n"/>
      <c r="Q39" s="10">
        <f>IF(E39="USD",CONFIG!$B$5,1)</f>
        <v/>
      </c>
      <c r="R39">
        <f>IF(AND(A39&lt;&gt;"",ISNUMBER(A39),B39&lt;&gt;"",C39&lt;&gt;"",OR(E39="USD",E39="CRC"),F39&gt;0,ISNUMBER(Q39),Q39&gt;0),"✓ OK","✗ ERROR: Revisa datos")</f>
        <v/>
      </c>
      <c r="S39" s="6">
        <f>IF(A39&lt;&gt;"",TODAY()-A39,"")</f>
        <v/>
      </c>
      <c r="T39" s="4">
        <f>IF(E39="USD",F39,IF(E39="CRC",F39/CONFIG!$B$5,""))</f>
        <v/>
      </c>
      <c r="U39" s="19">
        <f>IF(A39&lt;&gt;"",A39+30,"")</f>
        <v/>
      </c>
      <c r="V39">
        <f>IF(AND(C39="CxP",S39&gt;60),"Alta",IF(AND(C39="CxP",S39&gt;30),"Media",IF(C39="CxP","Baja","")))</f>
        <v/>
      </c>
      <c r="W39">
        <f>IF(AND(C39="CxC",S39&gt;90),"Alta",IF(AND(C39="CxC",S39&gt;60),"Media",IF(C39="CxC","Baja","")))</f>
        <v/>
      </c>
    </row>
    <row r="40">
      <c r="A40" s="19" t="n"/>
      <c r="F40" s="20" t="n"/>
      <c r="Q40" s="10">
        <f>IF(E40="USD",CONFIG!$B$5,1)</f>
        <v/>
      </c>
      <c r="R40">
        <f>IF(AND(A40&lt;&gt;"",ISNUMBER(A40),B40&lt;&gt;"",C40&lt;&gt;"",OR(E40="USD",E40="CRC"),F40&gt;0,ISNUMBER(Q40),Q40&gt;0),"✓ OK","✗ ERROR: Revisa datos")</f>
        <v/>
      </c>
      <c r="S40" s="6">
        <f>IF(A40&lt;&gt;"",TODAY()-A40,"")</f>
        <v/>
      </c>
      <c r="T40" s="4">
        <f>IF(E40="USD",F40,IF(E40="CRC",F40/CONFIG!$B$5,""))</f>
        <v/>
      </c>
      <c r="U40" s="19">
        <f>IF(A40&lt;&gt;"",A40+30,"")</f>
        <v/>
      </c>
      <c r="V40">
        <f>IF(AND(C40="CxP",S40&gt;60),"Alta",IF(AND(C40="CxP",S40&gt;30),"Media",IF(C40="CxP","Baja","")))</f>
        <v/>
      </c>
      <c r="W40">
        <f>IF(AND(C40="CxC",S40&gt;90),"Alta",IF(AND(C40="CxC",S40&gt;60),"Media",IF(C40="CxC","Baja","")))</f>
        <v/>
      </c>
    </row>
    <row r="41">
      <c r="A41" s="19" t="n"/>
      <c r="F41" s="20" t="n"/>
      <c r="Q41" s="10">
        <f>IF(E41="USD",CONFIG!$B$5,1)</f>
        <v/>
      </c>
      <c r="R41">
        <f>IF(AND(A41&lt;&gt;"",ISNUMBER(A41),B41&lt;&gt;"",C41&lt;&gt;"",OR(E41="USD",E41="CRC"),F41&gt;0,ISNUMBER(Q41),Q41&gt;0),"✓ OK","✗ ERROR: Revisa datos")</f>
        <v/>
      </c>
      <c r="S41" s="6">
        <f>IF(A41&lt;&gt;"",TODAY()-A41,"")</f>
        <v/>
      </c>
      <c r="T41" s="4">
        <f>IF(E41="USD",F41,IF(E41="CRC",F41/CONFIG!$B$5,""))</f>
        <v/>
      </c>
      <c r="U41" s="19">
        <f>IF(A41&lt;&gt;"",A41+30,"")</f>
        <v/>
      </c>
      <c r="V41">
        <f>IF(AND(C41="CxP",S41&gt;60),"Alta",IF(AND(C41="CxP",S41&gt;30),"Media",IF(C41="CxP","Baja","")))</f>
        <v/>
      </c>
      <c r="W41">
        <f>IF(AND(C41="CxC",S41&gt;90),"Alta",IF(AND(C41="CxC",S41&gt;60),"Media",IF(C41="CxC","Baja","")))</f>
        <v/>
      </c>
    </row>
    <row r="42">
      <c r="A42" s="19" t="n"/>
      <c r="F42" s="20" t="n"/>
      <c r="Q42" s="10">
        <f>IF(E42="USD",CONFIG!$B$5,1)</f>
        <v/>
      </c>
      <c r="R42">
        <f>IF(AND(A42&lt;&gt;"",ISNUMBER(A42),B42&lt;&gt;"",C42&lt;&gt;"",OR(E42="USD",E42="CRC"),F42&gt;0,ISNUMBER(Q42),Q42&gt;0),"✓ OK","✗ ERROR: Revisa datos")</f>
        <v/>
      </c>
      <c r="S42" s="6">
        <f>IF(A42&lt;&gt;"",TODAY()-A42,"")</f>
        <v/>
      </c>
      <c r="T42" s="4">
        <f>IF(E42="USD",F42,IF(E42="CRC",F42/CONFIG!$B$5,""))</f>
        <v/>
      </c>
      <c r="U42" s="19">
        <f>IF(A42&lt;&gt;"",A42+30,"")</f>
        <v/>
      </c>
      <c r="V42">
        <f>IF(AND(C42="CxP",S42&gt;60),"Alta",IF(AND(C42="CxP",S42&gt;30),"Media",IF(C42="CxP","Baja","")))</f>
        <v/>
      </c>
      <c r="W42">
        <f>IF(AND(C42="CxC",S42&gt;90),"Alta",IF(AND(C42="CxC",S42&gt;60),"Media",IF(C42="CxC","Baja","")))</f>
        <v/>
      </c>
    </row>
    <row r="43">
      <c r="A43" s="19" t="n"/>
      <c r="F43" s="20" t="n"/>
      <c r="Q43" s="10">
        <f>IF(E43="USD",CONFIG!$B$5,1)</f>
        <v/>
      </c>
      <c r="R43">
        <f>IF(AND(A43&lt;&gt;"",ISNUMBER(A43),B43&lt;&gt;"",C43&lt;&gt;"",OR(E43="USD",E43="CRC"),F43&gt;0,ISNUMBER(Q43),Q43&gt;0),"✓ OK","✗ ERROR: Revisa datos")</f>
        <v/>
      </c>
      <c r="S43" s="6">
        <f>IF(A43&lt;&gt;"",TODAY()-A43,"")</f>
        <v/>
      </c>
      <c r="T43" s="4">
        <f>IF(E43="USD",F43,IF(E43="CRC",F43/CONFIG!$B$5,""))</f>
        <v/>
      </c>
      <c r="U43" s="19">
        <f>IF(A43&lt;&gt;"",A43+30,"")</f>
        <v/>
      </c>
      <c r="V43">
        <f>IF(AND(C43="CxP",S43&gt;60),"Alta",IF(AND(C43="CxP",S43&gt;30),"Media",IF(C43="CxP","Baja","")))</f>
        <v/>
      </c>
      <c r="W43">
        <f>IF(AND(C43="CxC",S43&gt;90),"Alta",IF(AND(C43="CxC",S43&gt;60),"Media",IF(C43="CxC","Baja","")))</f>
        <v/>
      </c>
    </row>
    <row r="44">
      <c r="A44" s="19" t="n"/>
      <c r="F44" s="20" t="n"/>
      <c r="Q44" s="10">
        <f>IF(E44="USD",CONFIG!$B$5,1)</f>
        <v/>
      </c>
      <c r="R44">
        <f>IF(AND(A44&lt;&gt;"",ISNUMBER(A44),B44&lt;&gt;"",C44&lt;&gt;"",OR(E44="USD",E44="CRC"),F44&gt;0,ISNUMBER(Q44),Q44&gt;0),"✓ OK","✗ ERROR: Revisa datos")</f>
        <v/>
      </c>
      <c r="S44" s="6">
        <f>IF(A44&lt;&gt;"",TODAY()-A44,"")</f>
        <v/>
      </c>
      <c r="T44" s="4">
        <f>IF(E44="USD",F44,IF(E44="CRC",F44/CONFIG!$B$5,""))</f>
        <v/>
      </c>
      <c r="U44" s="19">
        <f>IF(A44&lt;&gt;"",A44+30,"")</f>
        <v/>
      </c>
      <c r="V44">
        <f>IF(AND(C44="CxP",S44&gt;60),"Alta",IF(AND(C44="CxP",S44&gt;30),"Media",IF(C44="CxP","Baja","")))</f>
        <v/>
      </c>
      <c r="W44">
        <f>IF(AND(C44="CxC",S44&gt;90),"Alta",IF(AND(C44="CxC",S44&gt;60),"Media",IF(C44="CxC","Baja","")))</f>
        <v/>
      </c>
    </row>
    <row r="45">
      <c r="A45" s="19" t="n"/>
      <c r="F45" s="20" t="n"/>
      <c r="Q45" s="10">
        <f>IF(E45="USD",CONFIG!$B$5,1)</f>
        <v/>
      </c>
      <c r="R45">
        <f>IF(AND(A45&lt;&gt;"",ISNUMBER(A45),B45&lt;&gt;"",C45&lt;&gt;"",OR(E45="USD",E45="CRC"),F45&gt;0,ISNUMBER(Q45),Q45&gt;0),"✓ OK","✗ ERROR: Revisa datos")</f>
        <v/>
      </c>
      <c r="S45" s="6">
        <f>IF(A45&lt;&gt;"",TODAY()-A45,"")</f>
        <v/>
      </c>
      <c r="T45" s="4">
        <f>IF(E45="USD",F45,IF(E45="CRC",F45/CONFIG!$B$5,""))</f>
        <v/>
      </c>
      <c r="U45" s="19">
        <f>IF(A45&lt;&gt;"",A45+30,"")</f>
        <v/>
      </c>
      <c r="V45">
        <f>IF(AND(C45="CxP",S45&gt;60),"Alta",IF(AND(C45="CxP",S45&gt;30),"Media",IF(C45="CxP","Baja","")))</f>
        <v/>
      </c>
      <c r="W45">
        <f>IF(AND(C45="CxC",S45&gt;90),"Alta",IF(AND(C45="CxC",S45&gt;60),"Media",IF(C45="CxC","Baja","")))</f>
        <v/>
      </c>
    </row>
    <row r="46">
      <c r="A46" s="19" t="n"/>
      <c r="F46" s="20" t="n"/>
      <c r="Q46" s="10">
        <f>IF(E46="USD",CONFIG!$B$5,1)</f>
        <v/>
      </c>
      <c r="R46">
        <f>IF(AND(A46&lt;&gt;"",ISNUMBER(A46),B46&lt;&gt;"",C46&lt;&gt;"",OR(E46="USD",E46="CRC"),F46&gt;0,ISNUMBER(Q46),Q46&gt;0),"✓ OK","✗ ERROR: Revisa datos")</f>
        <v/>
      </c>
      <c r="S46" s="6">
        <f>IF(A46&lt;&gt;"",TODAY()-A46,"")</f>
        <v/>
      </c>
      <c r="T46" s="4">
        <f>IF(E46="USD",F46,IF(E46="CRC",F46/CONFIG!$B$5,""))</f>
        <v/>
      </c>
      <c r="U46" s="19">
        <f>IF(A46&lt;&gt;"",A46+30,"")</f>
        <v/>
      </c>
      <c r="V46">
        <f>IF(AND(C46="CxP",S46&gt;60),"Alta",IF(AND(C46="CxP",S46&gt;30),"Media",IF(C46="CxP","Baja","")))</f>
        <v/>
      </c>
      <c r="W46">
        <f>IF(AND(C46="CxC",S46&gt;90),"Alta",IF(AND(C46="CxC",S46&gt;60),"Media",IF(C46="CxC","Baja","")))</f>
        <v/>
      </c>
    </row>
    <row r="47">
      <c r="A47" s="19" t="n"/>
      <c r="F47" s="20" t="n"/>
      <c r="Q47" s="10">
        <f>IF(E47="USD",CONFIG!$B$5,1)</f>
        <v/>
      </c>
      <c r="R47">
        <f>IF(AND(A47&lt;&gt;"",ISNUMBER(A47),B47&lt;&gt;"",C47&lt;&gt;"",OR(E47="USD",E47="CRC"),F47&gt;0,ISNUMBER(Q47),Q47&gt;0),"✓ OK","✗ ERROR: Revisa datos")</f>
        <v/>
      </c>
      <c r="S47" s="6">
        <f>IF(A47&lt;&gt;"",TODAY()-A47,"")</f>
        <v/>
      </c>
      <c r="T47" s="4">
        <f>IF(E47="USD",F47,IF(E47="CRC",F47/CONFIG!$B$5,""))</f>
        <v/>
      </c>
      <c r="U47" s="19">
        <f>IF(A47&lt;&gt;"",A47+30,"")</f>
        <v/>
      </c>
      <c r="V47">
        <f>IF(AND(C47="CxP",S47&gt;60),"Alta",IF(AND(C47="CxP",S47&gt;30),"Media",IF(C47="CxP","Baja","")))</f>
        <v/>
      </c>
      <c r="W47">
        <f>IF(AND(C47="CxC",S47&gt;90),"Alta",IF(AND(C47="CxC",S47&gt;60),"Media",IF(C47="CxC","Baja","")))</f>
        <v/>
      </c>
    </row>
    <row r="48">
      <c r="A48" s="19" t="n"/>
      <c r="F48" s="20" t="n"/>
      <c r="Q48" s="10">
        <f>IF(E48="USD",CONFIG!$B$5,1)</f>
        <v/>
      </c>
      <c r="R48">
        <f>IF(AND(A48&lt;&gt;"",ISNUMBER(A48),B48&lt;&gt;"",C48&lt;&gt;"",OR(E48="USD",E48="CRC"),F48&gt;0,ISNUMBER(Q48),Q48&gt;0),"✓ OK","✗ ERROR: Revisa datos")</f>
        <v/>
      </c>
      <c r="S48" s="6">
        <f>IF(A48&lt;&gt;"",TODAY()-A48,"")</f>
        <v/>
      </c>
      <c r="T48" s="4">
        <f>IF(E48="USD",F48,IF(E48="CRC",F48/CONFIG!$B$5,""))</f>
        <v/>
      </c>
      <c r="U48" s="19">
        <f>IF(A48&lt;&gt;"",A48+30,"")</f>
        <v/>
      </c>
      <c r="V48">
        <f>IF(AND(C48="CxP",S48&gt;60),"Alta",IF(AND(C48="CxP",S48&gt;30),"Media",IF(C48="CxP","Baja","")))</f>
        <v/>
      </c>
      <c r="W48">
        <f>IF(AND(C48="CxC",S48&gt;90),"Alta",IF(AND(C48="CxC",S48&gt;60),"Media",IF(C48="CxC","Baja","")))</f>
        <v/>
      </c>
    </row>
    <row r="49">
      <c r="A49" s="19" t="n"/>
      <c r="F49" s="20" t="n"/>
      <c r="Q49" s="10">
        <f>IF(E49="USD",CONFIG!$B$5,1)</f>
        <v/>
      </c>
      <c r="R49">
        <f>IF(AND(A49&lt;&gt;"",ISNUMBER(A49),B49&lt;&gt;"",C49&lt;&gt;"",OR(E49="USD",E49="CRC"),F49&gt;0,ISNUMBER(Q49),Q49&gt;0),"✓ OK","✗ ERROR: Revisa datos")</f>
        <v/>
      </c>
      <c r="S49" s="6">
        <f>IF(A49&lt;&gt;"",TODAY()-A49,"")</f>
        <v/>
      </c>
      <c r="T49" s="4">
        <f>IF(E49="USD",F49,IF(E49="CRC",F49/CONFIG!$B$5,""))</f>
        <v/>
      </c>
      <c r="U49" s="19">
        <f>IF(A49&lt;&gt;"",A49+30,"")</f>
        <v/>
      </c>
      <c r="V49">
        <f>IF(AND(C49="CxP",S49&gt;60),"Alta",IF(AND(C49="CxP",S49&gt;30),"Media",IF(C49="CxP","Baja","")))</f>
        <v/>
      </c>
      <c r="W49">
        <f>IF(AND(C49="CxC",S49&gt;90),"Alta",IF(AND(C49="CxC",S49&gt;60),"Media",IF(C49="CxC","Baja","")))</f>
        <v/>
      </c>
    </row>
    <row r="50">
      <c r="A50" s="19" t="n"/>
      <c r="F50" s="20" t="n"/>
      <c r="Q50" s="10">
        <f>IF(E50="USD",CONFIG!$B$5,1)</f>
        <v/>
      </c>
      <c r="R50">
        <f>IF(AND(A50&lt;&gt;"",ISNUMBER(A50),B50&lt;&gt;"",C50&lt;&gt;"",OR(E50="USD",E50="CRC"),F50&gt;0,ISNUMBER(Q50),Q50&gt;0),"✓ OK","✗ ERROR: Revisa datos")</f>
        <v/>
      </c>
      <c r="S50" s="6">
        <f>IF(A50&lt;&gt;"",TODAY()-A50,"")</f>
        <v/>
      </c>
      <c r="T50" s="4">
        <f>IF(E50="USD",F50,IF(E50="CRC",F50/CONFIG!$B$5,""))</f>
        <v/>
      </c>
      <c r="U50" s="19">
        <f>IF(A50&lt;&gt;"",A50+30,"")</f>
        <v/>
      </c>
      <c r="V50">
        <f>IF(AND(C50="CxP",S50&gt;60),"Alta",IF(AND(C50="CxP",S50&gt;30),"Media",IF(C50="CxP","Baja","")))</f>
        <v/>
      </c>
      <c r="W50">
        <f>IF(AND(C50="CxC",S50&gt;90),"Alta",IF(AND(C50="CxC",S50&gt;60),"Media",IF(C50="CxC","Baja","")))</f>
        <v/>
      </c>
    </row>
    <row r="51">
      <c r="A51" s="19" t="n"/>
      <c r="F51" s="20" t="n"/>
      <c r="Q51" s="10">
        <f>IF(E51="USD",CONFIG!$B$5,1)</f>
        <v/>
      </c>
      <c r="R51">
        <f>IF(AND(A51&lt;&gt;"",ISNUMBER(A51),B51&lt;&gt;"",C51&lt;&gt;"",OR(E51="USD",E51="CRC"),F51&gt;0,ISNUMBER(Q51),Q51&gt;0),"✓ OK","✗ ERROR: Revisa datos")</f>
        <v/>
      </c>
      <c r="S51" s="6">
        <f>IF(A51&lt;&gt;"",TODAY()-A51,"")</f>
        <v/>
      </c>
      <c r="T51" s="4">
        <f>IF(E51="USD",F51,IF(E51="CRC",F51/CONFIG!$B$5,""))</f>
        <v/>
      </c>
      <c r="U51" s="19">
        <f>IF(A51&lt;&gt;"",A51+30,"")</f>
        <v/>
      </c>
      <c r="V51">
        <f>IF(AND(C51="CxP",S51&gt;60),"Alta",IF(AND(C51="CxP",S51&gt;30),"Media",IF(C51="CxP","Baja","")))</f>
        <v/>
      </c>
      <c r="W51">
        <f>IF(AND(C51="CxC",S51&gt;90),"Alta",IF(AND(C51="CxC",S51&gt;60),"Media",IF(C51="CxC","Baja","")))</f>
        <v/>
      </c>
    </row>
    <row r="52">
      <c r="A52" s="19" t="n"/>
      <c r="F52" s="20" t="n"/>
      <c r="Q52" s="10">
        <f>IF(E52="USD",CONFIG!$B$5,1)</f>
        <v/>
      </c>
      <c r="R52">
        <f>IF(AND(A52&lt;&gt;"",ISNUMBER(A52),B52&lt;&gt;"",C52&lt;&gt;"",OR(E52="USD",E52="CRC"),F52&gt;0,ISNUMBER(Q52),Q52&gt;0),"✓ OK","✗ ERROR: Revisa datos")</f>
        <v/>
      </c>
      <c r="S52" s="6">
        <f>IF(A52&lt;&gt;"",TODAY()-A52,"")</f>
        <v/>
      </c>
      <c r="T52" s="4">
        <f>IF(E52="USD",F52,IF(E52="CRC",F52/CONFIG!$B$5,""))</f>
        <v/>
      </c>
      <c r="U52" s="19">
        <f>IF(A52&lt;&gt;"",A52+30,"")</f>
        <v/>
      </c>
      <c r="V52">
        <f>IF(AND(C52="CxP",S52&gt;60),"Alta",IF(AND(C52="CxP",S52&gt;30),"Media",IF(C52="CxP","Baja","")))</f>
        <v/>
      </c>
      <c r="W52">
        <f>IF(AND(C52="CxC",S52&gt;90),"Alta",IF(AND(C52="CxC",S52&gt;60),"Media",IF(C52="CxC","Baja","")))</f>
        <v/>
      </c>
    </row>
    <row r="53">
      <c r="A53" s="19" t="n"/>
      <c r="F53" s="20" t="n"/>
      <c r="Q53" s="10">
        <f>IF(E53="USD",CONFIG!$B$5,1)</f>
        <v/>
      </c>
      <c r="R53">
        <f>IF(AND(A53&lt;&gt;"",ISNUMBER(A53),B53&lt;&gt;"",C53&lt;&gt;"",OR(E53="USD",E53="CRC"),F53&gt;0,ISNUMBER(Q53),Q53&gt;0),"✓ OK","✗ ERROR: Revisa datos")</f>
        <v/>
      </c>
      <c r="S53" s="6">
        <f>IF(A53&lt;&gt;"",TODAY()-A53,"")</f>
        <v/>
      </c>
      <c r="T53" s="4">
        <f>IF(E53="USD",F53,IF(E53="CRC",F53/CONFIG!$B$5,""))</f>
        <v/>
      </c>
      <c r="U53" s="19">
        <f>IF(A53&lt;&gt;"",A53+30,"")</f>
        <v/>
      </c>
      <c r="V53">
        <f>IF(AND(C53="CxP",S53&gt;60),"Alta",IF(AND(C53="CxP",S53&gt;30),"Media",IF(C53="CxP","Baja","")))</f>
        <v/>
      </c>
      <c r="W53">
        <f>IF(AND(C53="CxC",S53&gt;90),"Alta",IF(AND(C53="CxC",S53&gt;60),"Media",IF(C53="CxC","Baja","")))</f>
        <v/>
      </c>
    </row>
    <row r="54">
      <c r="A54" s="19" t="n"/>
      <c r="F54" s="20" t="n"/>
      <c r="Q54" s="10">
        <f>IF(E54="USD",CONFIG!$B$5,1)</f>
        <v/>
      </c>
      <c r="R54">
        <f>IF(AND(A54&lt;&gt;"",ISNUMBER(A54),B54&lt;&gt;"",C54&lt;&gt;"",OR(E54="USD",E54="CRC"),F54&gt;0,ISNUMBER(Q54),Q54&gt;0),"✓ OK","✗ ERROR: Revisa datos")</f>
        <v/>
      </c>
      <c r="S54" s="6">
        <f>IF(A54&lt;&gt;"",TODAY()-A54,"")</f>
        <v/>
      </c>
      <c r="T54" s="4">
        <f>IF(E54="USD",F54,IF(E54="CRC",F54/CONFIG!$B$5,""))</f>
        <v/>
      </c>
      <c r="U54" s="19">
        <f>IF(A54&lt;&gt;"",A54+30,"")</f>
        <v/>
      </c>
      <c r="V54">
        <f>IF(AND(C54="CxP",S54&gt;60),"Alta",IF(AND(C54="CxP",S54&gt;30),"Media",IF(C54="CxP","Baja","")))</f>
        <v/>
      </c>
      <c r="W54">
        <f>IF(AND(C54="CxC",S54&gt;90),"Alta",IF(AND(C54="CxC",S54&gt;60),"Media",IF(C54="CxC","Baja","")))</f>
        <v/>
      </c>
    </row>
    <row r="55">
      <c r="A55" s="19" t="n"/>
      <c r="F55" s="20" t="n"/>
      <c r="Q55" s="10">
        <f>IF(E55="USD",CONFIG!$B$5,1)</f>
        <v/>
      </c>
      <c r="R55">
        <f>IF(AND(A55&lt;&gt;"",ISNUMBER(A55),B55&lt;&gt;"",C55&lt;&gt;"",OR(E55="USD",E55="CRC"),F55&gt;0,ISNUMBER(Q55),Q55&gt;0),"✓ OK","✗ ERROR: Revisa datos")</f>
        <v/>
      </c>
      <c r="S55" s="6">
        <f>IF(A55&lt;&gt;"",TODAY()-A55,"")</f>
        <v/>
      </c>
      <c r="T55" s="4">
        <f>IF(E55="USD",F55,IF(E55="CRC",F55/CONFIG!$B$5,""))</f>
        <v/>
      </c>
      <c r="U55" s="19">
        <f>IF(A55&lt;&gt;"",A55+30,"")</f>
        <v/>
      </c>
      <c r="V55">
        <f>IF(AND(C55="CxP",S55&gt;60),"Alta",IF(AND(C55="CxP",S55&gt;30),"Media",IF(C55="CxP","Baja","")))</f>
        <v/>
      </c>
      <c r="W55">
        <f>IF(AND(C55="CxC",S55&gt;90),"Alta",IF(AND(C55="CxC",S55&gt;60),"Media",IF(C55="CxC","Baja","")))</f>
        <v/>
      </c>
    </row>
    <row r="56">
      <c r="A56" s="19" t="n"/>
      <c r="F56" s="20" t="n"/>
      <c r="Q56" s="10">
        <f>IF(E56="USD",CONFIG!$B$5,1)</f>
        <v/>
      </c>
      <c r="R56">
        <f>IF(AND(A56&lt;&gt;"",ISNUMBER(A56),B56&lt;&gt;"",C56&lt;&gt;"",OR(E56="USD",E56="CRC"),F56&gt;0,ISNUMBER(Q56),Q56&gt;0),"✓ OK","✗ ERROR: Revisa datos")</f>
        <v/>
      </c>
      <c r="S56" s="6">
        <f>IF(A56&lt;&gt;"",TODAY()-A56,"")</f>
        <v/>
      </c>
      <c r="T56" s="4">
        <f>IF(E56="USD",F56,IF(E56="CRC",F56/CONFIG!$B$5,""))</f>
        <v/>
      </c>
      <c r="U56" s="19">
        <f>IF(A56&lt;&gt;"",A56+30,"")</f>
        <v/>
      </c>
      <c r="V56">
        <f>IF(AND(C56="CxP",S56&gt;60),"Alta",IF(AND(C56="CxP",S56&gt;30),"Media",IF(C56="CxP","Baja","")))</f>
        <v/>
      </c>
      <c r="W56">
        <f>IF(AND(C56="CxC",S56&gt;90),"Alta",IF(AND(C56="CxC",S56&gt;60),"Media",IF(C56="CxC","Baja","")))</f>
        <v/>
      </c>
    </row>
    <row r="57">
      <c r="A57" s="19" t="n"/>
      <c r="F57" s="20" t="n"/>
      <c r="Q57" s="10">
        <f>IF(E57="USD",CONFIG!$B$5,1)</f>
        <v/>
      </c>
      <c r="R57">
        <f>IF(AND(A57&lt;&gt;"",ISNUMBER(A57),B57&lt;&gt;"",C57&lt;&gt;"",OR(E57="USD",E57="CRC"),F57&gt;0,ISNUMBER(Q57),Q57&gt;0),"✓ OK","✗ ERROR: Revisa datos")</f>
        <v/>
      </c>
      <c r="S57" s="6">
        <f>IF(A57&lt;&gt;"",TODAY()-A57,"")</f>
        <v/>
      </c>
      <c r="T57" s="4">
        <f>IF(E57="USD",F57,IF(E57="CRC",F57/CONFIG!$B$5,""))</f>
        <v/>
      </c>
      <c r="U57" s="19">
        <f>IF(A57&lt;&gt;"",A57+30,"")</f>
        <v/>
      </c>
      <c r="V57">
        <f>IF(AND(C57="CxP",S57&gt;60),"Alta",IF(AND(C57="CxP",S57&gt;30),"Media",IF(C57="CxP","Baja","")))</f>
        <v/>
      </c>
      <c r="W57">
        <f>IF(AND(C57="CxC",S57&gt;90),"Alta",IF(AND(C57="CxC",S57&gt;60),"Media",IF(C57="CxC","Baja","")))</f>
        <v/>
      </c>
    </row>
    <row r="58">
      <c r="A58" s="19" t="n"/>
      <c r="F58" s="20" t="n"/>
      <c r="Q58" s="10">
        <f>IF(E58="USD",CONFIG!$B$5,1)</f>
        <v/>
      </c>
      <c r="R58">
        <f>IF(AND(A58&lt;&gt;"",ISNUMBER(A58),B58&lt;&gt;"",C58&lt;&gt;"",OR(E58="USD",E58="CRC"),F58&gt;0,ISNUMBER(Q58),Q58&gt;0),"✓ OK","✗ ERROR: Revisa datos")</f>
        <v/>
      </c>
      <c r="S58" s="6">
        <f>IF(A58&lt;&gt;"",TODAY()-A58,"")</f>
        <v/>
      </c>
      <c r="T58" s="4">
        <f>IF(E58="USD",F58,IF(E58="CRC",F58/CONFIG!$B$5,""))</f>
        <v/>
      </c>
      <c r="U58" s="19">
        <f>IF(A58&lt;&gt;"",A58+30,"")</f>
        <v/>
      </c>
      <c r="V58">
        <f>IF(AND(C58="CxP",S58&gt;60),"Alta",IF(AND(C58="CxP",S58&gt;30),"Media",IF(C58="CxP","Baja","")))</f>
        <v/>
      </c>
      <c r="W58">
        <f>IF(AND(C58="CxC",S58&gt;90),"Alta",IF(AND(C58="CxC",S58&gt;60),"Media",IF(C58="CxC","Baja","")))</f>
        <v/>
      </c>
    </row>
    <row r="59">
      <c r="A59" s="19" t="n"/>
      <c r="F59" s="20" t="n"/>
      <c r="Q59" s="10">
        <f>IF(E59="USD",CONFIG!$B$5,1)</f>
        <v/>
      </c>
      <c r="R59">
        <f>IF(AND(A59&lt;&gt;"",ISNUMBER(A59),B59&lt;&gt;"",C59&lt;&gt;"",OR(E59="USD",E59="CRC"),F59&gt;0,ISNUMBER(Q59),Q59&gt;0),"✓ OK","✗ ERROR: Revisa datos")</f>
        <v/>
      </c>
      <c r="S59" s="6">
        <f>IF(A59&lt;&gt;"",TODAY()-A59,"")</f>
        <v/>
      </c>
      <c r="T59" s="4">
        <f>IF(E59="USD",F59,IF(E59="CRC",F59/CONFIG!$B$5,""))</f>
        <v/>
      </c>
      <c r="U59" s="19">
        <f>IF(A59&lt;&gt;"",A59+30,"")</f>
        <v/>
      </c>
      <c r="V59">
        <f>IF(AND(C59="CxP",S59&gt;60),"Alta",IF(AND(C59="CxP",S59&gt;30),"Media",IF(C59="CxP","Baja","")))</f>
        <v/>
      </c>
      <c r="W59">
        <f>IF(AND(C59="CxC",S59&gt;90),"Alta",IF(AND(C59="CxC",S59&gt;60),"Media",IF(C59="CxC","Baja","")))</f>
        <v/>
      </c>
    </row>
    <row r="60">
      <c r="A60" s="19" t="n"/>
      <c r="F60" s="20" t="n"/>
      <c r="Q60" s="10">
        <f>IF(E60="USD",CONFIG!$B$5,1)</f>
        <v/>
      </c>
      <c r="R60">
        <f>IF(AND(A60&lt;&gt;"",ISNUMBER(A60),B60&lt;&gt;"",C60&lt;&gt;"",OR(E60="USD",E60="CRC"),F60&gt;0,ISNUMBER(Q60),Q60&gt;0),"✓ OK","✗ ERROR: Revisa datos")</f>
        <v/>
      </c>
      <c r="S60" s="6">
        <f>IF(A60&lt;&gt;"",TODAY()-A60,"")</f>
        <v/>
      </c>
      <c r="T60" s="4">
        <f>IF(E60="USD",F60,IF(E60="CRC",F60/CONFIG!$B$5,""))</f>
        <v/>
      </c>
      <c r="U60" s="19">
        <f>IF(A60&lt;&gt;"",A60+30,"")</f>
        <v/>
      </c>
      <c r="V60">
        <f>IF(AND(C60="CxP",S60&gt;60),"Alta",IF(AND(C60="CxP",S60&gt;30),"Media",IF(C60="CxP","Baja","")))</f>
        <v/>
      </c>
      <c r="W60">
        <f>IF(AND(C60="CxC",S60&gt;90),"Alta",IF(AND(C60="CxC",S60&gt;60),"Media",IF(C60="CxC","Baja","")))</f>
        <v/>
      </c>
    </row>
    <row r="61">
      <c r="A61" s="19" t="n"/>
      <c r="F61" s="20" t="n"/>
      <c r="Q61" s="10">
        <f>IF(E61="USD",CONFIG!$B$5,1)</f>
        <v/>
      </c>
      <c r="R61">
        <f>IF(AND(A61&lt;&gt;"",ISNUMBER(A61),B61&lt;&gt;"",C61&lt;&gt;"",OR(E61="USD",E61="CRC"),F61&gt;0,ISNUMBER(Q61),Q61&gt;0),"✓ OK","✗ ERROR: Revisa datos")</f>
        <v/>
      </c>
      <c r="S61" s="6">
        <f>IF(A61&lt;&gt;"",TODAY()-A61,"")</f>
        <v/>
      </c>
      <c r="T61" s="4">
        <f>IF(E61="USD",F61,IF(E61="CRC",F61/CONFIG!$B$5,""))</f>
        <v/>
      </c>
      <c r="U61" s="19">
        <f>IF(A61&lt;&gt;"",A61+30,"")</f>
        <v/>
      </c>
      <c r="V61">
        <f>IF(AND(C61="CxP",S61&gt;60),"Alta",IF(AND(C61="CxP",S61&gt;30),"Media",IF(C61="CxP","Baja","")))</f>
        <v/>
      </c>
      <c r="W61">
        <f>IF(AND(C61="CxC",S61&gt;90),"Alta",IF(AND(C61="CxC",S61&gt;60),"Media",IF(C61="CxC","Baja","")))</f>
        <v/>
      </c>
    </row>
    <row r="62">
      <c r="A62" s="19" t="n"/>
      <c r="F62" s="20" t="n"/>
      <c r="Q62" s="10">
        <f>IF(E62="USD",CONFIG!$B$5,1)</f>
        <v/>
      </c>
      <c r="R62">
        <f>IF(AND(A62&lt;&gt;"",ISNUMBER(A62),B62&lt;&gt;"",C62&lt;&gt;"",OR(E62="USD",E62="CRC"),F62&gt;0,ISNUMBER(Q62),Q62&gt;0),"✓ OK","✗ ERROR: Revisa datos")</f>
        <v/>
      </c>
      <c r="S62" s="6">
        <f>IF(A62&lt;&gt;"",TODAY()-A62,"")</f>
        <v/>
      </c>
      <c r="T62" s="4">
        <f>IF(E62="USD",F62,IF(E62="CRC",F62/CONFIG!$B$5,""))</f>
        <v/>
      </c>
      <c r="U62" s="19">
        <f>IF(A62&lt;&gt;"",A62+30,"")</f>
        <v/>
      </c>
      <c r="V62">
        <f>IF(AND(C62="CxP",S62&gt;60),"Alta",IF(AND(C62="CxP",S62&gt;30),"Media",IF(C62="CxP","Baja","")))</f>
        <v/>
      </c>
      <c r="W62">
        <f>IF(AND(C62="CxC",S62&gt;90),"Alta",IF(AND(C62="CxC",S62&gt;60),"Media",IF(C62="CxC","Baja","")))</f>
        <v/>
      </c>
    </row>
    <row r="63">
      <c r="A63" s="19" t="n"/>
      <c r="F63" s="20" t="n"/>
      <c r="Q63" s="10">
        <f>IF(E63="USD",CONFIG!$B$5,1)</f>
        <v/>
      </c>
      <c r="R63">
        <f>IF(AND(A63&lt;&gt;"",ISNUMBER(A63),B63&lt;&gt;"",C63&lt;&gt;"",OR(E63="USD",E63="CRC"),F63&gt;0,ISNUMBER(Q63),Q63&gt;0),"✓ OK","✗ ERROR: Revisa datos")</f>
        <v/>
      </c>
      <c r="S63" s="6">
        <f>IF(A63&lt;&gt;"",TODAY()-A63,"")</f>
        <v/>
      </c>
      <c r="T63" s="4">
        <f>IF(E63="USD",F63,IF(E63="CRC",F63/CONFIG!$B$5,""))</f>
        <v/>
      </c>
      <c r="U63" s="19">
        <f>IF(A63&lt;&gt;"",A63+30,"")</f>
        <v/>
      </c>
      <c r="V63">
        <f>IF(AND(C63="CxP",S63&gt;60),"Alta",IF(AND(C63="CxP",S63&gt;30),"Media",IF(C63="CxP","Baja","")))</f>
        <v/>
      </c>
      <c r="W63">
        <f>IF(AND(C63="CxC",S63&gt;90),"Alta",IF(AND(C63="CxC",S63&gt;60),"Media",IF(C63="CxC","Baja","")))</f>
        <v/>
      </c>
    </row>
    <row r="64">
      <c r="A64" s="19" t="n"/>
      <c r="F64" s="20" t="n"/>
      <c r="Q64" s="10">
        <f>IF(E64="USD",CONFIG!$B$5,1)</f>
        <v/>
      </c>
      <c r="R64">
        <f>IF(AND(A64&lt;&gt;"",ISNUMBER(A64),B64&lt;&gt;"",C64&lt;&gt;"",OR(E64="USD",E64="CRC"),F64&gt;0,ISNUMBER(Q64),Q64&gt;0),"✓ OK","✗ ERROR: Revisa datos")</f>
        <v/>
      </c>
      <c r="S64" s="6">
        <f>IF(A64&lt;&gt;"",TODAY()-A64,"")</f>
        <v/>
      </c>
      <c r="T64" s="4">
        <f>IF(E64="USD",F64,IF(E64="CRC",F64/CONFIG!$B$5,""))</f>
        <v/>
      </c>
      <c r="U64" s="19">
        <f>IF(A64&lt;&gt;"",A64+30,"")</f>
        <v/>
      </c>
      <c r="V64">
        <f>IF(AND(C64="CxP",S64&gt;60),"Alta",IF(AND(C64="CxP",S64&gt;30),"Media",IF(C64="CxP","Baja","")))</f>
        <v/>
      </c>
      <c r="W64">
        <f>IF(AND(C64="CxC",S64&gt;90),"Alta",IF(AND(C64="CxC",S64&gt;60),"Media",IF(C64="CxC","Baja","")))</f>
        <v/>
      </c>
    </row>
    <row r="65">
      <c r="A65" s="19" t="n"/>
      <c r="F65" s="20" t="n"/>
      <c r="Q65" s="10">
        <f>IF(E65="USD",CONFIG!$B$5,1)</f>
        <v/>
      </c>
      <c r="R65">
        <f>IF(AND(A65&lt;&gt;"",ISNUMBER(A65),B65&lt;&gt;"",C65&lt;&gt;"",OR(E65="USD",E65="CRC"),F65&gt;0,ISNUMBER(Q65),Q65&gt;0),"✓ OK","✗ ERROR: Revisa datos")</f>
        <v/>
      </c>
      <c r="S65" s="6">
        <f>IF(A65&lt;&gt;"",TODAY()-A65,"")</f>
        <v/>
      </c>
      <c r="T65" s="4">
        <f>IF(E65="USD",F65,IF(E65="CRC",F65/CONFIG!$B$5,""))</f>
        <v/>
      </c>
      <c r="U65" s="19">
        <f>IF(A65&lt;&gt;"",A65+30,"")</f>
        <v/>
      </c>
      <c r="V65">
        <f>IF(AND(C65="CxP",S65&gt;60),"Alta",IF(AND(C65="CxP",S65&gt;30),"Media",IF(C65="CxP","Baja","")))</f>
        <v/>
      </c>
      <c r="W65">
        <f>IF(AND(C65="CxC",S65&gt;90),"Alta",IF(AND(C65="CxC",S65&gt;60),"Media",IF(C65="CxC","Baja","")))</f>
        <v/>
      </c>
    </row>
    <row r="66">
      <c r="A66" s="19" t="n"/>
      <c r="F66" s="20" t="n"/>
      <c r="Q66" s="10">
        <f>IF(E66="USD",CONFIG!$B$5,1)</f>
        <v/>
      </c>
      <c r="R66">
        <f>IF(AND(A66&lt;&gt;"",ISNUMBER(A66),B66&lt;&gt;"",C66&lt;&gt;"",OR(E66="USD",E66="CRC"),F66&gt;0,ISNUMBER(Q66),Q66&gt;0),"✓ OK","✗ ERROR: Revisa datos")</f>
        <v/>
      </c>
      <c r="S66" s="6">
        <f>IF(A66&lt;&gt;"",TODAY()-A66,"")</f>
        <v/>
      </c>
      <c r="T66" s="4">
        <f>IF(E66="USD",F66,IF(E66="CRC",F66/CONFIG!$B$5,""))</f>
        <v/>
      </c>
      <c r="U66" s="19">
        <f>IF(A66&lt;&gt;"",A66+30,"")</f>
        <v/>
      </c>
      <c r="V66">
        <f>IF(AND(C66="CxP",S66&gt;60),"Alta",IF(AND(C66="CxP",S66&gt;30),"Media",IF(C66="CxP","Baja","")))</f>
        <v/>
      </c>
      <c r="W66">
        <f>IF(AND(C66="CxC",S66&gt;90),"Alta",IF(AND(C66="CxC",S66&gt;60),"Media",IF(C66="CxC","Baja","")))</f>
        <v/>
      </c>
    </row>
    <row r="67">
      <c r="A67" s="19" t="n"/>
      <c r="F67" s="20" t="n"/>
      <c r="Q67" s="10">
        <f>IF(E67="USD",CONFIG!$B$5,1)</f>
        <v/>
      </c>
      <c r="R67">
        <f>IF(AND(A67&lt;&gt;"",ISNUMBER(A67),B67&lt;&gt;"",C67&lt;&gt;"",OR(E67="USD",E67="CRC"),F67&gt;0,ISNUMBER(Q67),Q67&gt;0),"✓ OK","✗ ERROR: Revisa datos")</f>
        <v/>
      </c>
      <c r="S67" s="6">
        <f>IF(A67&lt;&gt;"",TODAY()-A67,"")</f>
        <v/>
      </c>
      <c r="T67" s="4">
        <f>IF(E67="USD",F67,IF(E67="CRC",F67/CONFIG!$B$5,""))</f>
        <v/>
      </c>
      <c r="U67" s="19">
        <f>IF(A67&lt;&gt;"",A67+30,"")</f>
        <v/>
      </c>
      <c r="V67">
        <f>IF(AND(C67="CxP",S67&gt;60),"Alta",IF(AND(C67="CxP",S67&gt;30),"Media",IF(C67="CxP","Baja","")))</f>
        <v/>
      </c>
      <c r="W67">
        <f>IF(AND(C67="CxC",S67&gt;90),"Alta",IF(AND(C67="CxC",S67&gt;60),"Media",IF(C67="CxC","Baja","")))</f>
        <v/>
      </c>
    </row>
    <row r="68">
      <c r="A68" s="19" t="n"/>
      <c r="F68" s="20" t="n"/>
      <c r="Q68" s="10">
        <f>IF(E68="USD",CONFIG!$B$5,1)</f>
        <v/>
      </c>
      <c r="R68">
        <f>IF(AND(A68&lt;&gt;"",ISNUMBER(A68),B68&lt;&gt;"",C68&lt;&gt;"",OR(E68="USD",E68="CRC"),F68&gt;0,ISNUMBER(Q68),Q68&gt;0),"✓ OK","✗ ERROR: Revisa datos")</f>
        <v/>
      </c>
      <c r="S68" s="6">
        <f>IF(A68&lt;&gt;"",TODAY()-A68,"")</f>
        <v/>
      </c>
      <c r="T68" s="4">
        <f>IF(E68="USD",F68,IF(E68="CRC",F68/CONFIG!$B$5,""))</f>
        <v/>
      </c>
      <c r="U68" s="19">
        <f>IF(A68&lt;&gt;"",A68+30,"")</f>
        <v/>
      </c>
      <c r="V68">
        <f>IF(AND(C68="CxP",S68&gt;60),"Alta",IF(AND(C68="CxP",S68&gt;30),"Media",IF(C68="CxP","Baja","")))</f>
        <v/>
      </c>
      <c r="W68">
        <f>IF(AND(C68="CxC",S68&gt;90),"Alta",IF(AND(C68="CxC",S68&gt;60),"Media",IF(C68="CxC","Baja","")))</f>
        <v/>
      </c>
    </row>
    <row r="69">
      <c r="A69" s="19" t="n"/>
      <c r="F69" s="20" t="n"/>
      <c r="Q69" s="10">
        <f>IF(E69="USD",CONFIG!$B$5,1)</f>
        <v/>
      </c>
      <c r="R69">
        <f>IF(AND(A69&lt;&gt;"",ISNUMBER(A69),B69&lt;&gt;"",C69&lt;&gt;"",OR(E69="USD",E69="CRC"),F69&gt;0,ISNUMBER(Q69),Q69&gt;0),"✓ OK","✗ ERROR: Revisa datos")</f>
        <v/>
      </c>
      <c r="S69" s="6">
        <f>IF(A69&lt;&gt;"",TODAY()-A69,"")</f>
        <v/>
      </c>
      <c r="T69" s="4">
        <f>IF(E69="USD",F69,IF(E69="CRC",F69/CONFIG!$B$5,""))</f>
        <v/>
      </c>
      <c r="U69" s="19">
        <f>IF(A69&lt;&gt;"",A69+30,"")</f>
        <v/>
      </c>
      <c r="V69">
        <f>IF(AND(C69="CxP",S69&gt;60),"Alta",IF(AND(C69="CxP",S69&gt;30),"Media",IF(C69="CxP","Baja","")))</f>
        <v/>
      </c>
      <c r="W69">
        <f>IF(AND(C69="CxC",S69&gt;90),"Alta",IF(AND(C69="CxC",S69&gt;60),"Media",IF(C69="CxC","Baja","")))</f>
        <v/>
      </c>
    </row>
    <row r="70">
      <c r="A70" s="19" t="n"/>
      <c r="F70" s="20" t="n"/>
      <c r="Q70" s="10">
        <f>IF(E70="USD",CONFIG!$B$5,1)</f>
        <v/>
      </c>
      <c r="R70">
        <f>IF(AND(A70&lt;&gt;"",ISNUMBER(A70),B70&lt;&gt;"",C70&lt;&gt;"",OR(E70="USD",E70="CRC"),F70&gt;0,ISNUMBER(Q70),Q70&gt;0),"✓ OK","✗ ERROR: Revisa datos")</f>
        <v/>
      </c>
      <c r="S70" s="6">
        <f>IF(A70&lt;&gt;"",TODAY()-A70,"")</f>
        <v/>
      </c>
      <c r="T70" s="4">
        <f>IF(E70="USD",F70,IF(E70="CRC",F70/CONFIG!$B$5,""))</f>
        <v/>
      </c>
      <c r="U70" s="19">
        <f>IF(A70&lt;&gt;"",A70+30,"")</f>
        <v/>
      </c>
      <c r="V70">
        <f>IF(AND(C70="CxP",S70&gt;60),"Alta",IF(AND(C70="CxP",S70&gt;30),"Media",IF(C70="CxP","Baja","")))</f>
        <v/>
      </c>
      <c r="W70">
        <f>IF(AND(C70="CxC",S70&gt;90),"Alta",IF(AND(C70="CxC",S70&gt;60),"Media",IF(C70="CxC","Baja","")))</f>
        <v/>
      </c>
    </row>
    <row r="71">
      <c r="A71" s="19" t="n"/>
      <c r="F71" s="20" t="n"/>
      <c r="Q71" s="10">
        <f>IF(E71="USD",CONFIG!$B$5,1)</f>
        <v/>
      </c>
      <c r="R71">
        <f>IF(AND(A71&lt;&gt;"",ISNUMBER(A71),B71&lt;&gt;"",C71&lt;&gt;"",OR(E71="USD",E71="CRC"),F71&gt;0,ISNUMBER(Q71),Q71&gt;0),"✓ OK","✗ ERROR: Revisa datos")</f>
        <v/>
      </c>
      <c r="S71" s="6">
        <f>IF(A71&lt;&gt;"",TODAY()-A71,"")</f>
        <v/>
      </c>
      <c r="T71" s="4">
        <f>IF(E71="USD",F71,IF(E71="CRC",F71/CONFIG!$B$5,""))</f>
        <v/>
      </c>
      <c r="U71" s="19">
        <f>IF(A71&lt;&gt;"",A71+30,"")</f>
        <v/>
      </c>
      <c r="V71">
        <f>IF(AND(C71="CxP",S71&gt;60),"Alta",IF(AND(C71="CxP",S71&gt;30),"Media",IF(C71="CxP","Baja","")))</f>
        <v/>
      </c>
      <c r="W71">
        <f>IF(AND(C71="CxC",S71&gt;90),"Alta",IF(AND(C71="CxC",S71&gt;60),"Media",IF(C71="CxC","Baja","")))</f>
        <v/>
      </c>
    </row>
    <row r="72">
      <c r="A72" s="19" t="n"/>
      <c r="F72" s="20" t="n"/>
      <c r="Q72" s="10">
        <f>IF(E72="USD",CONFIG!$B$5,1)</f>
        <v/>
      </c>
      <c r="R72">
        <f>IF(AND(A72&lt;&gt;"",ISNUMBER(A72),B72&lt;&gt;"",C72&lt;&gt;"",OR(E72="USD",E72="CRC"),F72&gt;0,ISNUMBER(Q72),Q72&gt;0),"✓ OK","✗ ERROR: Revisa datos")</f>
        <v/>
      </c>
      <c r="S72" s="6">
        <f>IF(A72&lt;&gt;"",TODAY()-A72,"")</f>
        <v/>
      </c>
      <c r="T72" s="4">
        <f>IF(E72="USD",F72,IF(E72="CRC",F72/CONFIG!$B$5,""))</f>
        <v/>
      </c>
      <c r="U72" s="19">
        <f>IF(A72&lt;&gt;"",A72+30,"")</f>
        <v/>
      </c>
      <c r="V72">
        <f>IF(AND(C72="CxP",S72&gt;60),"Alta",IF(AND(C72="CxP",S72&gt;30),"Media",IF(C72="CxP","Baja","")))</f>
        <v/>
      </c>
      <c r="W72">
        <f>IF(AND(C72="CxC",S72&gt;90),"Alta",IF(AND(C72="CxC",S72&gt;60),"Media",IF(C72="CxC","Baja","")))</f>
        <v/>
      </c>
    </row>
    <row r="73">
      <c r="A73" s="19" t="n"/>
      <c r="F73" s="20" t="n"/>
      <c r="Q73" s="10">
        <f>IF(E73="USD",CONFIG!$B$5,1)</f>
        <v/>
      </c>
      <c r="R73">
        <f>IF(AND(A73&lt;&gt;"",ISNUMBER(A73),B73&lt;&gt;"",C73&lt;&gt;"",OR(E73="USD",E73="CRC"),F73&gt;0,ISNUMBER(Q73),Q73&gt;0),"✓ OK","✗ ERROR: Revisa datos")</f>
        <v/>
      </c>
      <c r="S73" s="6">
        <f>IF(A73&lt;&gt;"",TODAY()-A73,"")</f>
        <v/>
      </c>
      <c r="T73" s="4">
        <f>IF(E73="USD",F73,IF(E73="CRC",F73/CONFIG!$B$5,""))</f>
        <v/>
      </c>
      <c r="U73" s="19">
        <f>IF(A73&lt;&gt;"",A73+30,"")</f>
        <v/>
      </c>
      <c r="V73">
        <f>IF(AND(C73="CxP",S73&gt;60),"Alta",IF(AND(C73="CxP",S73&gt;30),"Media",IF(C73="CxP","Baja","")))</f>
        <v/>
      </c>
      <c r="W73">
        <f>IF(AND(C73="CxC",S73&gt;90),"Alta",IF(AND(C73="CxC",S73&gt;60),"Media",IF(C73="CxC","Baja","")))</f>
        <v/>
      </c>
    </row>
    <row r="74">
      <c r="A74" s="19" t="n"/>
      <c r="F74" s="20" t="n"/>
      <c r="Q74" s="10">
        <f>IF(E74="USD",CONFIG!$B$5,1)</f>
        <v/>
      </c>
      <c r="R74">
        <f>IF(AND(A74&lt;&gt;"",ISNUMBER(A74),B74&lt;&gt;"",C74&lt;&gt;"",OR(E74="USD",E74="CRC"),F74&gt;0,ISNUMBER(Q74),Q74&gt;0),"✓ OK","✗ ERROR: Revisa datos")</f>
        <v/>
      </c>
      <c r="S74" s="6">
        <f>IF(A74&lt;&gt;"",TODAY()-A74,"")</f>
        <v/>
      </c>
      <c r="T74" s="4">
        <f>IF(E74="USD",F74,IF(E74="CRC",F74/CONFIG!$B$5,""))</f>
        <v/>
      </c>
      <c r="U74" s="19">
        <f>IF(A74&lt;&gt;"",A74+30,"")</f>
        <v/>
      </c>
      <c r="V74">
        <f>IF(AND(C74="CxP",S74&gt;60),"Alta",IF(AND(C74="CxP",S74&gt;30),"Media",IF(C74="CxP","Baja","")))</f>
        <v/>
      </c>
      <c r="W74">
        <f>IF(AND(C74="CxC",S74&gt;90),"Alta",IF(AND(C74="CxC",S74&gt;60),"Media",IF(C74="CxC","Baja","")))</f>
        <v/>
      </c>
    </row>
    <row r="75">
      <c r="A75" s="19" t="n"/>
      <c r="F75" s="20" t="n"/>
      <c r="Q75" s="10">
        <f>IF(E75="USD",CONFIG!$B$5,1)</f>
        <v/>
      </c>
      <c r="R75">
        <f>IF(AND(A75&lt;&gt;"",ISNUMBER(A75),B75&lt;&gt;"",C75&lt;&gt;"",OR(E75="USD",E75="CRC"),F75&gt;0,ISNUMBER(Q75),Q75&gt;0),"✓ OK","✗ ERROR: Revisa datos")</f>
        <v/>
      </c>
      <c r="S75" s="6">
        <f>IF(A75&lt;&gt;"",TODAY()-A75,"")</f>
        <v/>
      </c>
      <c r="T75" s="4">
        <f>IF(E75="USD",F75,IF(E75="CRC",F75/CONFIG!$B$5,""))</f>
        <v/>
      </c>
      <c r="U75" s="19">
        <f>IF(A75&lt;&gt;"",A75+30,"")</f>
        <v/>
      </c>
      <c r="V75">
        <f>IF(AND(C75="CxP",S75&gt;60),"Alta",IF(AND(C75="CxP",S75&gt;30),"Media",IF(C75="CxP","Baja","")))</f>
        <v/>
      </c>
      <c r="W75">
        <f>IF(AND(C75="CxC",S75&gt;90),"Alta",IF(AND(C75="CxC",S75&gt;60),"Media",IF(C75="CxC","Baja","")))</f>
        <v/>
      </c>
    </row>
    <row r="76">
      <c r="A76" s="19" t="n"/>
      <c r="F76" s="20" t="n"/>
      <c r="Q76" s="10">
        <f>IF(E76="USD",CONFIG!$B$5,1)</f>
        <v/>
      </c>
      <c r="R76">
        <f>IF(AND(A76&lt;&gt;"",ISNUMBER(A76),B76&lt;&gt;"",C76&lt;&gt;"",OR(E76="USD",E76="CRC"),F76&gt;0,ISNUMBER(Q76),Q76&gt;0),"✓ OK","✗ ERROR: Revisa datos")</f>
        <v/>
      </c>
      <c r="S76" s="6">
        <f>IF(A76&lt;&gt;"",TODAY()-A76,"")</f>
        <v/>
      </c>
      <c r="T76" s="4">
        <f>IF(E76="USD",F76,IF(E76="CRC",F76/CONFIG!$B$5,""))</f>
        <v/>
      </c>
      <c r="U76" s="19">
        <f>IF(A76&lt;&gt;"",A76+30,"")</f>
        <v/>
      </c>
      <c r="V76">
        <f>IF(AND(C76="CxP",S76&gt;60),"Alta",IF(AND(C76="CxP",S76&gt;30),"Media",IF(C76="CxP","Baja","")))</f>
        <v/>
      </c>
      <c r="W76">
        <f>IF(AND(C76="CxC",S76&gt;90),"Alta",IF(AND(C76="CxC",S76&gt;60),"Media",IF(C76="CxC","Baja","")))</f>
        <v/>
      </c>
    </row>
    <row r="77">
      <c r="A77" s="19" t="n"/>
      <c r="F77" s="20" t="n"/>
      <c r="Q77" s="10">
        <f>IF(E77="USD",CONFIG!$B$5,1)</f>
        <v/>
      </c>
      <c r="R77">
        <f>IF(AND(A77&lt;&gt;"",ISNUMBER(A77),B77&lt;&gt;"",C77&lt;&gt;"",OR(E77="USD",E77="CRC"),F77&gt;0,ISNUMBER(Q77),Q77&gt;0),"✓ OK","✗ ERROR: Revisa datos")</f>
        <v/>
      </c>
      <c r="S77" s="6">
        <f>IF(A77&lt;&gt;"",TODAY()-A77,"")</f>
        <v/>
      </c>
      <c r="T77" s="4">
        <f>IF(E77="USD",F77,IF(E77="CRC",F77/CONFIG!$B$5,""))</f>
        <v/>
      </c>
      <c r="U77" s="19">
        <f>IF(A77&lt;&gt;"",A77+30,"")</f>
        <v/>
      </c>
      <c r="V77">
        <f>IF(AND(C77="CxP",S77&gt;60),"Alta",IF(AND(C77="CxP",S77&gt;30),"Media",IF(C77="CxP","Baja","")))</f>
        <v/>
      </c>
      <c r="W77">
        <f>IF(AND(C77="CxC",S77&gt;90),"Alta",IF(AND(C77="CxC",S77&gt;60),"Media",IF(C77="CxC","Baja","")))</f>
        <v/>
      </c>
    </row>
    <row r="78">
      <c r="A78" s="19" t="n"/>
      <c r="F78" s="20" t="n"/>
      <c r="Q78" s="10">
        <f>IF(E78="USD",CONFIG!$B$5,1)</f>
        <v/>
      </c>
      <c r="R78">
        <f>IF(AND(A78&lt;&gt;"",ISNUMBER(A78),B78&lt;&gt;"",C78&lt;&gt;"",OR(E78="USD",E78="CRC"),F78&gt;0,ISNUMBER(Q78),Q78&gt;0),"✓ OK","✗ ERROR: Revisa datos")</f>
        <v/>
      </c>
      <c r="S78" s="6">
        <f>IF(A78&lt;&gt;"",TODAY()-A78,"")</f>
        <v/>
      </c>
      <c r="T78" s="4">
        <f>IF(E78="USD",F78,IF(E78="CRC",F78/CONFIG!$B$5,""))</f>
        <v/>
      </c>
      <c r="U78" s="19">
        <f>IF(A78&lt;&gt;"",A78+30,"")</f>
        <v/>
      </c>
      <c r="V78">
        <f>IF(AND(C78="CxP",S78&gt;60),"Alta",IF(AND(C78="CxP",S78&gt;30),"Media",IF(C78="CxP","Baja","")))</f>
        <v/>
      </c>
      <c r="W78">
        <f>IF(AND(C78="CxC",S78&gt;90),"Alta",IF(AND(C78="CxC",S78&gt;60),"Media",IF(C78="CxC","Baja","")))</f>
        <v/>
      </c>
    </row>
    <row r="79">
      <c r="A79" s="19" t="n"/>
      <c r="F79" s="20" t="n"/>
      <c r="Q79" s="10">
        <f>IF(E79="USD",CONFIG!$B$5,1)</f>
        <v/>
      </c>
      <c r="R79">
        <f>IF(AND(A79&lt;&gt;"",ISNUMBER(A79),B79&lt;&gt;"",C79&lt;&gt;"",OR(E79="USD",E79="CRC"),F79&gt;0,ISNUMBER(Q79),Q79&gt;0),"✓ OK","✗ ERROR: Revisa datos")</f>
        <v/>
      </c>
      <c r="S79" s="6">
        <f>IF(A79&lt;&gt;"",TODAY()-A79,"")</f>
        <v/>
      </c>
      <c r="T79" s="4">
        <f>IF(E79="USD",F79,IF(E79="CRC",F79/CONFIG!$B$5,""))</f>
        <v/>
      </c>
      <c r="U79" s="19">
        <f>IF(A79&lt;&gt;"",A79+30,"")</f>
        <v/>
      </c>
      <c r="V79">
        <f>IF(AND(C79="CxP",S79&gt;60),"Alta",IF(AND(C79="CxP",S79&gt;30),"Media",IF(C79="CxP","Baja","")))</f>
        <v/>
      </c>
      <c r="W79">
        <f>IF(AND(C79="CxC",S79&gt;90),"Alta",IF(AND(C79="CxC",S79&gt;60),"Media",IF(C79="CxC","Baja","")))</f>
        <v/>
      </c>
    </row>
    <row r="80">
      <c r="A80" s="19" t="n"/>
      <c r="F80" s="20" t="n"/>
      <c r="Q80" s="10">
        <f>IF(E80="USD",CONFIG!$B$5,1)</f>
        <v/>
      </c>
      <c r="R80">
        <f>IF(AND(A80&lt;&gt;"",ISNUMBER(A80),B80&lt;&gt;"",C80&lt;&gt;"",OR(E80="USD",E80="CRC"),F80&gt;0,ISNUMBER(Q80),Q80&gt;0),"✓ OK","✗ ERROR: Revisa datos")</f>
        <v/>
      </c>
      <c r="S80" s="6">
        <f>IF(A80&lt;&gt;"",TODAY()-A80,"")</f>
        <v/>
      </c>
      <c r="T80" s="4">
        <f>IF(E80="USD",F80,IF(E80="CRC",F80/CONFIG!$B$5,""))</f>
        <v/>
      </c>
      <c r="U80" s="19">
        <f>IF(A80&lt;&gt;"",A80+30,"")</f>
        <v/>
      </c>
      <c r="V80">
        <f>IF(AND(C80="CxP",S80&gt;60),"Alta",IF(AND(C80="CxP",S80&gt;30),"Media",IF(C80="CxP","Baja","")))</f>
        <v/>
      </c>
      <c r="W80">
        <f>IF(AND(C80="CxC",S80&gt;90),"Alta",IF(AND(C80="CxC",S80&gt;60),"Media",IF(C80="CxC","Baja","")))</f>
        <v/>
      </c>
    </row>
    <row r="81">
      <c r="A81" s="19" t="n"/>
      <c r="F81" s="20" t="n"/>
      <c r="Q81" s="10">
        <f>IF(E81="USD",CONFIG!$B$5,1)</f>
        <v/>
      </c>
      <c r="R81">
        <f>IF(AND(A81&lt;&gt;"",ISNUMBER(A81),B81&lt;&gt;"",C81&lt;&gt;"",OR(E81="USD",E81="CRC"),F81&gt;0,ISNUMBER(Q81),Q81&gt;0),"✓ OK","✗ ERROR: Revisa datos")</f>
        <v/>
      </c>
      <c r="S81" s="6">
        <f>IF(A81&lt;&gt;"",TODAY()-A81,"")</f>
        <v/>
      </c>
      <c r="T81" s="4">
        <f>IF(E81="USD",F81,IF(E81="CRC",F81/CONFIG!$B$5,""))</f>
        <v/>
      </c>
      <c r="U81" s="19">
        <f>IF(A81&lt;&gt;"",A81+30,"")</f>
        <v/>
      </c>
      <c r="V81">
        <f>IF(AND(C81="CxP",S81&gt;60),"Alta",IF(AND(C81="CxP",S81&gt;30),"Media",IF(C81="CxP","Baja","")))</f>
        <v/>
      </c>
      <c r="W81">
        <f>IF(AND(C81="CxC",S81&gt;90),"Alta",IF(AND(C81="CxC",S81&gt;60),"Media",IF(C81="CxC","Baja","")))</f>
        <v/>
      </c>
    </row>
    <row r="82">
      <c r="A82" s="19" t="n"/>
      <c r="F82" s="20" t="n"/>
      <c r="Q82" s="10">
        <f>IF(E82="USD",CONFIG!$B$5,1)</f>
        <v/>
      </c>
      <c r="R82">
        <f>IF(AND(A82&lt;&gt;"",ISNUMBER(A82),B82&lt;&gt;"",C82&lt;&gt;"",OR(E82="USD",E82="CRC"),F82&gt;0,ISNUMBER(Q82),Q82&gt;0),"✓ OK","✗ ERROR: Revisa datos")</f>
        <v/>
      </c>
      <c r="S82" s="6">
        <f>IF(A82&lt;&gt;"",TODAY()-A82,"")</f>
        <v/>
      </c>
      <c r="T82" s="4">
        <f>IF(E82="USD",F82,IF(E82="CRC",F82/CONFIG!$B$5,""))</f>
        <v/>
      </c>
      <c r="U82" s="19">
        <f>IF(A82&lt;&gt;"",A82+30,"")</f>
        <v/>
      </c>
      <c r="V82">
        <f>IF(AND(C82="CxP",S82&gt;60),"Alta",IF(AND(C82="CxP",S82&gt;30),"Media",IF(C82="CxP","Baja","")))</f>
        <v/>
      </c>
      <c r="W82">
        <f>IF(AND(C82="CxC",S82&gt;90),"Alta",IF(AND(C82="CxC",S82&gt;60),"Media",IF(C82="CxC","Baja","")))</f>
        <v/>
      </c>
    </row>
    <row r="83">
      <c r="A83" s="19" t="n"/>
      <c r="F83" s="20" t="n"/>
      <c r="Q83" s="10">
        <f>IF(E83="USD",CONFIG!$B$5,1)</f>
        <v/>
      </c>
      <c r="R83">
        <f>IF(AND(A83&lt;&gt;"",ISNUMBER(A83),B83&lt;&gt;"",C83&lt;&gt;"",OR(E83="USD",E83="CRC"),F83&gt;0,ISNUMBER(Q83),Q83&gt;0),"✓ OK","✗ ERROR: Revisa datos")</f>
        <v/>
      </c>
      <c r="S83" s="6">
        <f>IF(A83&lt;&gt;"",TODAY()-A83,"")</f>
        <v/>
      </c>
      <c r="T83" s="4">
        <f>IF(E83="USD",F83,IF(E83="CRC",F83/CONFIG!$B$5,""))</f>
        <v/>
      </c>
      <c r="U83" s="19">
        <f>IF(A83&lt;&gt;"",A83+30,"")</f>
        <v/>
      </c>
      <c r="V83">
        <f>IF(AND(C83="CxP",S83&gt;60),"Alta",IF(AND(C83="CxP",S83&gt;30),"Media",IF(C83="CxP","Baja","")))</f>
        <v/>
      </c>
      <c r="W83">
        <f>IF(AND(C83="CxC",S83&gt;90),"Alta",IF(AND(C83="CxC",S83&gt;60),"Media",IF(C83="CxC","Baja","")))</f>
        <v/>
      </c>
    </row>
    <row r="84">
      <c r="A84" s="19" t="n"/>
      <c r="F84" s="20" t="n"/>
      <c r="Q84" s="10">
        <f>IF(E84="USD",CONFIG!$B$5,1)</f>
        <v/>
      </c>
      <c r="R84">
        <f>IF(AND(A84&lt;&gt;"",ISNUMBER(A84),B84&lt;&gt;"",C84&lt;&gt;"",OR(E84="USD",E84="CRC"),F84&gt;0,ISNUMBER(Q84),Q84&gt;0),"✓ OK","✗ ERROR: Revisa datos")</f>
        <v/>
      </c>
      <c r="S84" s="6">
        <f>IF(A84&lt;&gt;"",TODAY()-A84,"")</f>
        <v/>
      </c>
      <c r="T84" s="4">
        <f>IF(E84="USD",F84,IF(E84="CRC",F84/CONFIG!$B$5,""))</f>
        <v/>
      </c>
      <c r="U84" s="19">
        <f>IF(A84&lt;&gt;"",A84+30,"")</f>
        <v/>
      </c>
      <c r="V84">
        <f>IF(AND(C84="CxP",S84&gt;60),"Alta",IF(AND(C84="CxP",S84&gt;30),"Media",IF(C84="CxP","Baja","")))</f>
        <v/>
      </c>
      <c r="W84">
        <f>IF(AND(C84="CxC",S84&gt;90),"Alta",IF(AND(C84="CxC",S84&gt;60),"Media",IF(C84="CxC","Baja","")))</f>
        <v/>
      </c>
    </row>
    <row r="85">
      <c r="A85" s="19" t="n"/>
      <c r="F85" s="20" t="n"/>
      <c r="Q85" s="10">
        <f>IF(E85="USD",CONFIG!$B$5,1)</f>
        <v/>
      </c>
      <c r="R85">
        <f>IF(AND(A85&lt;&gt;"",ISNUMBER(A85),B85&lt;&gt;"",C85&lt;&gt;"",OR(E85="USD",E85="CRC"),F85&gt;0,ISNUMBER(Q85),Q85&gt;0),"✓ OK","✗ ERROR: Revisa datos")</f>
        <v/>
      </c>
      <c r="S85" s="6">
        <f>IF(A85&lt;&gt;"",TODAY()-A85,"")</f>
        <v/>
      </c>
      <c r="T85" s="4">
        <f>IF(E85="USD",F85,IF(E85="CRC",F85/CONFIG!$B$5,""))</f>
        <v/>
      </c>
      <c r="U85" s="19">
        <f>IF(A85&lt;&gt;"",A85+30,"")</f>
        <v/>
      </c>
      <c r="V85">
        <f>IF(AND(C85="CxP",S85&gt;60),"Alta",IF(AND(C85="CxP",S85&gt;30),"Media",IF(C85="CxP","Baja","")))</f>
        <v/>
      </c>
      <c r="W85">
        <f>IF(AND(C85="CxC",S85&gt;90),"Alta",IF(AND(C85="CxC",S85&gt;60),"Media",IF(C85="CxC","Baja","")))</f>
        <v/>
      </c>
    </row>
    <row r="86">
      <c r="A86" s="19" t="n"/>
      <c r="F86" s="20" t="n"/>
      <c r="Q86" s="10">
        <f>IF(E86="USD",CONFIG!$B$5,1)</f>
        <v/>
      </c>
      <c r="R86">
        <f>IF(AND(A86&lt;&gt;"",ISNUMBER(A86),B86&lt;&gt;"",C86&lt;&gt;"",OR(E86="USD",E86="CRC"),F86&gt;0,ISNUMBER(Q86),Q86&gt;0),"✓ OK","✗ ERROR: Revisa datos")</f>
        <v/>
      </c>
      <c r="S86" s="6">
        <f>IF(A86&lt;&gt;"",TODAY()-A86,"")</f>
        <v/>
      </c>
      <c r="T86" s="4">
        <f>IF(E86="USD",F86,IF(E86="CRC",F86/CONFIG!$B$5,""))</f>
        <v/>
      </c>
      <c r="U86" s="19">
        <f>IF(A86&lt;&gt;"",A86+30,"")</f>
        <v/>
      </c>
      <c r="V86">
        <f>IF(AND(C86="CxP",S86&gt;60),"Alta",IF(AND(C86="CxP",S86&gt;30),"Media",IF(C86="CxP","Baja","")))</f>
        <v/>
      </c>
      <c r="W86">
        <f>IF(AND(C86="CxC",S86&gt;90),"Alta",IF(AND(C86="CxC",S86&gt;60),"Media",IF(C86="CxC","Baja","")))</f>
        <v/>
      </c>
    </row>
    <row r="87">
      <c r="A87" s="19" t="n"/>
      <c r="F87" s="20" t="n"/>
      <c r="Q87" s="10">
        <f>IF(E87="USD",CONFIG!$B$5,1)</f>
        <v/>
      </c>
      <c r="R87">
        <f>IF(AND(A87&lt;&gt;"",ISNUMBER(A87),B87&lt;&gt;"",C87&lt;&gt;"",OR(E87="USD",E87="CRC"),F87&gt;0,ISNUMBER(Q87),Q87&gt;0),"✓ OK","✗ ERROR: Revisa datos")</f>
        <v/>
      </c>
      <c r="S87" s="6">
        <f>IF(A87&lt;&gt;"",TODAY()-A87,"")</f>
        <v/>
      </c>
      <c r="T87" s="4">
        <f>IF(E87="USD",F87,IF(E87="CRC",F87/CONFIG!$B$5,""))</f>
        <v/>
      </c>
      <c r="U87" s="19">
        <f>IF(A87&lt;&gt;"",A87+30,"")</f>
        <v/>
      </c>
      <c r="V87">
        <f>IF(AND(C87="CxP",S87&gt;60),"Alta",IF(AND(C87="CxP",S87&gt;30),"Media",IF(C87="CxP","Baja","")))</f>
        <v/>
      </c>
      <c r="W87">
        <f>IF(AND(C87="CxC",S87&gt;90),"Alta",IF(AND(C87="CxC",S87&gt;60),"Media",IF(C87="CxC","Baja","")))</f>
        <v/>
      </c>
    </row>
    <row r="88">
      <c r="A88" s="19" t="n"/>
      <c r="F88" s="20" t="n"/>
      <c r="Q88" s="10">
        <f>IF(E88="USD",CONFIG!$B$5,1)</f>
        <v/>
      </c>
      <c r="R88">
        <f>IF(AND(A88&lt;&gt;"",ISNUMBER(A88),B88&lt;&gt;"",C88&lt;&gt;"",OR(E88="USD",E88="CRC"),F88&gt;0,ISNUMBER(Q88),Q88&gt;0),"✓ OK","✗ ERROR: Revisa datos")</f>
        <v/>
      </c>
      <c r="S88" s="6">
        <f>IF(A88&lt;&gt;"",TODAY()-A88,"")</f>
        <v/>
      </c>
      <c r="T88" s="4">
        <f>IF(E88="USD",F88,IF(E88="CRC",F88/CONFIG!$B$5,""))</f>
        <v/>
      </c>
      <c r="U88" s="19">
        <f>IF(A88&lt;&gt;"",A88+30,"")</f>
        <v/>
      </c>
      <c r="V88">
        <f>IF(AND(C88="CxP",S88&gt;60),"Alta",IF(AND(C88="CxP",S88&gt;30),"Media",IF(C88="CxP","Baja","")))</f>
        <v/>
      </c>
      <c r="W88">
        <f>IF(AND(C88="CxC",S88&gt;90),"Alta",IF(AND(C88="CxC",S88&gt;60),"Media",IF(C88="CxC","Baja","")))</f>
        <v/>
      </c>
    </row>
    <row r="89">
      <c r="A89" s="19" t="n"/>
      <c r="F89" s="20" t="n"/>
      <c r="Q89" s="10">
        <f>IF(E89="USD",CONFIG!$B$5,1)</f>
        <v/>
      </c>
      <c r="R89">
        <f>IF(AND(A89&lt;&gt;"",ISNUMBER(A89),B89&lt;&gt;"",C89&lt;&gt;"",OR(E89="USD",E89="CRC"),F89&gt;0,ISNUMBER(Q89),Q89&gt;0),"✓ OK","✗ ERROR: Revisa datos")</f>
        <v/>
      </c>
      <c r="S89" s="6">
        <f>IF(A89&lt;&gt;"",TODAY()-A89,"")</f>
        <v/>
      </c>
      <c r="T89" s="4">
        <f>IF(E89="USD",F89,IF(E89="CRC",F89/CONFIG!$B$5,""))</f>
        <v/>
      </c>
      <c r="U89" s="19">
        <f>IF(A89&lt;&gt;"",A89+30,"")</f>
        <v/>
      </c>
      <c r="V89">
        <f>IF(AND(C89="CxP",S89&gt;60),"Alta",IF(AND(C89="CxP",S89&gt;30),"Media",IF(C89="CxP","Baja","")))</f>
        <v/>
      </c>
      <c r="W89">
        <f>IF(AND(C89="CxC",S89&gt;90),"Alta",IF(AND(C89="CxC",S89&gt;60),"Media",IF(C89="CxC","Baja","")))</f>
        <v/>
      </c>
    </row>
    <row r="90">
      <c r="A90" s="19" t="n"/>
      <c r="F90" s="20" t="n"/>
      <c r="Q90" s="10">
        <f>IF(E90="USD",CONFIG!$B$5,1)</f>
        <v/>
      </c>
      <c r="R90">
        <f>IF(AND(A90&lt;&gt;"",ISNUMBER(A90),B90&lt;&gt;"",C90&lt;&gt;"",OR(E90="USD",E90="CRC"),F90&gt;0,ISNUMBER(Q90),Q90&gt;0),"✓ OK","✗ ERROR: Revisa datos")</f>
        <v/>
      </c>
      <c r="S90" s="6">
        <f>IF(A90&lt;&gt;"",TODAY()-A90,"")</f>
        <v/>
      </c>
      <c r="T90" s="4">
        <f>IF(E90="USD",F90,IF(E90="CRC",F90/CONFIG!$B$5,""))</f>
        <v/>
      </c>
      <c r="U90" s="19">
        <f>IF(A90&lt;&gt;"",A90+30,"")</f>
        <v/>
      </c>
      <c r="V90">
        <f>IF(AND(C90="CxP",S90&gt;60),"Alta",IF(AND(C90="CxP",S90&gt;30),"Media",IF(C90="CxP","Baja","")))</f>
        <v/>
      </c>
      <c r="W90">
        <f>IF(AND(C90="CxC",S90&gt;90),"Alta",IF(AND(C90="CxC",S90&gt;60),"Media",IF(C90="CxC","Baja","")))</f>
        <v/>
      </c>
    </row>
    <row r="91">
      <c r="A91" s="19" t="n"/>
      <c r="F91" s="20" t="n"/>
      <c r="Q91" s="10">
        <f>IF(E91="USD",CONFIG!$B$5,1)</f>
        <v/>
      </c>
      <c r="R91">
        <f>IF(AND(A91&lt;&gt;"",ISNUMBER(A91),B91&lt;&gt;"",C91&lt;&gt;"",OR(E91="USD",E91="CRC"),F91&gt;0,ISNUMBER(Q91),Q91&gt;0),"✓ OK","✗ ERROR: Revisa datos")</f>
        <v/>
      </c>
      <c r="S91" s="6">
        <f>IF(A91&lt;&gt;"",TODAY()-A91,"")</f>
        <v/>
      </c>
      <c r="T91" s="4">
        <f>IF(E91="USD",F91,IF(E91="CRC",F91/CONFIG!$B$5,""))</f>
        <v/>
      </c>
      <c r="U91" s="19">
        <f>IF(A91&lt;&gt;"",A91+30,"")</f>
        <v/>
      </c>
      <c r="V91">
        <f>IF(AND(C91="CxP",S91&gt;60),"Alta",IF(AND(C91="CxP",S91&gt;30),"Media",IF(C91="CxP","Baja","")))</f>
        <v/>
      </c>
      <c r="W91">
        <f>IF(AND(C91="CxC",S91&gt;90),"Alta",IF(AND(C91="CxC",S91&gt;60),"Media",IF(C91="CxC","Baja","")))</f>
        <v/>
      </c>
    </row>
    <row r="92">
      <c r="A92" s="19" t="n"/>
      <c r="F92" s="20" t="n"/>
      <c r="Q92" s="10">
        <f>IF(E92="USD",CONFIG!$B$5,1)</f>
        <v/>
      </c>
      <c r="R92">
        <f>IF(AND(A92&lt;&gt;"",ISNUMBER(A92),B92&lt;&gt;"",C92&lt;&gt;"",OR(E92="USD",E92="CRC"),F92&gt;0,ISNUMBER(Q92),Q92&gt;0),"✓ OK","✗ ERROR: Revisa datos")</f>
        <v/>
      </c>
      <c r="S92" s="6">
        <f>IF(A92&lt;&gt;"",TODAY()-A92,"")</f>
        <v/>
      </c>
      <c r="T92" s="4">
        <f>IF(E92="USD",F92,IF(E92="CRC",F92/CONFIG!$B$5,""))</f>
        <v/>
      </c>
      <c r="U92" s="19">
        <f>IF(A92&lt;&gt;"",A92+30,"")</f>
        <v/>
      </c>
      <c r="V92">
        <f>IF(AND(C92="CxP",S92&gt;60),"Alta",IF(AND(C92="CxP",S92&gt;30),"Media",IF(C92="CxP","Baja","")))</f>
        <v/>
      </c>
      <c r="W92">
        <f>IF(AND(C92="CxC",S92&gt;90),"Alta",IF(AND(C92="CxC",S92&gt;60),"Media",IF(C92="CxC","Baja","")))</f>
        <v/>
      </c>
    </row>
    <row r="93">
      <c r="A93" s="19" t="n"/>
      <c r="F93" s="20" t="n"/>
      <c r="Q93" s="10">
        <f>IF(E93="USD",CONFIG!$B$5,1)</f>
        <v/>
      </c>
      <c r="R93">
        <f>IF(AND(A93&lt;&gt;"",ISNUMBER(A93),B93&lt;&gt;"",C93&lt;&gt;"",OR(E93="USD",E93="CRC"),F93&gt;0,ISNUMBER(Q93),Q93&gt;0),"✓ OK","✗ ERROR: Revisa datos")</f>
        <v/>
      </c>
      <c r="S93" s="6">
        <f>IF(A93&lt;&gt;"",TODAY()-A93,"")</f>
        <v/>
      </c>
      <c r="T93" s="4">
        <f>IF(E93="USD",F93,IF(E93="CRC",F93/CONFIG!$B$5,""))</f>
        <v/>
      </c>
      <c r="U93" s="19">
        <f>IF(A93&lt;&gt;"",A93+30,"")</f>
        <v/>
      </c>
      <c r="V93">
        <f>IF(AND(C93="CxP",S93&gt;60),"Alta",IF(AND(C93="CxP",S93&gt;30),"Media",IF(C93="CxP","Baja","")))</f>
        <v/>
      </c>
      <c r="W93">
        <f>IF(AND(C93="CxC",S93&gt;90),"Alta",IF(AND(C93="CxC",S93&gt;60),"Media",IF(C93="CxC","Baja","")))</f>
        <v/>
      </c>
    </row>
    <row r="94">
      <c r="A94" s="19" t="n"/>
      <c r="F94" s="20" t="n"/>
      <c r="Q94" s="10">
        <f>IF(E94="USD",CONFIG!$B$5,1)</f>
        <v/>
      </c>
      <c r="R94">
        <f>IF(AND(A94&lt;&gt;"",ISNUMBER(A94),B94&lt;&gt;"",C94&lt;&gt;"",OR(E94="USD",E94="CRC"),F94&gt;0,ISNUMBER(Q94),Q94&gt;0),"✓ OK","✗ ERROR: Revisa datos")</f>
        <v/>
      </c>
      <c r="S94" s="6">
        <f>IF(A94&lt;&gt;"",TODAY()-A94,"")</f>
        <v/>
      </c>
      <c r="T94" s="4">
        <f>IF(E94="USD",F94,IF(E94="CRC",F94/CONFIG!$B$5,""))</f>
        <v/>
      </c>
      <c r="U94" s="19">
        <f>IF(A94&lt;&gt;"",A94+30,"")</f>
        <v/>
      </c>
      <c r="V94">
        <f>IF(AND(C94="CxP",S94&gt;60),"Alta",IF(AND(C94="CxP",S94&gt;30),"Media",IF(C94="CxP","Baja","")))</f>
        <v/>
      </c>
      <c r="W94">
        <f>IF(AND(C94="CxC",S94&gt;90),"Alta",IF(AND(C94="CxC",S94&gt;60),"Media",IF(C94="CxC","Baja","")))</f>
        <v/>
      </c>
    </row>
    <row r="95">
      <c r="A95" s="19" t="n"/>
      <c r="F95" s="20" t="n"/>
      <c r="Q95" s="10">
        <f>IF(E95="USD",CONFIG!$B$5,1)</f>
        <v/>
      </c>
      <c r="R95">
        <f>IF(AND(A95&lt;&gt;"",ISNUMBER(A95),B95&lt;&gt;"",C95&lt;&gt;"",OR(E95="USD",E95="CRC"),F95&gt;0,ISNUMBER(Q95),Q95&gt;0),"✓ OK","✗ ERROR: Revisa datos")</f>
        <v/>
      </c>
      <c r="S95" s="6">
        <f>IF(A95&lt;&gt;"",TODAY()-A95,"")</f>
        <v/>
      </c>
      <c r="T95" s="4">
        <f>IF(E95="USD",F95,IF(E95="CRC",F95/CONFIG!$B$5,""))</f>
        <v/>
      </c>
      <c r="U95" s="19">
        <f>IF(A95&lt;&gt;"",A95+30,"")</f>
        <v/>
      </c>
      <c r="V95">
        <f>IF(AND(C95="CxP",S95&gt;60),"Alta",IF(AND(C95="CxP",S95&gt;30),"Media",IF(C95="CxP","Baja","")))</f>
        <v/>
      </c>
      <c r="W95">
        <f>IF(AND(C95="CxC",S95&gt;90),"Alta",IF(AND(C95="CxC",S95&gt;60),"Media",IF(C95="CxC","Baja","")))</f>
        <v/>
      </c>
    </row>
    <row r="96">
      <c r="A96" s="19" t="n"/>
      <c r="F96" s="20" t="n"/>
      <c r="Q96" s="10">
        <f>IF(E96="USD",CONFIG!$B$5,1)</f>
        <v/>
      </c>
      <c r="R96">
        <f>IF(AND(A96&lt;&gt;"",ISNUMBER(A96),B96&lt;&gt;"",C96&lt;&gt;"",OR(E96="USD",E96="CRC"),F96&gt;0,ISNUMBER(Q96),Q96&gt;0),"✓ OK","✗ ERROR: Revisa datos")</f>
        <v/>
      </c>
      <c r="S96" s="6">
        <f>IF(A96&lt;&gt;"",TODAY()-A96,"")</f>
        <v/>
      </c>
      <c r="T96" s="4">
        <f>IF(E96="USD",F96,IF(E96="CRC",F96/CONFIG!$B$5,""))</f>
        <v/>
      </c>
      <c r="U96" s="19">
        <f>IF(A96&lt;&gt;"",A96+30,"")</f>
        <v/>
      </c>
      <c r="V96">
        <f>IF(AND(C96="CxP",S96&gt;60),"Alta",IF(AND(C96="CxP",S96&gt;30),"Media",IF(C96="CxP","Baja","")))</f>
        <v/>
      </c>
      <c r="W96">
        <f>IF(AND(C96="CxC",S96&gt;90),"Alta",IF(AND(C96="CxC",S96&gt;60),"Media",IF(C96="CxC","Baja","")))</f>
        <v/>
      </c>
    </row>
    <row r="97">
      <c r="A97" s="19" t="n"/>
      <c r="F97" s="20" t="n"/>
      <c r="Q97" s="10">
        <f>IF(E97="USD",CONFIG!$B$5,1)</f>
        <v/>
      </c>
      <c r="R97">
        <f>IF(AND(A97&lt;&gt;"",ISNUMBER(A97),B97&lt;&gt;"",C97&lt;&gt;"",OR(E97="USD",E97="CRC"),F97&gt;0,ISNUMBER(Q97),Q97&gt;0),"✓ OK","✗ ERROR: Revisa datos")</f>
        <v/>
      </c>
      <c r="S97" s="6">
        <f>IF(A97&lt;&gt;"",TODAY()-A97,"")</f>
        <v/>
      </c>
      <c r="T97" s="4">
        <f>IF(E97="USD",F97,IF(E97="CRC",F97/CONFIG!$B$5,""))</f>
        <v/>
      </c>
      <c r="U97" s="19">
        <f>IF(A97&lt;&gt;"",A97+30,"")</f>
        <v/>
      </c>
      <c r="V97">
        <f>IF(AND(C97="CxP",S97&gt;60),"Alta",IF(AND(C97="CxP",S97&gt;30),"Media",IF(C97="CxP","Baja","")))</f>
        <v/>
      </c>
      <c r="W97">
        <f>IF(AND(C97="CxC",S97&gt;90),"Alta",IF(AND(C97="CxC",S97&gt;60),"Media",IF(C97="CxC","Baja","")))</f>
        <v/>
      </c>
    </row>
    <row r="98">
      <c r="A98" s="19" t="n"/>
      <c r="F98" s="20" t="n"/>
      <c r="Q98" s="10">
        <f>IF(E98="USD",CONFIG!$B$5,1)</f>
        <v/>
      </c>
      <c r="R98">
        <f>IF(AND(A98&lt;&gt;"",ISNUMBER(A98),B98&lt;&gt;"",C98&lt;&gt;"",OR(E98="USD",E98="CRC"),F98&gt;0,ISNUMBER(Q98),Q98&gt;0),"✓ OK","✗ ERROR: Revisa datos")</f>
        <v/>
      </c>
      <c r="S98" s="6">
        <f>IF(A98&lt;&gt;"",TODAY()-A98,"")</f>
        <v/>
      </c>
      <c r="T98" s="4">
        <f>IF(E98="USD",F98,IF(E98="CRC",F98/CONFIG!$B$5,""))</f>
        <v/>
      </c>
      <c r="U98" s="19">
        <f>IF(A98&lt;&gt;"",A98+30,"")</f>
        <v/>
      </c>
      <c r="V98">
        <f>IF(AND(C98="CxP",S98&gt;60),"Alta",IF(AND(C98="CxP",S98&gt;30),"Media",IF(C98="CxP","Baja","")))</f>
        <v/>
      </c>
      <c r="W98">
        <f>IF(AND(C98="CxC",S98&gt;90),"Alta",IF(AND(C98="CxC",S98&gt;60),"Media",IF(C98="CxC","Baja","")))</f>
        <v/>
      </c>
    </row>
    <row r="99">
      <c r="A99" s="19" t="n"/>
      <c r="F99" s="20" t="n"/>
      <c r="Q99" s="10">
        <f>IF(E99="USD",CONFIG!$B$5,1)</f>
        <v/>
      </c>
      <c r="R99">
        <f>IF(AND(A99&lt;&gt;"",ISNUMBER(A99),B99&lt;&gt;"",C99&lt;&gt;"",OR(E99="USD",E99="CRC"),F99&gt;0,ISNUMBER(Q99),Q99&gt;0),"✓ OK","✗ ERROR: Revisa datos")</f>
        <v/>
      </c>
      <c r="S99" s="6">
        <f>IF(A99&lt;&gt;"",TODAY()-A99,"")</f>
        <v/>
      </c>
      <c r="T99" s="4">
        <f>IF(E99="USD",F99,IF(E99="CRC",F99/CONFIG!$B$5,""))</f>
        <v/>
      </c>
      <c r="U99" s="19">
        <f>IF(A99&lt;&gt;"",A99+30,"")</f>
        <v/>
      </c>
      <c r="V99">
        <f>IF(AND(C99="CxP",S99&gt;60),"Alta",IF(AND(C99="CxP",S99&gt;30),"Media",IF(C99="CxP","Baja","")))</f>
        <v/>
      </c>
      <c r="W99">
        <f>IF(AND(C99="CxC",S99&gt;90),"Alta",IF(AND(C99="CxC",S99&gt;60),"Media",IF(C99="CxC","Baja","")))</f>
        <v/>
      </c>
    </row>
    <row r="100">
      <c r="A100" s="19" t="n"/>
      <c r="F100" s="20" t="n"/>
      <c r="Q100" s="10">
        <f>IF(E100="USD",CONFIG!$B$5,1)</f>
        <v/>
      </c>
      <c r="R100">
        <f>IF(AND(A100&lt;&gt;"",ISNUMBER(A100),B100&lt;&gt;"",C100&lt;&gt;"",OR(E100="USD",E100="CRC"),F100&gt;0,ISNUMBER(Q100),Q100&gt;0),"✓ OK","✗ ERROR: Revisa datos")</f>
        <v/>
      </c>
      <c r="S100" s="6">
        <f>IF(A100&lt;&gt;"",TODAY()-A100,"")</f>
        <v/>
      </c>
      <c r="T100" s="4">
        <f>IF(E100="USD",F100,IF(E100="CRC",F100/CONFIG!$B$5,""))</f>
        <v/>
      </c>
      <c r="U100" s="19">
        <f>IF(A100&lt;&gt;"",A100+30,"")</f>
        <v/>
      </c>
      <c r="V100">
        <f>IF(AND(C100="CxP",S100&gt;60),"Alta",IF(AND(C100="CxP",S100&gt;30),"Media",IF(C100="CxP","Baja","")))</f>
        <v/>
      </c>
      <c r="W100">
        <f>IF(AND(C100="CxC",S100&gt;90),"Alta",IF(AND(C100="CxC",S100&gt;60),"Media",IF(C100="CxC","Baja","")))</f>
        <v/>
      </c>
    </row>
    <row r="101">
      <c r="A101" s="19" t="n"/>
      <c r="F101" s="20" t="n"/>
      <c r="Q101" s="10">
        <f>IF(E101="USD",CONFIG!$B$5,1)</f>
        <v/>
      </c>
      <c r="R101">
        <f>IF(AND(A101&lt;&gt;"",ISNUMBER(A101),B101&lt;&gt;"",C101&lt;&gt;"",OR(E101="USD",E101="CRC"),F101&gt;0,ISNUMBER(Q101),Q101&gt;0),"✓ OK","✗ ERROR: Revisa datos")</f>
        <v/>
      </c>
      <c r="S101" s="6">
        <f>IF(A101&lt;&gt;"",TODAY()-A101,"")</f>
        <v/>
      </c>
      <c r="T101" s="4">
        <f>IF(E101="USD",F101,IF(E101="CRC",F101/CONFIG!$B$5,""))</f>
        <v/>
      </c>
      <c r="U101" s="19">
        <f>IF(A101&lt;&gt;"",A101+30,"")</f>
        <v/>
      </c>
      <c r="V101">
        <f>IF(AND(C101="CxP",S101&gt;60),"Alta",IF(AND(C101="CxP",S101&gt;30),"Media",IF(C101="CxP","Baja","")))</f>
        <v/>
      </c>
      <c r="W101">
        <f>IF(AND(C101="CxC",S101&gt;90),"Alta",IF(AND(C101="CxC",S101&gt;60),"Media",IF(C101="CxC","Baja","")))</f>
        <v/>
      </c>
    </row>
    <row r="102">
      <c r="A102" s="19" t="n"/>
      <c r="F102" s="20" t="n"/>
      <c r="Q102" s="10">
        <f>IF(E102="USD",CONFIG!$B$5,1)</f>
        <v/>
      </c>
      <c r="R102">
        <f>IF(AND(A102&lt;&gt;"",ISNUMBER(A102),B102&lt;&gt;"",C102&lt;&gt;"",OR(E102="USD",E102="CRC"),F102&gt;0,ISNUMBER(Q102),Q102&gt;0),"✓ OK","✗ ERROR: Revisa datos")</f>
        <v/>
      </c>
      <c r="S102" s="6">
        <f>IF(A102&lt;&gt;"",TODAY()-A102,"")</f>
        <v/>
      </c>
      <c r="T102" s="4">
        <f>IF(E102="USD",F102,IF(E102="CRC",F102/CONFIG!$B$5,""))</f>
        <v/>
      </c>
      <c r="U102" s="19">
        <f>IF(A102&lt;&gt;"",A102+30,"")</f>
        <v/>
      </c>
      <c r="V102">
        <f>IF(AND(C102="CxP",S102&gt;60),"Alta",IF(AND(C102="CxP",S102&gt;30),"Media",IF(C102="CxP","Baja","")))</f>
        <v/>
      </c>
      <c r="W102">
        <f>IF(AND(C102="CxC",S102&gt;90),"Alta",IF(AND(C102="CxC",S102&gt;60),"Media",IF(C102="CxC","Baja","")))</f>
        <v/>
      </c>
    </row>
    <row r="103">
      <c r="A103" s="19" t="n"/>
      <c r="F103" s="20" t="n"/>
      <c r="Q103" s="10">
        <f>IF(E103="USD",CONFIG!$B$5,1)</f>
        <v/>
      </c>
      <c r="R103">
        <f>IF(AND(A103&lt;&gt;"",ISNUMBER(A103),B103&lt;&gt;"",C103&lt;&gt;"",OR(E103="USD",E103="CRC"),F103&gt;0,ISNUMBER(Q103),Q103&gt;0),"✓ OK","✗ ERROR: Revisa datos")</f>
        <v/>
      </c>
      <c r="S103" s="6">
        <f>IF(A103&lt;&gt;"",TODAY()-A103,"")</f>
        <v/>
      </c>
      <c r="T103" s="4">
        <f>IF(E103="USD",F103,IF(E103="CRC",F103/CONFIG!$B$5,""))</f>
        <v/>
      </c>
      <c r="U103" s="19">
        <f>IF(A103&lt;&gt;"",A103+30,"")</f>
        <v/>
      </c>
      <c r="V103">
        <f>IF(AND(C103="CxP",S103&gt;60),"Alta",IF(AND(C103="CxP",S103&gt;30),"Media",IF(C103="CxP","Baja","")))</f>
        <v/>
      </c>
      <c r="W103">
        <f>IF(AND(C103="CxC",S103&gt;90),"Alta",IF(AND(C103="CxC",S103&gt;60),"Media",IF(C103="CxC","Baja","")))</f>
        <v/>
      </c>
    </row>
    <row r="104">
      <c r="A104" s="19" t="n"/>
      <c r="F104" s="20" t="n"/>
      <c r="Q104" s="10">
        <f>IF(E104="USD",CONFIG!$B$5,1)</f>
        <v/>
      </c>
      <c r="R104">
        <f>IF(AND(A104&lt;&gt;"",ISNUMBER(A104),B104&lt;&gt;"",C104&lt;&gt;"",OR(E104="USD",E104="CRC"),F104&gt;0,ISNUMBER(Q104),Q104&gt;0),"✓ OK","✗ ERROR: Revisa datos")</f>
        <v/>
      </c>
      <c r="S104" s="6">
        <f>IF(A104&lt;&gt;"",TODAY()-A104,"")</f>
        <v/>
      </c>
      <c r="T104" s="4">
        <f>IF(E104="USD",F104,IF(E104="CRC",F104/CONFIG!$B$5,""))</f>
        <v/>
      </c>
      <c r="U104" s="19">
        <f>IF(A104&lt;&gt;"",A104+30,"")</f>
        <v/>
      </c>
      <c r="V104">
        <f>IF(AND(C104="CxP",S104&gt;60),"Alta",IF(AND(C104="CxP",S104&gt;30),"Media",IF(C104="CxP","Baja","")))</f>
        <v/>
      </c>
      <c r="W104">
        <f>IF(AND(C104="CxC",S104&gt;90),"Alta",IF(AND(C104="CxC",S104&gt;60),"Media",IF(C104="CxC","Baja","")))</f>
        <v/>
      </c>
    </row>
    <row r="105">
      <c r="A105" s="19" t="n"/>
      <c r="F105" s="20" t="n"/>
      <c r="Q105" s="10">
        <f>IF(E105="USD",CONFIG!$B$5,1)</f>
        <v/>
      </c>
      <c r="R105">
        <f>IF(AND(A105&lt;&gt;"",ISNUMBER(A105),B105&lt;&gt;"",C105&lt;&gt;"",OR(E105="USD",E105="CRC"),F105&gt;0,ISNUMBER(Q105),Q105&gt;0),"✓ OK","✗ ERROR: Revisa datos")</f>
        <v/>
      </c>
      <c r="S105" s="6">
        <f>IF(A105&lt;&gt;"",TODAY()-A105,"")</f>
        <v/>
      </c>
      <c r="T105" s="4">
        <f>IF(E105="USD",F105,IF(E105="CRC",F105/CONFIG!$B$5,""))</f>
        <v/>
      </c>
      <c r="U105" s="19">
        <f>IF(A105&lt;&gt;"",A105+30,"")</f>
        <v/>
      </c>
      <c r="V105">
        <f>IF(AND(C105="CxP",S105&gt;60),"Alta",IF(AND(C105="CxP",S105&gt;30),"Media",IF(C105="CxP","Baja","")))</f>
        <v/>
      </c>
      <c r="W105">
        <f>IF(AND(C105="CxC",S105&gt;90),"Alta",IF(AND(C105="CxC",S105&gt;60),"Media",IF(C105="CxC","Baja","")))</f>
        <v/>
      </c>
    </row>
    <row r="106">
      <c r="A106" s="19" t="n"/>
      <c r="F106" s="20" t="n"/>
      <c r="Q106" s="10">
        <f>IF(E106="USD",CONFIG!$B$5,1)</f>
        <v/>
      </c>
      <c r="R106">
        <f>IF(AND(A106&lt;&gt;"",ISNUMBER(A106),B106&lt;&gt;"",C106&lt;&gt;"",OR(E106="USD",E106="CRC"),F106&gt;0,ISNUMBER(Q106),Q106&gt;0),"✓ OK","✗ ERROR: Revisa datos")</f>
        <v/>
      </c>
      <c r="S106" s="6">
        <f>IF(A106&lt;&gt;"",TODAY()-A106,"")</f>
        <v/>
      </c>
      <c r="T106" s="4">
        <f>IF(E106="USD",F106,IF(E106="CRC",F106/CONFIG!$B$5,""))</f>
        <v/>
      </c>
      <c r="U106" s="19">
        <f>IF(A106&lt;&gt;"",A106+30,"")</f>
        <v/>
      </c>
      <c r="V106">
        <f>IF(AND(C106="CxP",S106&gt;60),"Alta",IF(AND(C106="CxP",S106&gt;30),"Media",IF(C106="CxP","Baja","")))</f>
        <v/>
      </c>
      <c r="W106">
        <f>IF(AND(C106="CxC",S106&gt;90),"Alta",IF(AND(C106="CxC",S106&gt;60),"Media",IF(C106="CxC","Baja","")))</f>
        <v/>
      </c>
    </row>
    <row r="107">
      <c r="A107" s="19" t="n"/>
      <c r="F107" s="20" t="n"/>
      <c r="Q107" s="10">
        <f>IF(E107="USD",CONFIG!$B$5,1)</f>
        <v/>
      </c>
      <c r="R107">
        <f>IF(AND(A107&lt;&gt;"",ISNUMBER(A107),B107&lt;&gt;"",C107&lt;&gt;"",OR(E107="USD",E107="CRC"),F107&gt;0,ISNUMBER(Q107),Q107&gt;0),"✓ OK","✗ ERROR: Revisa datos")</f>
        <v/>
      </c>
      <c r="S107" s="6">
        <f>IF(A107&lt;&gt;"",TODAY()-A107,"")</f>
        <v/>
      </c>
      <c r="T107" s="4">
        <f>IF(E107="USD",F107,IF(E107="CRC",F107/CONFIG!$B$5,""))</f>
        <v/>
      </c>
      <c r="U107" s="19">
        <f>IF(A107&lt;&gt;"",A107+30,"")</f>
        <v/>
      </c>
      <c r="V107">
        <f>IF(AND(C107="CxP",S107&gt;60),"Alta",IF(AND(C107="CxP",S107&gt;30),"Media",IF(C107="CxP","Baja","")))</f>
        <v/>
      </c>
      <c r="W107">
        <f>IF(AND(C107="CxC",S107&gt;90),"Alta",IF(AND(C107="CxC",S107&gt;60),"Media",IF(C107="CxC","Baja","")))</f>
        <v/>
      </c>
    </row>
    <row r="108">
      <c r="A108" s="19" t="n"/>
      <c r="F108" s="20" t="n"/>
      <c r="Q108" s="10">
        <f>IF(E108="USD",CONFIG!$B$5,1)</f>
        <v/>
      </c>
      <c r="R108">
        <f>IF(AND(A108&lt;&gt;"",ISNUMBER(A108),B108&lt;&gt;"",C108&lt;&gt;"",OR(E108="USD",E108="CRC"),F108&gt;0,ISNUMBER(Q108),Q108&gt;0),"✓ OK","✗ ERROR: Revisa datos")</f>
        <v/>
      </c>
      <c r="S108" s="6">
        <f>IF(A108&lt;&gt;"",TODAY()-A108,"")</f>
        <v/>
      </c>
      <c r="T108" s="4">
        <f>IF(E108="USD",F108,IF(E108="CRC",F108/CONFIG!$B$5,""))</f>
        <v/>
      </c>
      <c r="U108" s="19">
        <f>IF(A108&lt;&gt;"",A108+30,"")</f>
        <v/>
      </c>
      <c r="V108">
        <f>IF(AND(C108="CxP",S108&gt;60),"Alta",IF(AND(C108="CxP",S108&gt;30),"Media",IF(C108="CxP","Baja","")))</f>
        <v/>
      </c>
      <c r="W108">
        <f>IF(AND(C108="CxC",S108&gt;90),"Alta",IF(AND(C108="CxC",S108&gt;60),"Media",IF(C108="CxC","Baja","")))</f>
        <v/>
      </c>
    </row>
    <row r="109">
      <c r="A109" s="19" t="n"/>
      <c r="F109" s="20" t="n"/>
      <c r="Q109" s="10">
        <f>IF(E109="USD",CONFIG!$B$5,1)</f>
        <v/>
      </c>
      <c r="R109">
        <f>IF(AND(A109&lt;&gt;"",ISNUMBER(A109),B109&lt;&gt;"",C109&lt;&gt;"",OR(E109="USD",E109="CRC"),F109&gt;0,ISNUMBER(Q109),Q109&gt;0),"✓ OK","✗ ERROR: Revisa datos")</f>
        <v/>
      </c>
      <c r="S109" s="6">
        <f>IF(A109&lt;&gt;"",TODAY()-A109,"")</f>
        <v/>
      </c>
      <c r="T109" s="4">
        <f>IF(E109="USD",F109,IF(E109="CRC",F109/CONFIG!$B$5,""))</f>
        <v/>
      </c>
      <c r="U109" s="19">
        <f>IF(A109&lt;&gt;"",A109+30,"")</f>
        <v/>
      </c>
      <c r="V109">
        <f>IF(AND(C109="CxP",S109&gt;60),"Alta",IF(AND(C109="CxP",S109&gt;30),"Media",IF(C109="CxP","Baja","")))</f>
        <v/>
      </c>
      <c r="W109">
        <f>IF(AND(C109="CxC",S109&gt;90),"Alta",IF(AND(C109="CxC",S109&gt;60),"Media",IF(C109="CxC","Baja","")))</f>
        <v/>
      </c>
    </row>
    <row r="110">
      <c r="A110" s="19" t="n"/>
      <c r="F110" s="20" t="n"/>
      <c r="Q110" s="10">
        <f>IF(E110="USD",CONFIG!$B$5,1)</f>
        <v/>
      </c>
      <c r="R110">
        <f>IF(AND(A110&lt;&gt;"",ISNUMBER(A110),B110&lt;&gt;"",C110&lt;&gt;"",OR(E110="USD",E110="CRC"),F110&gt;0,ISNUMBER(Q110),Q110&gt;0),"✓ OK","✗ ERROR: Revisa datos")</f>
        <v/>
      </c>
      <c r="S110" s="6">
        <f>IF(A110&lt;&gt;"",TODAY()-A110,"")</f>
        <v/>
      </c>
      <c r="T110" s="4">
        <f>IF(E110="USD",F110,IF(E110="CRC",F110/CONFIG!$B$5,""))</f>
        <v/>
      </c>
      <c r="U110" s="19">
        <f>IF(A110&lt;&gt;"",A110+30,"")</f>
        <v/>
      </c>
      <c r="V110">
        <f>IF(AND(C110="CxP",S110&gt;60),"Alta",IF(AND(C110="CxP",S110&gt;30),"Media",IF(C110="CxP","Baja","")))</f>
        <v/>
      </c>
      <c r="W110">
        <f>IF(AND(C110="CxC",S110&gt;90),"Alta",IF(AND(C110="CxC",S110&gt;60),"Media",IF(C110="CxC","Baja","")))</f>
        <v/>
      </c>
    </row>
    <row r="111">
      <c r="A111" s="19" t="n"/>
      <c r="F111" s="20" t="n"/>
      <c r="Q111" s="10">
        <f>IF(E111="USD",CONFIG!$B$5,1)</f>
        <v/>
      </c>
      <c r="R111">
        <f>IF(AND(A111&lt;&gt;"",ISNUMBER(A111),B111&lt;&gt;"",C111&lt;&gt;"",OR(E111="USD",E111="CRC"),F111&gt;0,ISNUMBER(Q111),Q111&gt;0),"✓ OK","✗ ERROR: Revisa datos")</f>
        <v/>
      </c>
      <c r="S111" s="6">
        <f>IF(A111&lt;&gt;"",TODAY()-A111,"")</f>
        <v/>
      </c>
      <c r="T111" s="4">
        <f>IF(E111="USD",F111,IF(E111="CRC",F111/CONFIG!$B$5,""))</f>
        <v/>
      </c>
      <c r="U111" s="19">
        <f>IF(A111&lt;&gt;"",A111+30,"")</f>
        <v/>
      </c>
      <c r="V111">
        <f>IF(AND(C111="CxP",S111&gt;60),"Alta",IF(AND(C111="CxP",S111&gt;30),"Media",IF(C111="CxP","Baja","")))</f>
        <v/>
      </c>
      <c r="W111">
        <f>IF(AND(C111="CxC",S111&gt;90),"Alta",IF(AND(C111="CxC",S111&gt;60),"Media",IF(C111="CxC","Baja","")))</f>
        <v/>
      </c>
    </row>
    <row r="112">
      <c r="A112" s="19" t="n"/>
      <c r="F112" s="20" t="n"/>
      <c r="Q112" s="10">
        <f>IF(E112="USD",CONFIG!$B$5,1)</f>
        <v/>
      </c>
      <c r="R112">
        <f>IF(AND(A112&lt;&gt;"",ISNUMBER(A112),B112&lt;&gt;"",C112&lt;&gt;"",OR(E112="USD",E112="CRC"),F112&gt;0,ISNUMBER(Q112),Q112&gt;0),"✓ OK","✗ ERROR: Revisa datos")</f>
        <v/>
      </c>
      <c r="S112" s="6">
        <f>IF(A112&lt;&gt;"",TODAY()-A112,"")</f>
        <v/>
      </c>
      <c r="T112" s="4">
        <f>IF(E112="USD",F112,IF(E112="CRC",F112/CONFIG!$B$5,""))</f>
        <v/>
      </c>
      <c r="U112" s="19">
        <f>IF(A112&lt;&gt;"",A112+30,"")</f>
        <v/>
      </c>
      <c r="V112">
        <f>IF(AND(C112="CxP",S112&gt;60),"Alta",IF(AND(C112="CxP",S112&gt;30),"Media",IF(C112="CxP","Baja","")))</f>
        <v/>
      </c>
      <c r="W112">
        <f>IF(AND(C112="CxC",S112&gt;90),"Alta",IF(AND(C112="CxC",S112&gt;60),"Media",IF(C112="CxC","Baja","")))</f>
        <v/>
      </c>
    </row>
    <row r="113">
      <c r="A113" s="19" t="n"/>
      <c r="F113" s="20" t="n"/>
      <c r="Q113" s="10">
        <f>IF(E113="USD",CONFIG!$B$5,1)</f>
        <v/>
      </c>
      <c r="R113">
        <f>IF(AND(A113&lt;&gt;"",ISNUMBER(A113),B113&lt;&gt;"",C113&lt;&gt;"",OR(E113="USD",E113="CRC"),F113&gt;0,ISNUMBER(Q113),Q113&gt;0),"✓ OK","✗ ERROR: Revisa datos")</f>
        <v/>
      </c>
      <c r="S113" s="6">
        <f>IF(A113&lt;&gt;"",TODAY()-A113,"")</f>
        <v/>
      </c>
      <c r="T113" s="4">
        <f>IF(E113="USD",F113,IF(E113="CRC",F113/CONFIG!$B$5,""))</f>
        <v/>
      </c>
      <c r="U113" s="19">
        <f>IF(A113&lt;&gt;"",A113+30,"")</f>
        <v/>
      </c>
      <c r="V113">
        <f>IF(AND(C113="CxP",S113&gt;60),"Alta",IF(AND(C113="CxP",S113&gt;30),"Media",IF(C113="CxP","Baja","")))</f>
        <v/>
      </c>
      <c r="W113">
        <f>IF(AND(C113="CxC",S113&gt;90),"Alta",IF(AND(C113="CxC",S113&gt;60),"Media",IF(C113="CxC","Baja","")))</f>
        <v/>
      </c>
    </row>
    <row r="114">
      <c r="A114" s="19" t="n"/>
      <c r="F114" s="20" t="n"/>
      <c r="Q114" s="10">
        <f>IF(E114="USD",CONFIG!$B$5,1)</f>
        <v/>
      </c>
      <c r="R114">
        <f>IF(AND(A114&lt;&gt;"",ISNUMBER(A114),B114&lt;&gt;"",C114&lt;&gt;"",OR(E114="USD",E114="CRC"),F114&gt;0,ISNUMBER(Q114),Q114&gt;0),"✓ OK","✗ ERROR: Revisa datos")</f>
        <v/>
      </c>
      <c r="S114" s="6">
        <f>IF(A114&lt;&gt;"",TODAY()-A114,"")</f>
        <v/>
      </c>
      <c r="T114" s="4">
        <f>IF(E114="USD",F114,IF(E114="CRC",F114/CONFIG!$B$5,""))</f>
        <v/>
      </c>
      <c r="U114" s="19">
        <f>IF(A114&lt;&gt;"",A114+30,"")</f>
        <v/>
      </c>
      <c r="V114">
        <f>IF(AND(C114="CxP",S114&gt;60),"Alta",IF(AND(C114="CxP",S114&gt;30),"Media",IF(C114="CxP","Baja","")))</f>
        <v/>
      </c>
      <c r="W114">
        <f>IF(AND(C114="CxC",S114&gt;90),"Alta",IF(AND(C114="CxC",S114&gt;60),"Media",IF(C114="CxC","Baja","")))</f>
        <v/>
      </c>
    </row>
    <row r="115">
      <c r="A115" s="19" t="n"/>
      <c r="F115" s="20" t="n"/>
      <c r="Q115" s="10">
        <f>IF(E115="USD",CONFIG!$B$5,1)</f>
        <v/>
      </c>
      <c r="R115">
        <f>IF(AND(A115&lt;&gt;"",ISNUMBER(A115),B115&lt;&gt;"",C115&lt;&gt;"",OR(E115="USD",E115="CRC"),F115&gt;0,ISNUMBER(Q115),Q115&gt;0),"✓ OK","✗ ERROR: Revisa datos")</f>
        <v/>
      </c>
      <c r="S115" s="6">
        <f>IF(A115&lt;&gt;"",TODAY()-A115,"")</f>
        <v/>
      </c>
      <c r="T115" s="4">
        <f>IF(E115="USD",F115,IF(E115="CRC",F115/CONFIG!$B$5,""))</f>
        <v/>
      </c>
      <c r="U115" s="19">
        <f>IF(A115&lt;&gt;"",A115+30,"")</f>
        <v/>
      </c>
      <c r="V115">
        <f>IF(AND(C115="CxP",S115&gt;60),"Alta",IF(AND(C115="CxP",S115&gt;30),"Media",IF(C115="CxP","Baja","")))</f>
        <v/>
      </c>
      <c r="W115">
        <f>IF(AND(C115="CxC",S115&gt;90),"Alta",IF(AND(C115="CxC",S115&gt;60),"Media",IF(C115="CxC","Baja","")))</f>
        <v/>
      </c>
    </row>
    <row r="116">
      <c r="A116" s="19" t="n"/>
      <c r="F116" s="20" t="n"/>
      <c r="Q116" s="10">
        <f>IF(E116="USD",CONFIG!$B$5,1)</f>
        <v/>
      </c>
      <c r="R116">
        <f>IF(AND(A116&lt;&gt;"",ISNUMBER(A116),B116&lt;&gt;"",C116&lt;&gt;"",OR(E116="USD",E116="CRC"),F116&gt;0,ISNUMBER(Q116),Q116&gt;0),"✓ OK","✗ ERROR: Revisa datos")</f>
        <v/>
      </c>
      <c r="S116" s="6">
        <f>IF(A116&lt;&gt;"",TODAY()-A116,"")</f>
        <v/>
      </c>
      <c r="T116" s="4">
        <f>IF(E116="USD",F116,IF(E116="CRC",F116/CONFIG!$B$5,""))</f>
        <v/>
      </c>
      <c r="U116" s="19">
        <f>IF(A116&lt;&gt;"",A116+30,"")</f>
        <v/>
      </c>
      <c r="V116">
        <f>IF(AND(C116="CxP",S116&gt;60),"Alta",IF(AND(C116="CxP",S116&gt;30),"Media",IF(C116="CxP","Baja","")))</f>
        <v/>
      </c>
      <c r="W116">
        <f>IF(AND(C116="CxC",S116&gt;90),"Alta",IF(AND(C116="CxC",S116&gt;60),"Media",IF(C116="CxC","Baja","")))</f>
        <v/>
      </c>
    </row>
    <row r="117">
      <c r="A117" s="19" t="n"/>
      <c r="F117" s="20" t="n"/>
      <c r="Q117" s="10">
        <f>IF(E117="USD",CONFIG!$B$5,1)</f>
        <v/>
      </c>
      <c r="R117">
        <f>IF(AND(A117&lt;&gt;"",ISNUMBER(A117),B117&lt;&gt;"",C117&lt;&gt;"",OR(E117="USD",E117="CRC"),F117&gt;0,ISNUMBER(Q117),Q117&gt;0),"✓ OK","✗ ERROR: Revisa datos")</f>
        <v/>
      </c>
      <c r="S117" s="6">
        <f>IF(A117&lt;&gt;"",TODAY()-A117,"")</f>
        <v/>
      </c>
      <c r="T117" s="4">
        <f>IF(E117="USD",F117,IF(E117="CRC",F117/CONFIG!$B$5,""))</f>
        <v/>
      </c>
      <c r="U117" s="19">
        <f>IF(A117&lt;&gt;"",A117+30,"")</f>
        <v/>
      </c>
      <c r="V117">
        <f>IF(AND(C117="CxP",S117&gt;60),"Alta",IF(AND(C117="CxP",S117&gt;30),"Media",IF(C117="CxP","Baja","")))</f>
        <v/>
      </c>
      <c r="W117">
        <f>IF(AND(C117="CxC",S117&gt;90),"Alta",IF(AND(C117="CxC",S117&gt;60),"Media",IF(C117="CxC","Baja","")))</f>
        <v/>
      </c>
    </row>
    <row r="118">
      <c r="A118" s="19" t="n"/>
      <c r="F118" s="20" t="n"/>
      <c r="Q118" s="10">
        <f>IF(E118="USD",CONFIG!$B$5,1)</f>
        <v/>
      </c>
      <c r="R118">
        <f>IF(AND(A118&lt;&gt;"",ISNUMBER(A118),B118&lt;&gt;"",C118&lt;&gt;"",OR(E118="USD",E118="CRC"),F118&gt;0,ISNUMBER(Q118),Q118&gt;0),"✓ OK","✗ ERROR: Revisa datos")</f>
        <v/>
      </c>
      <c r="S118" s="6">
        <f>IF(A118&lt;&gt;"",TODAY()-A118,"")</f>
        <v/>
      </c>
      <c r="T118" s="4">
        <f>IF(E118="USD",F118,IF(E118="CRC",F118/CONFIG!$B$5,""))</f>
        <v/>
      </c>
      <c r="U118" s="19">
        <f>IF(A118&lt;&gt;"",A118+30,"")</f>
        <v/>
      </c>
      <c r="V118">
        <f>IF(AND(C118="CxP",S118&gt;60),"Alta",IF(AND(C118="CxP",S118&gt;30),"Media",IF(C118="CxP","Baja","")))</f>
        <v/>
      </c>
      <c r="W118">
        <f>IF(AND(C118="CxC",S118&gt;90),"Alta",IF(AND(C118="CxC",S118&gt;60),"Media",IF(C118="CxC","Baja","")))</f>
        <v/>
      </c>
    </row>
    <row r="119">
      <c r="A119" s="19" t="n"/>
      <c r="F119" s="20" t="n"/>
      <c r="Q119" s="10">
        <f>IF(E119="USD",CONFIG!$B$5,1)</f>
        <v/>
      </c>
      <c r="R119">
        <f>IF(AND(A119&lt;&gt;"",ISNUMBER(A119),B119&lt;&gt;"",C119&lt;&gt;"",OR(E119="USD",E119="CRC"),F119&gt;0,ISNUMBER(Q119),Q119&gt;0),"✓ OK","✗ ERROR: Revisa datos")</f>
        <v/>
      </c>
      <c r="S119" s="6">
        <f>IF(A119&lt;&gt;"",TODAY()-A119,"")</f>
        <v/>
      </c>
      <c r="T119" s="4">
        <f>IF(E119="USD",F119,IF(E119="CRC",F119/CONFIG!$B$5,""))</f>
        <v/>
      </c>
      <c r="U119" s="19">
        <f>IF(A119&lt;&gt;"",A119+30,"")</f>
        <v/>
      </c>
      <c r="V119">
        <f>IF(AND(C119="CxP",S119&gt;60),"Alta",IF(AND(C119="CxP",S119&gt;30),"Media",IF(C119="CxP","Baja","")))</f>
        <v/>
      </c>
      <c r="W119">
        <f>IF(AND(C119="CxC",S119&gt;90),"Alta",IF(AND(C119="CxC",S119&gt;60),"Media",IF(C119="CxC","Baja","")))</f>
        <v/>
      </c>
    </row>
    <row r="120">
      <c r="A120" s="19" t="n"/>
      <c r="F120" s="20" t="n"/>
      <c r="Q120" s="10">
        <f>IF(E120="USD",CONFIG!$B$5,1)</f>
        <v/>
      </c>
      <c r="R120">
        <f>IF(AND(A120&lt;&gt;"",ISNUMBER(A120),B120&lt;&gt;"",C120&lt;&gt;"",OR(E120="USD",E120="CRC"),F120&gt;0,ISNUMBER(Q120),Q120&gt;0),"✓ OK","✗ ERROR: Revisa datos")</f>
        <v/>
      </c>
      <c r="S120" s="6">
        <f>IF(A120&lt;&gt;"",TODAY()-A120,"")</f>
        <v/>
      </c>
      <c r="T120" s="4">
        <f>IF(E120="USD",F120,IF(E120="CRC",F120/CONFIG!$B$5,""))</f>
        <v/>
      </c>
      <c r="U120" s="19">
        <f>IF(A120&lt;&gt;"",A120+30,"")</f>
        <v/>
      </c>
      <c r="V120">
        <f>IF(AND(C120="CxP",S120&gt;60),"Alta",IF(AND(C120="CxP",S120&gt;30),"Media",IF(C120="CxP","Baja","")))</f>
        <v/>
      </c>
      <c r="W120">
        <f>IF(AND(C120="CxC",S120&gt;90),"Alta",IF(AND(C120="CxC",S120&gt;60),"Media",IF(C120="CxC","Baja","")))</f>
        <v/>
      </c>
    </row>
    <row r="121">
      <c r="A121" s="19" t="n"/>
      <c r="F121" s="20" t="n"/>
      <c r="Q121" s="10">
        <f>IF(E121="USD",CONFIG!$B$5,1)</f>
        <v/>
      </c>
      <c r="R121">
        <f>IF(AND(A121&lt;&gt;"",ISNUMBER(A121),B121&lt;&gt;"",C121&lt;&gt;"",OR(E121="USD",E121="CRC"),F121&gt;0,ISNUMBER(Q121),Q121&gt;0),"✓ OK","✗ ERROR: Revisa datos")</f>
        <v/>
      </c>
      <c r="S121" s="6">
        <f>IF(A121&lt;&gt;"",TODAY()-A121,"")</f>
        <v/>
      </c>
      <c r="T121" s="4">
        <f>IF(E121="USD",F121,IF(E121="CRC",F121/CONFIG!$B$5,""))</f>
        <v/>
      </c>
      <c r="U121" s="19">
        <f>IF(A121&lt;&gt;"",A121+30,"")</f>
        <v/>
      </c>
      <c r="V121">
        <f>IF(AND(C121="CxP",S121&gt;60),"Alta",IF(AND(C121="CxP",S121&gt;30),"Media",IF(C121="CxP","Baja","")))</f>
        <v/>
      </c>
      <c r="W121">
        <f>IF(AND(C121="CxC",S121&gt;90),"Alta",IF(AND(C121="CxC",S121&gt;60),"Media",IF(C121="CxC","Baja","")))</f>
        <v/>
      </c>
    </row>
    <row r="122">
      <c r="A122" s="19" t="n"/>
      <c r="F122" s="20" t="n"/>
      <c r="Q122" s="10">
        <f>IF(E122="USD",CONFIG!$B$5,1)</f>
        <v/>
      </c>
      <c r="R122">
        <f>IF(AND(A122&lt;&gt;"",ISNUMBER(A122),B122&lt;&gt;"",C122&lt;&gt;"",OR(E122="USD",E122="CRC"),F122&gt;0,ISNUMBER(Q122),Q122&gt;0),"✓ OK","✗ ERROR: Revisa datos")</f>
        <v/>
      </c>
      <c r="S122" s="6">
        <f>IF(A122&lt;&gt;"",TODAY()-A122,"")</f>
        <v/>
      </c>
      <c r="T122" s="4">
        <f>IF(E122="USD",F122,IF(E122="CRC",F122/CONFIG!$B$5,""))</f>
        <v/>
      </c>
      <c r="U122" s="19">
        <f>IF(A122&lt;&gt;"",A122+30,"")</f>
        <v/>
      </c>
      <c r="V122">
        <f>IF(AND(C122="CxP",S122&gt;60),"Alta",IF(AND(C122="CxP",S122&gt;30),"Media",IF(C122="CxP","Baja","")))</f>
        <v/>
      </c>
      <c r="W122">
        <f>IF(AND(C122="CxC",S122&gt;90),"Alta",IF(AND(C122="CxC",S122&gt;60),"Media",IF(C122="CxC","Baja","")))</f>
        <v/>
      </c>
    </row>
    <row r="123">
      <c r="A123" s="19" t="n"/>
      <c r="F123" s="20" t="n"/>
      <c r="Q123" s="10">
        <f>IF(E123="USD",CONFIG!$B$5,1)</f>
        <v/>
      </c>
      <c r="R123">
        <f>IF(AND(A123&lt;&gt;"",ISNUMBER(A123),B123&lt;&gt;"",C123&lt;&gt;"",OR(E123="USD",E123="CRC"),F123&gt;0,ISNUMBER(Q123),Q123&gt;0),"✓ OK","✗ ERROR: Revisa datos")</f>
        <v/>
      </c>
      <c r="S123" s="6">
        <f>IF(A123&lt;&gt;"",TODAY()-A123,"")</f>
        <v/>
      </c>
      <c r="T123" s="4">
        <f>IF(E123="USD",F123,IF(E123="CRC",F123/CONFIG!$B$5,""))</f>
        <v/>
      </c>
      <c r="U123" s="19">
        <f>IF(A123&lt;&gt;"",A123+30,"")</f>
        <v/>
      </c>
      <c r="V123">
        <f>IF(AND(C123="CxP",S123&gt;60),"Alta",IF(AND(C123="CxP",S123&gt;30),"Media",IF(C123="CxP","Baja","")))</f>
        <v/>
      </c>
      <c r="W123">
        <f>IF(AND(C123="CxC",S123&gt;90),"Alta",IF(AND(C123="CxC",S123&gt;60),"Media",IF(C123="CxC","Baja","")))</f>
        <v/>
      </c>
    </row>
    <row r="124">
      <c r="A124" s="19" t="n"/>
      <c r="F124" s="20" t="n"/>
      <c r="Q124" s="10">
        <f>IF(E124="USD",CONFIG!$B$5,1)</f>
        <v/>
      </c>
      <c r="R124">
        <f>IF(AND(A124&lt;&gt;"",ISNUMBER(A124),B124&lt;&gt;"",C124&lt;&gt;"",OR(E124="USD",E124="CRC"),F124&gt;0,ISNUMBER(Q124),Q124&gt;0),"✓ OK","✗ ERROR: Revisa datos")</f>
        <v/>
      </c>
      <c r="S124" s="6">
        <f>IF(A124&lt;&gt;"",TODAY()-A124,"")</f>
        <v/>
      </c>
      <c r="T124" s="4">
        <f>IF(E124="USD",F124,IF(E124="CRC",F124/CONFIG!$B$5,""))</f>
        <v/>
      </c>
      <c r="U124" s="19">
        <f>IF(A124&lt;&gt;"",A124+30,"")</f>
        <v/>
      </c>
      <c r="V124">
        <f>IF(AND(C124="CxP",S124&gt;60),"Alta",IF(AND(C124="CxP",S124&gt;30),"Media",IF(C124="CxP","Baja","")))</f>
        <v/>
      </c>
      <c r="W124">
        <f>IF(AND(C124="CxC",S124&gt;90),"Alta",IF(AND(C124="CxC",S124&gt;60),"Media",IF(C124="CxC","Baja","")))</f>
        <v/>
      </c>
    </row>
    <row r="125">
      <c r="A125" s="19" t="n"/>
      <c r="F125" s="20" t="n"/>
      <c r="Q125" s="10">
        <f>IF(E125="USD",CONFIG!$B$5,1)</f>
        <v/>
      </c>
      <c r="R125">
        <f>IF(AND(A125&lt;&gt;"",ISNUMBER(A125),B125&lt;&gt;"",C125&lt;&gt;"",OR(E125="USD",E125="CRC"),F125&gt;0,ISNUMBER(Q125),Q125&gt;0),"✓ OK","✗ ERROR: Revisa datos")</f>
        <v/>
      </c>
      <c r="S125" s="6">
        <f>IF(A125&lt;&gt;"",TODAY()-A125,"")</f>
        <v/>
      </c>
      <c r="T125" s="4">
        <f>IF(E125="USD",F125,IF(E125="CRC",F125/CONFIG!$B$5,""))</f>
        <v/>
      </c>
      <c r="U125" s="19">
        <f>IF(A125&lt;&gt;"",A125+30,"")</f>
        <v/>
      </c>
      <c r="V125">
        <f>IF(AND(C125="CxP",S125&gt;60),"Alta",IF(AND(C125="CxP",S125&gt;30),"Media",IF(C125="CxP","Baja","")))</f>
        <v/>
      </c>
      <c r="W125">
        <f>IF(AND(C125="CxC",S125&gt;90),"Alta",IF(AND(C125="CxC",S125&gt;60),"Media",IF(C125="CxC","Baja","")))</f>
        <v/>
      </c>
    </row>
    <row r="126">
      <c r="A126" s="19" t="n"/>
      <c r="F126" s="20" t="n"/>
      <c r="Q126" s="10">
        <f>IF(E126="USD",CONFIG!$B$5,1)</f>
        <v/>
      </c>
      <c r="R126">
        <f>IF(AND(A126&lt;&gt;"",ISNUMBER(A126),B126&lt;&gt;"",C126&lt;&gt;"",OR(E126="USD",E126="CRC"),F126&gt;0,ISNUMBER(Q126),Q126&gt;0),"✓ OK","✗ ERROR: Revisa datos")</f>
        <v/>
      </c>
      <c r="S126" s="6">
        <f>IF(A126&lt;&gt;"",TODAY()-A126,"")</f>
        <v/>
      </c>
      <c r="T126" s="4">
        <f>IF(E126="USD",F126,IF(E126="CRC",F126/CONFIG!$B$5,""))</f>
        <v/>
      </c>
      <c r="U126" s="19">
        <f>IF(A126&lt;&gt;"",A126+30,"")</f>
        <v/>
      </c>
      <c r="V126">
        <f>IF(AND(C126="CxP",S126&gt;60),"Alta",IF(AND(C126="CxP",S126&gt;30),"Media",IF(C126="CxP","Baja","")))</f>
        <v/>
      </c>
      <c r="W126">
        <f>IF(AND(C126="CxC",S126&gt;90),"Alta",IF(AND(C126="CxC",S126&gt;60),"Media",IF(C126="CxC","Baja","")))</f>
        <v/>
      </c>
    </row>
    <row r="127">
      <c r="A127" s="19" t="n"/>
      <c r="F127" s="20" t="n"/>
      <c r="Q127" s="10">
        <f>IF(E127="USD",CONFIG!$B$5,1)</f>
        <v/>
      </c>
      <c r="R127">
        <f>IF(AND(A127&lt;&gt;"",ISNUMBER(A127),B127&lt;&gt;"",C127&lt;&gt;"",OR(E127="USD",E127="CRC"),F127&gt;0,ISNUMBER(Q127),Q127&gt;0),"✓ OK","✗ ERROR: Revisa datos")</f>
        <v/>
      </c>
      <c r="S127" s="6">
        <f>IF(A127&lt;&gt;"",TODAY()-A127,"")</f>
        <v/>
      </c>
      <c r="T127" s="4">
        <f>IF(E127="USD",F127,IF(E127="CRC",F127/CONFIG!$B$5,""))</f>
        <v/>
      </c>
      <c r="U127" s="19">
        <f>IF(A127&lt;&gt;"",A127+30,"")</f>
        <v/>
      </c>
      <c r="V127">
        <f>IF(AND(C127="CxP",S127&gt;60),"Alta",IF(AND(C127="CxP",S127&gt;30),"Media",IF(C127="CxP","Baja","")))</f>
        <v/>
      </c>
      <c r="W127">
        <f>IF(AND(C127="CxC",S127&gt;90),"Alta",IF(AND(C127="CxC",S127&gt;60),"Media",IF(C127="CxC","Baja","")))</f>
        <v/>
      </c>
    </row>
    <row r="128">
      <c r="A128" s="19" t="n"/>
      <c r="F128" s="20" t="n"/>
      <c r="Q128" s="10">
        <f>IF(E128="USD",CONFIG!$B$5,1)</f>
        <v/>
      </c>
      <c r="R128">
        <f>IF(AND(A128&lt;&gt;"",ISNUMBER(A128),B128&lt;&gt;"",C128&lt;&gt;"",OR(E128="USD",E128="CRC"),F128&gt;0,ISNUMBER(Q128),Q128&gt;0),"✓ OK","✗ ERROR: Revisa datos")</f>
        <v/>
      </c>
      <c r="S128" s="6">
        <f>IF(A128&lt;&gt;"",TODAY()-A128,"")</f>
        <v/>
      </c>
      <c r="T128" s="4">
        <f>IF(E128="USD",F128,IF(E128="CRC",F128/CONFIG!$B$5,""))</f>
        <v/>
      </c>
      <c r="U128" s="19">
        <f>IF(A128&lt;&gt;"",A128+30,"")</f>
        <v/>
      </c>
      <c r="V128">
        <f>IF(AND(C128="CxP",S128&gt;60),"Alta",IF(AND(C128="CxP",S128&gt;30),"Media",IF(C128="CxP","Baja","")))</f>
        <v/>
      </c>
      <c r="W128">
        <f>IF(AND(C128="CxC",S128&gt;90),"Alta",IF(AND(C128="CxC",S128&gt;60),"Media",IF(C128="CxC","Baja","")))</f>
        <v/>
      </c>
    </row>
    <row r="129">
      <c r="A129" s="19" t="n"/>
      <c r="F129" s="20" t="n"/>
      <c r="Q129" s="10">
        <f>IF(E129="USD",CONFIG!$B$5,1)</f>
        <v/>
      </c>
      <c r="R129">
        <f>IF(AND(A129&lt;&gt;"",ISNUMBER(A129),B129&lt;&gt;"",C129&lt;&gt;"",OR(E129="USD",E129="CRC"),F129&gt;0,ISNUMBER(Q129),Q129&gt;0),"✓ OK","✗ ERROR: Revisa datos")</f>
        <v/>
      </c>
      <c r="S129" s="6">
        <f>IF(A129&lt;&gt;"",TODAY()-A129,"")</f>
        <v/>
      </c>
      <c r="T129" s="4">
        <f>IF(E129="USD",F129,IF(E129="CRC",F129/CONFIG!$B$5,""))</f>
        <v/>
      </c>
      <c r="U129" s="19">
        <f>IF(A129&lt;&gt;"",A129+30,"")</f>
        <v/>
      </c>
      <c r="V129">
        <f>IF(AND(C129="CxP",S129&gt;60),"Alta",IF(AND(C129="CxP",S129&gt;30),"Media",IF(C129="CxP","Baja","")))</f>
        <v/>
      </c>
      <c r="W129">
        <f>IF(AND(C129="CxC",S129&gt;90),"Alta",IF(AND(C129="CxC",S129&gt;60),"Media",IF(C129="CxC","Baja","")))</f>
        <v/>
      </c>
    </row>
    <row r="130">
      <c r="A130" s="19" t="n"/>
      <c r="F130" s="20" t="n"/>
      <c r="Q130" s="10">
        <f>IF(E130="USD",CONFIG!$B$5,1)</f>
        <v/>
      </c>
      <c r="R130">
        <f>IF(AND(A130&lt;&gt;"",ISNUMBER(A130),B130&lt;&gt;"",C130&lt;&gt;"",OR(E130="USD",E130="CRC"),F130&gt;0,ISNUMBER(Q130),Q130&gt;0),"✓ OK","✗ ERROR: Revisa datos")</f>
        <v/>
      </c>
      <c r="S130" s="6">
        <f>IF(A130&lt;&gt;"",TODAY()-A130,"")</f>
        <v/>
      </c>
      <c r="T130" s="4">
        <f>IF(E130="USD",F130,IF(E130="CRC",F130/CONFIG!$B$5,""))</f>
        <v/>
      </c>
      <c r="U130" s="19">
        <f>IF(A130&lt;&gt;"",A130+30,"")</f>
        <v/>
      </c>
      <c r="V130">
        <f>IF(AND(C130="CxP",S130&gt;60),"Alta",IF(AND(C130="CxP",S130&gt;30),"Media",IF(C130="CxP","Baja","")))</f>
        <v/>
      </c>
      <c r="W130">
        <f>IF(AND(C130="CxC",S130&gt;90),"Alta",IF(AND(C130="CxC",S130&gt;60),"Media",IF(C130="CxC","Baja","")))</f>
        <v/>
      </c>
    </row>
    <row r="131">
      <c r="A131" s="19" t="n"/>
      <c r="F131" s="20" t="n"/>
      <c r="Q131" s="10">
        <f>IF(E131="USD",CONFIG!$B$5,1)</f>
        <v/>
      </c>
      <c r="R131">
        <f>IF(AND(A131&lt;&gt;"",ISNUMBER(A131),B131&lt;&gt;"",C131&lt;&gt;"",OR(E131="USD",E131="CRC"),F131&gt;0,ISNUMBER(Q131),Q131&gt;0),"✓ OK","✗ ERROR: Revisa datos")</f>
        <v/>
      </c>
      <c r="S131" s="6">
        <f>IF(A131&lt;&gt;"",TODAY()-A131,"")</f>
        <v/>
      </c>
      <c r="T131" s="4">
        <f>IF(E131="USD",F131,IF(E131="CRC",F131/CONFIG!$B$5,""))</f>
        <v/>
      </c>
      <c r="U131" s="19">
        <f>IF(A131&lt;&gt;"",A131+30,"")</f>
        <v/>
      </c>
      <c r="V131">
        <f>IF(AND(C131="CxP",S131&gt;60),"Alta",IF(AND(C131="CxP",S131&gt;30),"Media",IF(C131="CxP","Baja","")))</f>
        <v/>
      </c>
      <c r="W131">
        <f>IF(AND(C131="CxC",S131&gt;90),"Alta",IF(AND(C131="CxC",S131&gt;60),"Media",IF(C131="CxC","Baja","")))</f>
        <v/>
      </c>
    </row>
    <row r="132">
      <c r="A132" s="19" t="n"/>
      <c r="F132" s="20" t="n"/>
      <c r="Q132" s="10">
        <f>IF(E132="USD",CONFIG!$B$5,1)</f>
        <v/>
      </c>
      <c r="R132">
        <f>IF(AND(A132&lt;&gt;"",ISNUMBER(A132),B132&lt;&gt;"",C132&lt;&gt;"",OR(E132="USD",E132="CRC"),F132&gt;0,ISNUMBER(Q132),Q132&gt;0),"✓ OK","✗ ERROR: Revisa datos")</f>
        <v/>
      </c>
      <c r="S132" s="6">
        <f>IF(A132&lt;&gt;"",TODAY()-A132,"")</f>
        <v/>
      </c>
      <c r="T132" s="4">
        <f>IF(E132="USD",F132,IF(E132="CRC",F132/CONFIG!$B$5,""))</f>
        <v/>
      </c>
      <c r="U132" s="19">
        <f>IF(A132&lt;&gt;"",A132+30,"")</f>
        <v/>
      </c>
      <c r="V132">
        <f>IF(AND(C132="CxP",S132&gt;60),"Alta",IF(AND(C132="CxP",S132&gt;30),"Media",IF(C132="CxP","Baja","")))</f>
        <v/>
      </c>
      <c r="W132">
        <f>IF(AND(C132="CxC",S132&gt;90),"Alta",IF(AND(C132="CxC",S132&gt;60),"Media",IF(C132="CxC","Baja","")))</f>
        <v/>
      </c>
    </row>
    <row r="133">
      <c r="A133" s="19" t="n"/>
      <c r="F133" s="20" t="n"/>
      <c r="Q133" s="10">
        <f>IF(E133="USD",CONFIG!$B$5,1)</f>
        <v/>
      </c>
      <c r="R133">
        <f>IF(AND(A133&lt;&gt;"",ISNUMBER(A133),B133&lt;&gt;"",C133&lt;&gt;"",OR(E133="USD",E133="CRC"),F133&gt;0,ISNUMBER(Q133),Q133&gt;0),"✓ OK","✗ ERROR: Revisa datos")</f>
        <v/>
      </c>
      <c r="S133" s="6">
        <f>IF(A133&lt;&gt;"",TODAY()-A133,"")</f>
        <v/>
      </c>
      <c r="T133" s="4">
        <f>IF(E133="USD",F133,IF(E133="CRC",F133/CONFIG!$B$5,""))</f>
        <v/>
      </c>
      <c r="U133" s="19">
        <f>IF(A133&lt;&gt;"",A133+30,"")</f>
        <v/>
      </c>
      <c r="V133">
        <f>IF(AND(C133="CxP",S133&gt;60),"Alta",IF(AND(C133="CxP",S133&gt;30),"Media",IF(C133="CxP","Baja","")))</f>
        <v/>
      </c>
      <c r="W133">
        <f>IF(AND(C133="CxC",S133&gt;90),"Alta",IF(AND(C133="CxC",S133&gt;60),"Media",IF(C133="CxC","Baja","")))</f>
        <v/>
      </c>
    </row>
    <row r="134">
      <c r="A134" s="19" t="n"/>
      <c r="F134" s="20" t="n"/>
      <c r="Q134" s="10">
        <f>IF(E134="USD",CONFIG!$B$5,1)</f>
        <v/>
      </c>
      <c r="R134">
        <f>IF(AND(A134&lt;&gt;"",ISNUMBER(A134),B134&lt;&gt;"",C134&lt;&gt;"",OR(E134="USD",E134="CRC"),F134&gt;0,ISNUMBER(Q134),Q134&gt;0),"✓ OK","✗ ERROR: Revisa datos")</f>
        <v/>
      </c>
      <c r="S134" s="6">
        <f>IF(A134&lt;&gt;"",TODAY()-A134,"")</f>
        <v/>
      </c>
      <c r="T134" s="4">
        <f>IF(E134="USD",F134,IF(E134="CRC",F134/CONFIG!$B$5,""))</f>
        <v/>
      </c>
      <c r="U134" s="19">
        <f>IF(A134&lt;&gt;"",A134+30,"")</f>
        <v/>
      </c>
      <c r="V134">
        <f>IF(AND(C134="CxP",S134&gt;60),"Alta",IF(AND(C134="CxP",S134&gt;30),"Media",IF(C134="CxP","Baja","")))</f>
        <v/>
      </c>
      <c r="W134">
        <f>IF(AND(C134="CxC",S134&gt;90),"Alta",IF(AND(C134="CxC",S134&gt;60),"Media",IF(C134="CxC","Baja","")))</f>
        <v/>
      </c>
    </row>
    <row r="135">
      <c r="A135" s="19" t="n"/>
      <c r="F135" s="20" t="n"/>
      <c r="Q135" s="10">
        <f>IF(E135="USD",CONFIG!$B$5,1)</f>
        <v/>
      </c>
      <c r="R135">
        <f>IF(AND(A135&lt;&gt;"",ISNUMBER(A135),B135&lt;&gt;"",C135&lt;&gt;"",OR(E135="USD",E135="CRC"),F135&gt;0,ISNUMBER(Q135),Q135&gt;0),"✓ OK","✗ ERROR: Revisa datos")</f>
        <v/>
      </c>
      <c r="S135" s="6">
        <f>IF(A135&lt;&gt;"",TODAY()-A135,"")</f>
        <v/>
      </c>
      <c r="T135" s="4">
        <f>IF(E135="USD",F135,IF(E135="CRC",F135/CONFIG!$B$5,""))</f>
        <v/>
      </c>
      <c r="U135" s="19">
        <f>IF(A135&lt;&gt;"",A135+30,"")</f>
        <v/>
      </c>
      <c r="V135">
        <f>IF(AND(C135="CxP",S135&gt;60),"Alta",IF(AND(C135="CxP",S135&gt;30),"Media",IF(C135="CxP","Baja","")))</f>
        <v/>
      </c>
      <c r="W135">
        <f>IF(AND(C135="CxC",S135&gt;90),"Alta",IF(AND(C135="CxC",S135&gt;60),"Media",IF(C135="CxC","Baja","")))</f>
        <v/>
      </c>
    </row>
    <row r="136">
      <c r="A136" s="19" t="n"/>
      <c r="F136" s="20" t="n"/>
      <c r="Q136" s="10">
        <f>IF(E136="USD",CONFIG!$B$5,1)</f>
        <v/>
      </c>
      <c r="R136">
        <f>IF(AND(A136&lt;&gt;"",ISNUMBER(A136),B136&lt;&gt;"",C136&lt;&gt;"",OR(E136="USD",E136="CRC"),F136&gt;0,ISNUMBER(Q136),Q136&gt;0),"✓ OK","✗ ERROR: Revisa datos")</f>
        <v/>
      </c>
      <c r="S136" s="6">
        <f>IF(A136&lt;&gt;"",TODAY()-A136,"")</f>
        <v/>
      </c>
      <c r="T136" s="4">
        <f>IF(E136="USD",F136,IF(E136="CRC",F136/CONFIG!$B$5,""))</f>
        <v/>
      </c>
      <c r="U136" s="19">
        <f>IF(A136&lt;&gt;"",A136+30,"")</f>
        <v/>
      </c>
      <c r="V136">
        <f>IF(AND(C136="CxP",S136&gt;60),"Alta",IF(AND(C136="CxP",S136&gt;30),"Media",IF(C136="CxP","Baja","")))</f>
        <v/>
      </c>
      <c r="W136">
        <f>IF(AND(C136="CxC",S136&gt;90),"Alta",IF(AND(C136="CxC",S136&gt;60),"Media",IF(C136="CxC","Baja","")))</f>
        <v/>
      </c>
    </row>
    <row r="137">
      <c r="A137" s="19" t="n"/>
      <c r="F137" s="20" t="n"/>
      <c r="Q137" s="10">
        <f>IF(E137="USD",CONFIG!$B$5,1)</f>
        <v/>
      </c>
      <c r="R137">
        <f>IF(AND(A137&lt;&gt;"",ISNUMBER(A137),B137&lt;&gt;"",C137&lt;&gt;"",OR(E137="USD",E137="CRC"),F137&gt;0,ISNUMBER(Q137),Q137&gt;0),"✓ OK","✗ ERROR: Revisa datos")</f>
        <v/>
      </c>
      <c r="S137" s="6">
        <f>IF(A137&lt;&gt;"",TODAY()-A137,"")</f>
        <v/>
      </c>
      <c r="T137" s="4">
        <f>IF(E137="USD",F137,IF(E137="CRC",F137/CONFIG!$B$5,""))</f>
        <v/>
      </c>
      <c r="U137" s="19">
        <f>IF(A137&lt;&gt;"",A137+30,"")</f>
        <v/>
      </c>
      <c r="V137">
        <f>IF(AND(C137="CxP",S137&gt;60),"Alta",IF(AND(C137="CxP",S137&gt;30),"Media",IF(C137="CxP","Baja","")))</f>
        <v/>
      </c>
      <c r="W137">
        <f>IF(AND(C137="CxC",S137&gt;90),"Alta",IF(AND(C137="CxC",S137&gt;60),"Media",IF(C137="CxC","Baja","")))</f>
        <v/>
      </c>
    </row>
    <row r="138">
      <c r="A138" s="19" t="n"/>
      <c r="F138" s="20" t="n"/>
      <c r="Q138" s="10">
        <f>IF(E138="USD",CONFIG!$B$5,1)</f>
        <v/>
      </c>
      <c r="R138">
        <f>IF(AND(A138&lt;&gt;"",ISNUMBER(A138),B138&lt;&gt;"",C138&lt;&gt;"",OR(E138="USD",E138="CRC"),F138&gt;0,ISNUMBER(Q138),Q138&gt;0),"✓ OK","✗ ERROR: Revisa datos")</f>
        <v/>
      </c>
      <c r="S138" s="6">
        <f>IF(A138&lt;&gt;"",TODAY()-A138,"")</f>
        <v/>
      </c>
      <c r="T138" s="4">
        <f>IF(E138="USD",F138,IF(E138="CRC",F138/CONFIG!$B$5,""))</f>
        <v/>
      </c>
      <c r="U138" s="19">
        <f>IF(A138&lt;&gt;"",A138+30,"")</f>
        <v/>
      </c>
      <c r="V138">
        <f>IF(AND(C138="CxP",S138&gt;60),"Alta",IF(AND(C138="CxP",S138&gt;30),"Media",IF(C138="CxP","Baja","")))</f>
        <v/>
      </c>
      <c r="W138">
        <f>IF(AND(C138="CxC",S138&gt;90),"Alta",IF(AND(C138="CxC",S138&gt;60),"Media",IF(C138="CxC","Baja","")))</f>
        <v/>
      </c>
    </row>
    <row r="139">
      <c r="A139" s="19" t="n"/>
      <c r="F139" s="20" t="n"/>
      <c r="Q139" s="10">
        <f>IF(E139="USD",CONFIG!$B$5,1)</f>
        <v/>
      </c>
      <c r="R139">
        <f>IF(AND(A139&lt;&gt;"",ISNUMBER(A139),B139&lt;&gt;"",C139&lt;&gt;"",OR(E139="USD",E139="CRC"),F139&gt;0,ISNUMBER(Q139),Q139&gt;0),"✓ OK","✗ ERROR: Revisa datos")</f>
        <v/>
      </c>
      <c r="S139" s="6">
        <f>IF(A139&lt;&gt;"",TODAY()-A139,"")</f>
        <v/>
      </c>
      <c r="T139" s="4">
        <f>IF(E139="USD",F139,IF(E139="CRC",F139/CONFIG!$B$5,""))</f>
        <v/>
      </c>
      <c r="U139" s="19">
        <f>IF(A139&lt;&gt;"",A139+30,"")</f>
        <v/>
      </c>
      <c r="V139">
        <f>IF(AND(C139="CxP",S139&gt;60),"Alta",IF(AND(C139="CxP",S139&gt;30),"Media",IF(C139="CxP","Baja","")))</f>
        <v/>
      </c>
      <c r="W139">
        <f>IF(AND(C139="CxC",S139&gt;90),"Alta",IF(AND(C139="CxC",S139&gt;60),"Media",IF(C139="CxC","Baja","")))</f>
        <v/>
      </c>
    </row>
    <row r="140">
      <c r="A140" s="19" t="n"/>
      <c r="F140" s="20" t="n"/>
      <c r="Q140" s="10">
        <f>IF(E140="USD",CONFIG!$B$5,1)</f>
        <v/>
      </c>
      <c r="R140">
        <f>IF(AND(A140&lt;&gt;"",ISNUMBER(A140),B140&lt;&gt;"",C140&lt;&gt;"",OR(E140="USD",E140="CRC"),F140&gt;0,ISNUMBER(Q140),Q140&gt;0),"✓ OK","✗ ERROR: Revisa datos")</f>
        <v/>
      </c>
      <c r="S140" s="6">
        <f>IF(A140&lt;&gt;"",TODAY()-A140,"")</f>
        <v/>
      </c>
      <c r="T140" s="4">
        <f>IF(E140="USD",F140,IF(E140="CRC",F140/CONFIG!$B$5,""))</f>
        <v/>
      </c>
      <c r="U140" s="19">
        <f>IF(A140&lt;&gt;"",A140+30,"")</f>
        <v/>
      </c>
      <c r="V140">
        <f>IF(AND(C140="CxP",S140&gt;60),"Alta",IF(AND(C140="CxP",S140&gt;30),"Media",IF(C140="CxP","Baja","")))</f>
        <v/>
      </c>
      <c r="W140">
        <f>IF(AND(C140="CxC",S140&gt;90),"Alta",IF(AND(C140="CxC",S140&gt;60),"Media",IF(C140="CxC","Baja","")))</f>
        <v/>
      </c>
    </row>
    <row r="141">
      <c r="A141" s="19" t="n"/>
      <c r="F141" s="20" t="n"/>
      <c r="Q141" s="10">
        <f>IF(E141="USD",CONFIG!$B$5,1)</f>
        <v/>
      </c>
      <c r="R141">
        <f>IF(AND(A141&lt;&gt;"",ISNUMBER(A141),B141&lt;&gt;"",C141&lt;&gt;"",OR(E141="USD",E141="CRC"),F141&gt;0,ISNUMBER(Q141),Q141&gt;0),"✓ OK","✗ ERROR: Revisa datos")</f>
        <v/>
      </c>
      <c r="S141" s="6">
        <f>IF(A141&lt;&gt;"",TODAY()-A141,"")</f>
        <v/>
      </c>
      <c r="T141" s="4">
        <f>IF(E141="USD",F141,IF(E141="CRC",F141/CONFIG!$B$5,""))</f>
        <v/>
      </c>
      <c r="U141" s="19">
        <f>IF(A141&lt;&gt;"",A141+30,"")</f>
        <v/>
      </c>
      <c r="V141">
        <f>IF(AND(C141="CxP",S141&gt;60),"Alta",IF(AND(C141="CxP",S141&gt;30),"Media",IF(C141="CxP","Baja","")))</f>
        <v/>
      </c>
      <c r="W141">
        <f>IF(AND(C141="CxC",S141&gt;90),"Alta",IF(AND(C141="CxC",S141&gt;60),"Media",IF(C141="CxC","Baja","")))</f>
        <v/>
      </c>
    </row>
    <row r="142">
      <c r="A142" s="19" t="n"/>
      <c r="F142" s="20" t="n"/>
      <c r="Q142" s="10">
        <f>IF(E142="USD",CONFIG!$B$5,1)</f>
        <v/>
      </c>
      <c r="R142">
        <f>IF(AND(A142&lt;&gt;"",ISNUMBER(A142),B142&lt;&gt;"",C142&lt;&gt;"",OR(E142="USD",E142="CRC"),F142&gt;0,ISNUMBER(Q142),Q142&gt;0),"✓ OK","✗ ERROR: Revisa datos")</f>
        <v/>
      </c>
      <c r="S142" s="6">
        <f>IF(A142&lt;&gt;"",TODAY()-A142,"")</f>
        <v/>
      </c>
      <c r="T142" s="4">
        <f>IF(E142="USD",F142,IF(E142="CRC",F142/CONFIG!$B$5,""))</f>
        <v/>
      </c>
      <c r="U142" s="19">
        <f>IF(A142&lt;&gt;"",A142+30,"")</f>
        <v/>
      </c>
      <c r="V142">
        <f>IF(AND(C142="CxP",S142&gt;60),"Alta",IF(AND(C142="CxP",S142&gt;30),"Media",IF(C142="CxP","Baja","")))</f>
        <v/>
      </c>
      <c r="W142">
        <f>IF(AND(C142="CxC",S142&gt;90),"Alta",IF(AND(C142="CxC",S142&gt;60),"Media",IF(C142="CxC","Baja","")))</f>
        <v/>
      </c>
    </row>
    <row r="143">
      <c r="A143" s="19" t="n"/>
      <c r="F143" s="20" t="n"/>
      <c r="Q143" s="10">
        <f>IF(E143="USD",CONFIG!$B$5,1)</f>
        <v/>
      </c>
      <c r="R143">
        <f>IF(AND(A143&lt;&gt;"",ISNUMBER(A143),B143&lt;&gt;"",C143&lt;&gt;"",OR(E143="USD",E143="CRC"),F143&gt;0,ISNUMBER(Q143),Q143&gt;0),"✓ OK","✗ ERROR: Revisa datos")</f>
        <v/>
      </c>
      <c r="S143" s="6">
        <f>IF(A143&lt;&gt;"",TODAY()-A143,"")</f>
        <v/>
      </c>
      <c r="T143" s="4">
        <f>IF(E143="USD",F143,IF(E143="CRC",F143/CONFIG!$B$5,""))</f>
        <v/>
      </c>
      <c r="U143" s="19">
        <f>IF(A143&lt;&gt;"",A143+30,"")</f>
        <v/>
      </c>
      <c r="V143">
        <f>IF(AND(C143="CxP",S143&gt;60),"Alta",IF(AND(C143="CxP",S143&gt;30),"Media",IF(C143="CxP","Baja","")))</f>
        <v/>
      </c>
      <c r="W143">
        <f>IF(AND(C143="CxC",S143&gt;90),"Alta",IF(AND(C143="CxC",S143&gt;60),"Media",IF(C143="CxC","Baja","")))</f>
        <v/>
      </c>
    </row>
    <row r="144">
      <c r="A144" s="19" t="n"/>
      <c r="F144" s="20" t="n"/>
      <c r="Q144" s="10">
        <f>IF(E144="USD",CONFIG!$B$5,1)</f>
        <v/>
      </c>
      <c r="R144">
        <f>IF(AND(A144&lt;&gt;"",ISNUMBER(A144),B144&lt;&gt;"",C144&lt;&gt;"",OR(E144="USD",E144="CRC"),F144&gt;0,ISNUMBER(Q144),Q144&gt;0),"✓ OK","✗ ERROR: Revisa datos")</f>
        <v/>
      </c>
      <c r="S144" s="6">
        <f>IF(A144&lt;&gt;"",TODAY()-A144,"")</f>
        <v/>
      </c>
      <c r="T144" s="4">
        <f>IF(E144="USD",F144,IF(E144="CRC",F144/CONFIG!$B$5,""))</f>
        <v/>
      </c>
      <c r="U144" s="19">
        <f>IF(A144&lt;&gt;"",A144+30,"")</f>
        <v/>
      </c>
      <c r="V144">
        <f>IF(AND(C144="CxP",S144&gt;60),"Alta",IF(AND(C144="CxP",S144&gt;30),"Media",IF(C144="CxP","Baja","")))</f>
        <v/>
      </c>
      <c r="W144">
        <f>IF(AND(C144="CxC",S144&gt;90),"Alta",IF(AND(C144="CxC",S144&gt;60),"Media",IF(C144="CxC","Baja","")))</f>
        <v/>
      </c>
    </row>
    <row r="145">
      <c r="A145" s="19" t="n"/>
      <c r="F145" s="20" t="n"/>
      <c r="Q145" s="10">
        <f>IF(E145="USD",CONFIG!$B$5,1)</f>
        <v/>
      </c>
      <c r="R145">
        <f>IF(AND(A145&lt;&gt;"",ISNUMBER(A145),B145&lt;&gt;"",C145&lt;&gt;"",OR(E145="USD",E145="CRC"),F145&gt;0,ISNUMBER(Q145),Q145&gt;0),"✓ OK","✗ ERROR: Revisa datos")</f>
        <v/>
      </c>
      <c r="S145" s="6">
        <f>IF(A145&lt;&gt;"",TODAY()-A145,"")</f>
        <v/>
      </c>
      <c r="T145" s="4">
        <f>IF(E145="USD",F145,IF(E145="CRC",F145/CONFIG!$B$5,""))</f>
        <v/>
      </c>
      <c r="U145" s="19">
        <f>IF(A145&lt;&gt;"",A145+30,"")</f>
        <v/>
      </c>
      <c r="V145">
        <f>IF(AND(C145="CxP",S145&gt;60),"Alta",IF(AND(C145="CxP",S145&gt;30),"Media",IF(C145="CxP","Baja","")))</f>
        <v/>
      </c>
      <c r="W145">
        <f>IF(AND(C145="CxC",S145&gt;90),"Alta",IF(AND(C145="CxC",S145&gt;60),"Media",IF(C145="CxC","Baja","")))</f>
        <v/>
      </c>
    </row>
    <row r="146">
      <c r="A146" s="19" t="n"/>
      <c r="F146" s="20" t="n"/>
      <c r="Q146" s="10">
        <f>IF(E146="USD",CONFIG!$B$5,1)</f>
        <v/>
      </c>
      <c r="R146">
        <f>IF(AND(A146&lt;&gt;"",ISNUMBER(A146),B146&lt;&gt;"",C146&lt;&gt;"",OR(E146="USD",E146="CRC"),F146&gt;0,ISNUMBER(Q146),Q146&gt;0),"✓ OK","✗ ERROR: Revisa datos")</f>
        <v/>
      </c>
      <c r="S146" s="6">
        <f>IF(A146&lt;&gt;"",TODAY()-A146,"")</f>
        <v/>
      </c>
      <c r="T146" s="4">
        <f>IF(E146="USD",F146,IF(E146="CRC",F146/CONFIG!$B$5,""))</f>
        <v/>
      </c>
      <c r="U146" s="19">
        <f>IF(A146&lt;&gt;"",A146+30,"")</f>
        <v/>
      </c>
      <c r="V146">
        <f>IF(AND(C146="CxP",S146&gt;60),"Alta",IF(AND(C146="CxP",S146&gt;30),"Media",IF(C146="CxP","Baja","")))</f>
        <v/>
      </c>
      <c r="W146">
        <f>IF(AND(C146="CxC",S146&gt;90),"Alta",IF(AND(C146="CxC",S146&gt;60),"Media",IF(C146="CxC","Baja","")))</f>
        <v/>
      </c>
    </row>
    <row r="147">
      <c r="A147" s="19" t="n"/>
      <c r="F147" s="20" t="n"/>
      <c r="Q147" s="10">
        <f>IF(E147="USD",CONFIG!$B$5,1)</f>
        <v/>
      </c>
      <c r="R147">
        <f>IF(AND(A147&lt;&gt;"",ISNUMBER(A147),B147&lt;&gt;"",C147&lt;&gt;"",OR(E147="USD",E147="CRC"),F147&gt;0,ISNUMBER(Q147),Q147&gt;0),"✓ OK","✗ ERROR: Revisa datos")</f>
        <v/>
      </c>
      <c r="S147" s="6">
        <f>IF(A147&lt;&gt;"",TODAY()-A147,"")</f>
        <v/>
      </c>
      <c r="T147" s="4">
        <f>IF(E147="USD",F147,IF(E147="CRC",F147/CONFIG!$B$5,""))</f>
        <v/>
      </c>
      <c r="U147" s="19">
        <f>IF(A147&lt;&gt;"",A147+30,"")</f>
        <v/>
      </c>
      <c r="V147">
        <f>IF(AND(C147="CxP",S147&gt;60),"Alta",IF(AND(C147="CxP",S147&gt;30),"Media",IF(C147="CxP","Baja","")))</f>
        <v/>
      </c>
      <c r="W147">
        <f>IF(AND(C147="CxC",S147&gt;90),"Alta",IF(AND(C147="CxC",S147&gt;60),"Media",IF(C147="CxC","Baja","")))</f>
        <v/>
      </c>
    </row>
    <row r="148">
      <c r="A148" s="19" t="n"/>
      <c r="F148" s="20" t="n"/>
      <c r="Q148" s="10">
        <f>IF(E148="USD",CONFIG!$B$5,1)</f>
        <v/>
      </c>
      <c r="R148">
        <f>IF(AND(A148&lt;&gt;"",ISNUMBER(A148),B148&lt;&gt;"",C148&lt;&gt;"",OR(E148="USD",E148="CRC"),F148&gt;0,ISNUMBER(Q148),Q148&gt;0),"✓ OK","✗ ERROR: Revisa datos")</f>
        <v/>
      </c>
      <c r="S148" s="6">
        <f>IF(A148&lt;&gt;"",TODAY()-A148,"")</f>
        <v/>
      </c>
      <c r="T148" s="4">
        <f>IF(E148="USD",F148,IF(E148="CRC",F148/CONFIG!$B$5,""))</f>
        <v/>
      </c>
      <c r="U148" s="19">
        <f>IF(A148&lt;&gt;"",A148+30,"")</f>
        <v/>
      </c>
      <c r="V148">
        <f>IF(AND(C148="CxP",S148&gt;60),"Alta",IF(AND(C148="CxP",S148&gt;30),"Media",IF(C148="CxP","Baja","")))</f>
        <v/>
      </c>
      <c r="W148">
        <f>IF(AND(C148="CxC",S148&gt;90),"Alta",IF(AND(C148="CxC",S148&gt;60),"Media",IF(C148="CxC","Baja","")))</f>
        <v/>
      </c>
    </row>
    <row r="149">
      <c r="A149" s="19" t="n"/>
      <c r="F149" s="20" t="n"/>
      <c r="Q149" s="10">
        <f>IF(E149="USD",CONFIG!$B$5,1)</f>
        <v/>
      </c>
      <c r="R149">
        <f>IF(AND(A149&lt;&gt;"",ISNUMBER(A149),B149&lt;&gt;"",C149&lt;&gt;"",OR(E149="USD",E149="CRC"),F149&gt;0,ISNUMBER(Q149),Q149&gt;0),"✓ OK","✗ ERROR: Revisa datos")</f>
        <v/>
      </c>
      <c r="S149" s="6">
        <f>IF(A149&lt;&gt;"",TODAY()-A149,"")</f>
        <v/>
      </c>
      <c r="T149" s="4">
        <f>IF(E149="USD",F149,IF(E149="CRC",F149/CONFIG!$B$5,""))</f>
        <v/>
      </c>
      <c r="U149" s="19">
        <f>IF(A149&lt;&gt;"",A149+30,"")</f>
        <v/>
      </c>
      <c r="V149">
        <f>IF(AND(C149="CxP",S149&gt;60),"Alta",IF(AND(C149="CxP",S149&gt;30),"Media",IF(C149="CxP","Baja","")))</f>
        <v/>
      </c>
      <c r="W149">
        <f>IF(AND(C149="CxC",S149&gt;90),"Alta",IF(AND(C149="CxC",S149&gt;60),"Media",IF(C149="CxC","Baja","")))</f>
        <v/>
      </c>
    </row>
    <row r="150">
      <c r="A150" s="19" t="n"/>
      <c r="F150" s="20" t="n"/>
      <c r="Q150" s="10">
        <f>IF(E150="USD",CONFIG!$B$5,1)</f>
        <v/>
      </c>
      <c r="R150">
        <f>IF(AND(A150&lt;&gt;"",ISNUMBER(A150),B150&lt;&gt;"",C150&lt;&gt;"",OR(E150="USD",E150="CRC"),F150&gt;0,ISNUMBER(Q150),Q150&gt;0),"✓ OK","✗ ERROR: Revisa datos")</f>
        <v/>
      </c>
      <c r="S150" s="6">
        <f>IF(A150&lt;&gt;"",TODAY()-A150,"")</f>
        <v/>
      </c>
      <c r="T150" s="4">
        <f>IF(E150="USD",F150,IF(E150="CRC",F150/CONFIG!$B$5,""))</f>
        <v/>
      </c>
      <c r="U150" s="19">
        <f>IF(A150&lt;&gt;"",A150+30,"")</f>
        <v/>
      </c>
      <c r="V150">
        <f>IF(AND(C150="CxP",S150&gt;60),"Alta",IF(AND(C150="CxP",S150&gt;30),"Media",IF(C150="CxP","Baja","")))</f>
        <v/>
      </c>
      <c r="W150">
        <f>IF(AND(C150="CxC",S150&gt;90),"Alta",IF(AND(C150="CxC",S150&gt;60),"Media",IF(C150="CxC","Baja","")))</f>
        <v/>
      </c>
    </row>
    <row r="151">
      <c r="A151" s="19" t="n"/>
      <c r="F151" s="20" t="n"/>
      <c r="Q151" s="10">
        <f>IF(E151="USD",CONFIG!$B$5,1)</f>
        <v/>
      </c>
      <c r="R151">
        <f>IF(AND(A151&lt;&gt;"",ISNUMBER(A151),B151&lt;&gt;"",C151&lt;&gt;"",OR(E151="USD",E151="CRC"),F151&gt;0,ISNUMBER(Q151),Q151&gt;0),"✓ OK","✗ ERROR: Revisa datos")</f>
        <v/>
      </c>
      <c r="S151" s="6">
        <f>IF(A151&lt;&gt;"",TODAY()-A151,"")</f>
        <v/>
      </c>
      <c r="T151" s="4">
        <f>IF(E151="USD",F151,IF(E151="CRC",F151/CONFIG!$B$5,""))</f>
        <v/>
      </c>
      <c r="U151" s="19">
        <f>IF(A151&lt;&gt;"",A151+30,"")</f>
        <v/>
      </c>
      <c r="V151">
        <f>IF(AND(C151="CxP",S151&gt;60),"Alta",IF(AND(C151="CxP",S151&gt;30),"Media",IF(C151="CxP","Baja","")))</f>
        <v/>
      </c>
      <c r="W151">
        <f>IF(AND(C151="CxC",S151&gt;90),"Alta",IF(AND(C151="CxC",S151&gt;60),"Media",IF(C151="CxC","Baja","")))</f>
        <v/>
      </c>
    </row>
    <row r="152">
      <c r="A152" s="19" t="n"/>
      <c r="F152" s="20" t="n"/>
      <c r="Q152" s="10">
        <f>IF(E152="USD",CONFIG!$B$5,1)</f>
        <v/>
      </c>
      <c r="R152">
        <f>IF(AND(A152&lt;&gt;"",ISNUMBER(A152),B152&lt;&gt;"",C152&lt;&gt;"",OR(E152="USD",E152="CRC"),F152&gt;0,ISNUMBER(Q152),Q152&gt;0),"✓ OK","✗ ERROR: Revisa datos")</f>
        <v/>
      </c>
      <c r="S152" s="6">
        <f>IF(A152&lt;&gt;"",TODAY()-A152,"")</f>
        <v/>
      </c>
      <c r="T152" s="4">
        <f>IF(E152="USD",F152,IF(E152="CRC",F152/CONFIG!$B$5,""))</f>
        <v/>
      </c>
      <c r="U152" s="19">
        <f>IF(A152&lt;&gt;"",A152+30,"")</f>
        <v/>
      </c>
      <c r="V152">
        <f>IF(AND(C152="CxP",S152&gt;60),"Alta",IF(AND(C152="CxP",S152&gt;30),"Media",IF(C152="CxP","Baja","")))</f>
        <v/>
      </c>
      <c r="W152">
        <f>IF(AND(C152="CxC",S152&gt;90),"Alta",IF(AND(C152="CxC",S152&gt;60),"Media",IF(C152="CxC","Baja","")))</f>
        <v/>
      </c>
    </row>
    <row r="153">
      <c r="A153" s="19" t="n"/>
      <c r="F153" s="20" t="n"/>
      <c r="Q153" s="10">
        <f>IF(E153="USD",CONFIG!$B$5,1)</f>
        <v/>
      </c>
      <c r="R153">
        <f>IF(AND(A153&lt;&gt;"",ISNUMBER(A153),B153&lt;&gt;"",C153&lt;&gt;"",OR(E153="USD",E153="CRC"),F153&gt;0,ISNUMBER(Q153),Q153&gt;0),"✓ OK","✗ ERROR: Revisa datos")</f>
        <v/>
      </c>
      <c r="S153" s="6">
        <f>IF(A153&lt;&gt;"",TODAY()-A153,"")</f>
        <v/>
      </c>
      <c r="T153" s="4">
        <f>IF(E153="USD",F153,IF(E153="CRC",F153/CONFIG!$B$5,""))</f>
        <v/>
      </c>
      <c r="U153" s="19">
        <f>IF(A153&lt;&gt;"",A153+30,"")</f>
        <v/>
      </c>
      <c r="V153">
        <f>IF(AND(C153="CxP",S153&gt;60),"Alta",IF(AND(C153="CxP",S153&gt;30),"Media",IF(C153="CxP","Baja","")))</f>
        <v/>
      </c>
      <c r="W153">
        <f>IF(AND(C153="CxC",S153&gt;90),"Alta",IF(AND(C153="CxC",S153&gt;60),"Media",IF(C153="CxC","Baja","")))</f>
        <v/>
      </c>
    </row>
    <row r="154">
      <c r="A154" s="19" t="n"/>
      <c r="F154" s="20" t="n"/>
      <c r="Q154" s="10">
        <f>IF(E154="USD",CONFIG!$B$5,1)</f>
        <v/>
      </c>
      <c r="R154">
        <f>IF(AND(A154&lt;&gt;"",ISNUMBER(A154),B154&lt;&gt;"",C154&lt;&gt;"",OR(E154="USD",E154="CRC"),F154&gt;0,ISNUMBER(Q154),Q154&gt;0),"✓ OK","✗ ERROR: Revisa datos")</f>
        <v/>
      </c>
      <c r="S154" s="6">
        <f>IF(A154&lt;&gt;"",TODAY()-A154,"")</f>
        <v/>
      </c>
      <c r="T154" s="4">
        <f>IF(E154="USD",F154,IF(E154="CRC",F154/CONFIG!$B$5,""))</f>
        <v/>
      </c>
      <c r="U154" s="19">
        <f>IF(A154&lt;&gt;"",A154+30,"")</f>
        <v/>
      </c>
      <c r="V154">
        <f>IF(AND(C154="CxP",S154&gt;60),"Alta",IF(AND(C154="CxP",S154&gt;30),"Media",IF(C154="CxP","Baja","")))</f>
        <v/>
      </c>
      <c r="W154">
        <f>IF(AND(C154="CxC",S154&gt;90),"Alta",IF(AND(C154="CxC",S154&gt;60),"Media",IF(C154="CxC","Baja","")))</f>
        <v/>
      </c>
    </row>
    <row r="155">
      <c r="A155" s="19" t="n"/>
      <c r="F155" s="20" t="n"/>
      <c r="Q155" s="10">
        <f>IF(E155="USD",CONFIG!$B$5,1)</f>
        <v/>
      </c>
      <c r="R155">
        <f>IF(AND(A155&lt;&gt;"",ISNUMBER(A155),B155&lt;&gt;"",C155&lt;&gt;"",OR(E155="USD",E155="CRC"),F155&gt;0,ISNUMBER(Q155),Q155&gt;0),"✓ OK","✗ ERROR: Revisa datos")</f>
        <v/>
      </c>
      <c r="S155" s="6">
        <f>IF(A155&lt;&gt;"",TODAY()-A155,"")</f>
        <v/>
      </c>
      <c r="T155" s="4">
        <f>IF(E155="USD",F155,IF(E155="CRC",F155/CONFIG!$B$5,""))</f>
        <v/>
      </c>
      <c r="U155" s="19">
        <f>IF(A155&lt;&gt;"",A155+30,"")</f>
        <v/>
      </c>
      <c r="V155">
        <f>IF(AND(C155="CxP",S155&gt;60),"Alta",IF(AND(C155="CxP",S155&gt;30),"Media",IF(C155="CxP","Baja","")))</f>
        <v/>
      </c>
      <c r="W155">
        <f>IF(AND(C155="CxC",S155&gt;90),"Alta",IF(AND(C155="CxC",S155&gt;60),"Media",IF(C155="CxC","Baja","")))</f>
        <v/>
      </c>
    </row>
    <row r="156">
      <c r="A156" s="19" t="n"/>
      <c r="F156" s="20" t="n"/>
      <c r="Q156" s="10">
        <f>IF(E156="USD",CONFIG!$B$5,1)</f>
        <v/>
      </c>
      <c r="R156">
        <f>IF(AND(A156&lt;&gt;"",ISNUMBER(A156),B156&lt;&gt;"",C156&lt;&gt;"",OR(E156="USD",E156="CRC"),F156&gt;0,ISNUMBER(Q156),Q156&gt;0),"✓ OK","✗ ERROR: Revisa datos")</f>
        <v/>
      </c>
      <c r="S156" s="6">
        <f>IF(A156&lt;&gt;"",TODAY()-A156,"")</f>
        <v/>
      </c>
      <c r="T156" s="4">
        <f>IF(E156="USD",F156,IF(E156="CRC",F156/CONFIG!$B$5,""))</f>
        <v/>
      </c>
      <c r="U156" s="19">
        <f>IF(A156&lt;&gt;"",A156+30,"")</f>
        <v/>
      </c>
      <c r="V156">
        <f>IF(AND(C156="CxP",S156&gt;60),"Alta",IF(AND(C156="CxP",S156&gt;30),"Media",IF(C156="CxP","Baja","")))</f>
        <v/>
      </c>
      <c r="W156">
        <f>IF(AND(C156="CxC",S156&gt;90),"Alta",IF(AND(C156="CxC",S156&gt;60),"Media",IF(C156="CxC","Baja","")))</f>
        <v/>
      </c>
    </row>
    <row r="157">
      <c r="A157" s="19" t="n"/>
      <c r="F157" s="20" t="n"/>
      <c r="Q157" s="10">
        <f>IF(E157="USD",CONFIG!$B$5,1)</f>
        <v/>
      </c>
      <c r="R157">
        <f>IF(AND(A157&lt;&gt;"",ISNUMBER(A157),B157&lt;&gt;"",C157&lt;&gt;"",OR(E157="USD",E157="CRC"),F157&gt;0,ISNUMBER(Q157),Q157&gt;0),"✓ OK","✗ ERROR: Revisa datos")</f>
        <v/>
      </c>
      <c r="S157" s="6">
        <f>IF(A157&lt;&gt;"",TODAY()-A157,"")</f>
        <v/>
      </c>
      <c r="T157" s="4">
        <f>IF(E157="USD",F157,IF(E157="CRC",F157/CONFIG!$B$5,""))</f>
        <v/>
      </c>
      <c r="U157" s="19">
        <f>IF(A157&lt;&gt;"",A157+30,"")</f>
        <v/>
      </c>
      <c r="V157">
        <f>IF(AND(C157="CxP",S157&gt;60),"Alta",IF(AND(C157="CxP",S157&gt;30),"Media",IF(C157="CxP","Baja","")))</f>
        <v/>
      </c>
      <c r="W157">
        <f>IF(AND(C157="CxC",S157&gt;90),"Alta",IF(AND(C157="CxC",S157&gt;60),"Media",IF(C157="CxC","Baja","")))</f>
        <v/>
      </c>
    </row>
    <row r="158">
      <c r="A158" s="19" t="n"/>
      <c r="F158" s="20" t="n"/>
      <c r="Q158" s="10">
        <f>IF(E158="USD",CONFIG!$B$5,1)</f>
        <v/>
      </c>
      <c r="R158">
        <f>IF(AND(A158&lt;&gt;"",ISNUMBER(A158),B158&lt;&gt;"",C158&lt;&gt;"",OR(E158="USD",E158="CRC"),F158&gt;0,ISNUMBER(Q158),Q158&gt;0),"✓ OK","✗ ERROR: Revisa datos")</f>
        <v/>
      </c>
      <c r="S158" s="6">
        <f>IF(A158&lt;&gt;"",TODAY()-A158,"")</f>
        <v/>
      </c>
      <c r="T158" s="4">
        <f>IF(E158="USD",F158,IF(E158="CRC",F158/CONFIG!$B$5,""))</f>
        <v/>
      </c>
      <c r="U158" s="19">
        <f>IF(A158&lt;&gt;"",A158+30,"")</f>
        <v/>
      </c>
      <c r="V158">
        <f>IF(AND(C158="CxP",S158&gt;60),"Alta",IF(AND(C158="CxP",S158&gt;30),"Media",IF(C158="CxP","Baja","")))</f>
        <v/>
      </c>
      <c r="W158">
        <f>IF(AND(C158="CxC",S158&gt;90),"Alta",IF(AND(C158="CxC",S158&gt;60),"Media",IF(C158="CxC","Baja","")))</f>
        <v/>
      </c>
    </row>
    <row r="159">
      <c r="A159" s="19" t="n"/>
      <c r="F159" s="20" t="n"/>
      <c r="Q159" s="10">
        <f>IF(E159="USD",CONFIG!$B$5,1)</f>
        <v/>
      </c>
      <c r="R159">
        <f>IF(AND(A159&lt;&gt;"",ISNUMBER(A159),B159&lt;&gt;"",C159&lt;&gt;"",OR(E159="USD",E159="CRC"),F159&gt;0,ISNUMBER(Q159),Q159&gt;0),"✓ OK","✗ ERROR: Revisa datos")</f>
        <v/>
      </c>
      <c r="S159" s="6">
        <f>IF(A159&lt;&gt;"",TODAY()-A159,"")</f>
        <v/>
      </c>
      <c r="T159" s="4">
        <f>IF(E159="USD",F159,IF(E159="CRC",F159/CONFIG!$B$5,""))</f>
        <v/>
      </c>
      <c r="U159" s="19">
        <f>IF(A159&lt;&gt;"",A159+30,"")</f>
        <v/>
      </c>
      <c r="V159">
        <f>IF(AND(C159="CxP",S159&gt;60),"Alta",IF(AND(C159="CxP",S159&gt;30),"Media",IF(C159="CxP","Baja","")))</f>
        <v/>
      </c>
      <c r="W159">
        <f>IF(AND(C159="CxC",S159&gt;90),"Alta",IF(AND(C159="CxC",S159&gt;60),"Media",IF(C159="CxC","Baja","")))</f>
        <v/>
      </c>
    </row>
    <row r="160">
      <c r="A160" s="19" t="n"/>
      <c r="F160" s="20" t="n"/>
      <c r="Q160" s="10">
        <f>IF(E160="USD",CONFIG!$B$5,1)</f>
        <v/>
      </c>
      <c r="R160">
        <f>IF(AND(A160&lt;&gt;"",ISNUMBER(A160),B160&lt;&gt;"",C160&lt;&gt;"",OR(E160="USD",E160="CRC"),F160&gt;0,ISNUMBER(Q160),Q160&gt;0),"✓ OK","✗ ERROR: Revisa datos")</f>
        <v/>
      </c>
      <c r="S160" s="6">
        <f>IF(A160&lt;&gt;"",TODAY()-A160,"")</f>
        <v/>
      </c>
      <c r="T160" s="4">
        <f>IF(E160="USD",F160,IF(E160="CRC",F160/CONFIG!$B$5,""))</f>
        <v/>
      </c>
      <c r="U160" s="19">
        <f>IF(A160&lt;&gt;"",A160+30,"")</f>
        <v/>
      </c>
      <c r="V160">
        <f>IF(AND(C160="CxP",S160&gt;60),"Alta",IF(AND(C160="CxP",S160&gt;30),"Media",IF(C160="CxP","Baja","")))</f>
        <v/>
      </c>
      <c r="W160">
        <f>IF(AND(C160="CxC",S160&gt;90),"Alta",IF(AND(C160="CxC",S160&gt;60),"Media",IF(C160="CxC","Baja","")))</f>
        <v/>
      </c>
    </row>
    <row r="161">
      <c r="A161" s="19" t="n"/>
      <c r="F161" s="20" t="n"/>
      <c r="Q161" s="10">
        <f>IF(E161="USD",CONFIG!$B$5,1)</f>
        <v/>
      </c>
      <c r="R161">
        <f>IF(AND(A161&lt;&gt;"",ISNUMBER(A161),B161&lt;&gt;"",C161&lt;&gt;"",OR(E161="USD",E161="CRC"),F161&gt;0,ISNUMBER(Q161),Q161&gt;0),"✓ OK","✗ ERROR: Revisa datos")</f>
        <v/>
      </c>
      <c r="S161" s="6">
        <f>IF(A161&lt;&gt;"",TODAY()-A161,"")</f>
        <v/>
      </c>
      <c r="T161" s="4">
        <f>IF(E161="USD",F161,IF(E161="CRC",F161/CONFIG!$B$5,""))</f>
        <v/>
      </c>
      <c r="U161" s="19">
        <f>IF(A161&lt;&gt;"",A161+30,"")</f>
        <v/>
      </c>
      <c r="V161">
        <f>IF(AND(C161="CxP",S161&gt;60),"Alta",IF(AND(C161="CxP",S161&gt;30),"Media",IF(C161="CxP","Baja","")))</f>
        <v/>
      </c>
      <c r="W161">
        <f>IF(AND(C161="CxC",S161&gt;90),"Alta",IF(AND(C161="CxC",S161&gt;60),"Media",IF(C161="CxC","Baja","")))</f>
        <v/>
      </c>
    </row>
    <row r="162">
      <c r="A162" s="19" t="n"/>
      <c r="F162" s="20" t="n"/>
      <c r="Q162" s="10">
        <f>IF(E162="USD",CONFIG!$B$5,1)</f>
        <v/>
      </c>
      <c r="R162">
        <f>IF(AND(A162&lt;&gt;"",ISNUMBER(A162),B162&lt;&gt;"",C162&lt;&gt;"",OR(E162="USD",E162="CRC"),F162&gt;0,ISNUMBER(Q162),Q162&gt;0),"✓ OK","✗ ERROR: Revisa datos")</f>
        <v/>
      </c>
      <c r="S162" s="6">
        <f>IF(A162&lt;&gt;"",TODAY()-A162,"")</f>
        <v/>
      </c>
      <c r="T162" s="4">
        <f>IF(E162="USD",F162,IF(E162="CRC",F162/CONFIG!$B$5,""))</f>
        <v/>
      </c>
      <c r="U162" s="19">
        <f>IF(A162&lt;&gt;"",A162+30,"")</f>
        <v/>
      </c>
      <c r="V162">
        <f>IF(AND(C162="CxP",S162&gt;60),"Alta",IF(AND(C162="CxP",S162&gt;30),"Media",IF(C162="CxP","Baja","")))</f>
        <v/>
      </c>
      <c r="W162">
        <f>IF(AND(C162="CxC",S162&gt;90),"Alta",IF(AND(C162="CxC",S162&gt;60),"Media",IF(C162="CxC","Baja","")))</f>
        <v/>
      </c>
    </row>
    <row r="163">
      <c r="A163" s="19" t="n"/>
      <c r="F163" s="20" t="n"/>
      <c r="Q163" s="10">
        <f>IF(E163="USD",CONFIG!$B$5,1)</f>
        <v/>
      </c>
      <c r="R163">
        <f>IF(AND(A163&lt;&gt;"",ISNUMBER(A163),B163&lt;&gt;"",C163&lt;&gt;"",OR(E163="USD",E163="CRC"),F163&gt;0,ISNUMBER(Q163),Q163&gt;0),"✓ OK","✗ ERROR: Revisa datos")</f>
        <v/>
      </c>
      <c r="S163" s="6">
        <f>IF(A163&lt;&gt;"",TODAY()-A163,"")</f>
        <v/>
      </c>
      <c r="T163" s="4">
        <f>IF(E163="USD",F163,IF(E163="CRC",F163/CONFIG!$B$5,""))</f>
        <v/>
      </c>
      <c r="U163" s="19">
        <f>IF(A163&lt;&gt;"",A163+30,"")</f>
        <v/>
      </c>
      <c r="V163">
        <f>IF(AND(C163="CxP",S163&gt;60),"Alta",IF(AND(C163="CxP",S163&gt;30),"Media",IF(C163="CxP","Baja","")))</f>
        <v/>
      </c>
      <c r="W163">
        <f>IF(AND(C163="CxC",S163&gt;90),"Alta",IF(AND(C163="CxC",S163&gt;60),"Media",IF(C163="CxC","Baja","")))</f>
        <v/>
      </c>
    </row>
    <row r="164">
      <c r="A164" s="19" t="n"/>
      <c r="F164" s="20" t="n"/>
      <c r="Q164" s="10">
        <f>IF(E164="USD",CONFIG!$B$5,1)</f>
        <v/>
      </c>
      <c r="R164">
        <f>IF(AND(A164&lt;&gt;"",ISNUMBER(A164),B164&lt;&gt;"",C164&lt;&gt;"",OR(E164="USD",E164="CRC"),F164&gt;0,ISNUMBER(Q164),Q164&gt;0),"✓ OK","✗ ERROR: Revisa datos")</f>
        <v/>
      </c>
      <c r="S164" s="6">
        <f>IF(A164&lt;&gt;"",TODAY()-A164,"")</f>
        <v/>
      </c>
      <c r="T164" s="4">
        <f>IF(E164="USD",F164,IF(E164="CRC",F164/CONFIG!$B$5,""))</f>
        <v/>
      </c>
      <c r="U164" s="19">
        <f>IF(A164&lt;&gt;"",A164+30,"")</f>
        <v/>
      </c>
      <c r="V164">
        <f>IF(AND(C164="CxP",S164&gt;60),"Alta",IF(AND(C164="CxP",S164&gt;30),"Media",IF(C164="CxP","Baja","")))</f>
        <v/>
      </c>
      <c r="W164">
        <f>IF(AND(C164="CxC",S164&gt;90),"Alta",IF(AND(C164="CxC",S164&gt;60),"Media",IF(C164="CxC","Baja","")))</f>
        <v/>
      </c>
    </row>
    <row r="165">
      <c r="A165" s="19" t="n"/>
      <c r="F165" s="20" t="n"/>
      <c r="Q165" s="10">
        <f>IF(E165="USD",CONFIG!$B$5,1)</f>
        <v/>
      </c>
      <c r="R165">
        <f>IF(AND(A165&lt;&gt;"",ISNUMBER(A165),B165&lt;&gt;"",C165&lt;&gt;"",OR(E165="USD",E165="CRC"),F165&gt;0,ISNUMBER(Q165),Q165&gt;0),"✓ OK","✗ ERROR: Revisa datos")</f>
        <v/>
      </c>
      <c r="S165" s="6">
        <f>IF(A165&lt;&gt;"",TODAY()-A165,"")</f>
        <v/>
      </c>
      <c r="T165" s="4">
        <f>IF(E165="USD",F165,IF(E165="CRC",F165/CONFIG!$B$5,""))</f>
        <v/>
      </c>
      <c r="U165" s="19">
        <f>IF(A165&lt;&gt;"",A165+30,"")</f>
        <v/>
      </c>
      <c r="V165">
        <f>IF(AND(C165="CxP",S165&gt;60),"Alta",IF(AND(C165="CxP",S165&gt;30),"Media",IF(C165="CxP","Baja","")))</f>
        <v/>
      </c>
      <c r="W165">
        <f>IF(AND(C165="CxC",S165&gt;90),"Alta",IF(AND(C165="CxC",S165&gt;60),"Media",IF(C165="CxC","Baja","")))</f>
        <v/>
      </c>
    </row>
    <row r="166">
      <c r="A166" s="19" t="n"/>
      <c r="F166" s="20" t="n"/>
      <c r="Q166" s="10">
        <f>IF(E166="USD",CONFIG!$B$5,1)</f>
        <v/>
      </c>
      <c r="R166">
        <f>IF(AND(A166&lt;&gt;"",ISNUMBER(A166),B166&lt;&gt;"",C166&lt;&gt;"",OR(E166="USD",E166="CRC"),F166&gt;0,ISNUMBER(Q166),Q166&gt;0),"✓ OK","✗ ERROR: Revisa datos")</f>
        <v/>
      </c>
      <c r="S166" s="6">
        <f>IF(A166&lt;&gt;"",TODAY()-A166,"")</f>
        <v/>
      </c>
      <c r="T166" s="4">
        <f>IF(E166="USD",F166,IF(E166="CRC",F166/CONFIG!$B$5,""))</f>
        <v/>
      </c>
      <c r="U166" s="19">
        <f>IF(A166&lt;&gt;"",A166+30,"")</f>
        <v/>
      </c>
      <c r="V166">
        <f>IF(AND(C166="CxP",S166&gt;60),"Alta",IF(AND(C166="CxP",S166&gt;30),"Media",IF(C166="CxP","Baja","")))</f>
        <v/>
      </c>
      <c r="W166">
        <f>IF(AND(C166="CxC",S166&gt;90),"Alta",IF(AND(C166="CxC",S166&gt;60),"Media",IF(C166="CxC","Baja","")))</f>
        <v/>
      </c>
    </row>
    <row r="167">
      <c r="A167" s="19" t="n"/>
      <c r="F167" s="20" t="n"/>
      <c r="Q167" s="10">
        <f>IF(E167="USD",CONFIG!$B$5,1)</f>
        <v/>
      </c>
      <c r="R167">
        <f>IF(AND(A167&lt;&gt;"",ISNUMBER(A167),B167&lt;&gt;"",C167&lt;&gt;"",OR(E167="USD",E167="CRC"),F167&gt;0,ISNUMBER(Q167),Q167&gt;0),"✓ OK","✗ ERROR: Revisa datos")</f>
        <v/>
      </c>
      <c r="S167" s="6">
        <f>IF(A167&lt;&gt;"",TODAY()-A167,"")</f>
        <v/>
      </c>
      <c r="T167" s="4">
        <f>IF(E167="USD",F167,IF(E167="CRC",F167/CONFIG!$B$5,""))</f>
        <v/>
      </c>
      <c r="U167" s="19">
        <f>IF(A167&lt;&gt;"",A167+30,"")</f>
        <v/>
      </c>
      <c r="V167">
        <f>IF(AND(C167="CxP",S167&gt;60),"Alta",IF(AND(C167="CxP",S167&gt;30),"Media",IF(C167="CxP","Baja","")))</f>
        <v/>
      </c>
      <c r="W167">
        <f>IF(AND(C167="CxC",S167&gt;90),"Alta",IF(AND(C167="CxC",S167&gt;60),"Media",IF(C167="CxC","Baja","")))</f>
        <v/>
      </c>
    </row>
    <row r="168">
      <c r="A168" s="19" t="n"/>
      <c r="F168" s="20" t="n"/>
      <c r="Q168" s="10">
        <f>IF(E168="USD",CONFIG!$B$5,1)</f>
        <v/>
      </c>
      <c r="R168">
        <f>IF(AND(A168&lt;&gt;"",ISNUMBER(A168),B168&lt;&gt;"",C168&lt;&gt;"",OR(E168="USD",E168="CRC"),F168&gt;0,ISNUMBER(Q168),Q168&gt;0),"✓ OK","✗ ERROR: Revisa datos")</f>
        <v/>
      </c>
      <c r="S168" s="6">
        <f>IF(A168&lt;&gt;"",TODAY()-A168,"")</f>
        <v/>
      </c>
      <c r="T168" s="4">
        <f>IF(E168="USD",F168,IF(E168="CRC",F168/CONFIG!$B$5,""))</f>
        <v/>
      </c>
      <c r="U168" s="19">
        <f>IF(A168&lt;&gt;"",A168+30,"")</f>
        <v/>
      </c>
      <c r="V168">
        <f>IF(AND(C168="CxP",S168&gt;60),"Alta",IF(AND(C168="CxP",S168&gt;30),"Media",IF(C168="CxP","Baja","")))</f>
        <v/>
      </c>
      <c r="W168">
        <f>IF(AND(C168="CxC",S168&gt;90),"Alta",IF(AND(C168="CxC",S168&gt;60),"Media",IF(C168="CxC","Baja","")))</f>
        <v/>
      </c>
    </row>
    <row r="169">
      <c r="A169" s="19" t="n"/>
      <c r="F169" s="20" t="n"/>
      <c r="Q169" s="10">
        <f>IF(E169="USD",CONFIG!$B$5,1)</f>
        <v/>
      </c>
      <c r="R169">
        <f>IF(AND(A169&lt;&gt;"",ISNUMBER(A169),B169&lt;&gt;"",C169&lt;&gt;"",OR(E169="USD",E169="CRC"),F169&gt;0,ISNUMBER(Q169),Q169&gt;0),"✓ OK","✗ ERROR: Revisa datos")</f>
        <v/>
      </c>
      <c r="S169" s="6">
        <f>IF(A169&lt;&gt;"",TODAY()-A169,"")</f>
        <v/>
      </c>
      <c r="T169" s="4">
        <f>IF(E169="USD",F169,IF(E169="CRC",F169/CONFIG!$B$5,""))</f>
        <v/>
      </c>
      <c r="U169" s="19">
        <f>IF(A169&lt;&gt;"",A169+30,"")</f>
        <v/>
      </c>
      <c r="V169">
        <f>IF(AND(C169="CxP",S169&gt;60),"Alta",IF(AND(C169="CxP",S169&gt;30),"Media",IF(C169="CxP","Baja","")))</f>
        <v/>
      </c>
      <c r="W169">
        <f>IF(AND(C169="CxC",S169&gt;90),"Alta",IF(AND(C169="CxC",S169&gt;60),"Media",IF(C169="CxC","Baja","")))</f>
        <v/>
      </c>
    </row>
    <row r="170">
      <c r="A170" s="19" t="n"/>
      <c r="F170" s="20" t="n"/>
      <c r="Q170" s="10">
        <f>IF(E170="USD",CONFIG!$B$5,1)</f>
        <v/>
      </c>
      <c r="R170">
        <f>IF(AND(A170&lt;&gt;"",ISNUMBER(A170),B170&lt;&gt;"",C170&lt;&gt;"",OR(E170="USD",E170="CRC"),F170&gt;0,ISNUMBER(Q170),Q170&gt;0),"✓ OK","✗ ERROR: Revisa datos")</f>
        <v/>
      </c>
      <c r="S170" s="6">
        <f>IF(A170&lt;&gt;"",TODAY()-A170,"")</f>
        <v/>
      </c>
      <c r="T170" s="4">
        <f>IF(E170="USD",F170,IF(E170="CRC",F170/CONFIG!$B$5,""))</f>
        <v/>
      </c>
      <c r="U170" s="19">
        <f>IF(A170&lt;&gt;"",A170+30,"")</f>
        <v/>
      </c>
      <c r="V170">
        <f>IF(AND(C170="CxP",S170&gt;60),"Alta",IF(AND(C170="CxP",S170&gt;30),"Media",IF(C170="CxP","Baja","")))</f>
        <v/>
      </c>
      <c r="W170">
        <f>IF(AND(C170="CxC",S170&gt;90),"Alta",IF(AND(C170="CxC",S170&gt;60),"Media",IF(C170="CxC","Baja","")))</f>
        <v/>
      </c>
    </row>
    <row r="171">
      <c r="A171" s="19" t="n"/>
      <c r="F171" s="20" t="n"/>
      <c r="Q171" s="10">
        <f>IF(E171="USD",CONFIG!$B$5,1)</f>
        <v/>
      </c>
      <c r="R171">
        <f>IF(AND(A171&lt;&gt;"",ISNUMBER(A171),B171&lt;&gt;"",C171&lt;&gt;"",OR(E171="USD",E171="CRC"),F171&gt;0,ISNUMBER(Q171),Q171&gt;0),"✓ OK","✗ ERROR: Revisa datos")</f>
        <v/>
      </c>
      <c r="S171" s="6">
        <f>IF(A171&lt;&gt;"",TODAY()-A171,"")</f>
        <v/>
      </c>
      <c r="T171" s="4">
        <f>IF(E171="USD",F171,IF(E171="CRC",F171/CONFIG!$B$5,""))</f>
        <v/>
      </c>
      <c r="U171" s="19">
        <f>IF(A171&lt;&gt;"",A171+30,"")</f>
        <v/>
      </c>
      <c r="V171">
        <f>IF(AND(C171="CxP",S171&gt;60),"Alta",IF(AND(C171="CxP",S171&gt;30),"Media",IF(C171="CxP","Baja","")))</f>
        <v/>
      </c>
      <c r="W171">
        <f>IF(AND(C171="CxC",S171&gt;90),"Alta",IF(AND(C171="CxC",S171&gt;60),"Media",IF(C171="CxC","Baja","")))</f>
        <v/>
      </c>
    </row>
    <row r="172">
      <c r="A172" s="19" t="n"/>
      <c r="F172" s="20" t="n"/>
      <c r="Q172" s="10">
        <f>IF(E172="USD",CONFIG!$B$5,1)</f>
        <v/>
      </c>
      <c r="R172">
        <f>IF(AND(A172&lt;&gt;"",ISNUMBER(A172),B172&lt;&gt;"",C172&lt;&gt;"",OR(E172="USD",E172="CRC"),F172&gt;0,ISNUMBER(Q172),Q172&gt;0),"✓ OK","✗ ERROR: Revisa datos")</f>
        <v/>
      </c>
      <c r="S172" s="6">
        <f>IF(A172&lt;&gt;"",TODAY()-A172,"")</f>
        <v/>
      </c>
      <c r="T172" s="4">
        <f>IF(E172="USD",F172,IF(E172="CRC",F172/CONFIG!$B$5,""))</f>
        <v/>
      </c>
      <c r="U172" s="19">
        <f>IF(A172&lt;&gt;"",A172+30,"")</f>
        <v/>
      </c>
      <c r="V172">
        <f>IF(AND(C172="CxP",S172&gt;60),"Alta",IF(AND(C172="CxP",S172&gt;30),"Media",IF(C172="CxP","Baja","")))</f>
        <v/>
      </c>
      <c r="W172">
        <f>IF(AND(C172="CxC",S172&gt;90),"Alta",IF(AND(C172="CxC",S172&gt;60),"Media",IF(C172="CxC","Baja","")))</f>
        <v/>
      </c>
    </row>
    <row r="173">
      <c r="A173" s="19" t="n"/>
      <c r="F173" s="20" t="n"/>
      <c r="Q173" s="10">
        <f>IF(E173="USD",CONFIG!$B$5,1)</f>
        <v/>
      </c>
      <c r="R173">
        <f>IF(AND(A173&lt;&gt;"",ISNUMBER(A173),B173&lt;&gt;"",C173&lt;&gt;"",OR(E173="USD",E173="CRC"),F173&gt;0,ISNUMBER(Q173),Q173&gt;0),"✓ OK","✗ ERROR: Revisa datos")</f>
        <v/>
      </c>
      <c r="S173" s="6">
        <f>IF(A173&lt;&gt;"",TODAY()-A173,"")</f>
        <v/>
      </c>
      <c r="T173" s="4">
        <f>IF(E173="USD",F173,IF(E173="CRC",F173/CONFIG!$B$5,""))</f>
        <v/>
      </c>
      <c r="U173" s="19">
        <f>IF(A173&lt;&gt;"",A173+30,"")</f>
        <v/>
      </c>
      <c r="V173">
        <f>IF(AND(C173="CxP",S173&gt;60),"Alta",IF(AND(C173="CxP",S173&gt;30),"Media",IF(C173="CxP","Baja","")))</f>
        <v/>
      </c>
      <c r="W173">
        <f>IF(AND(C173="CxC",S173&gt;90),"Alta",IF(AND(C173="CxC",S173&gt;60),"Media",IF(C173="CxC","Baja","")))</f>
        <v/>
      </c>
    </row>
    <row r="174">
      <c r="A174" s="19" t="n"/>
      <c r="F174" s="20" t="n"/>
      <c r="Q174" s="10">
        <f>IF(E174="USD",CONFIG!$B$5,1)</f>
        <v/>
      </c>
      <c r="R174">
        <f>IF(AND(A174&lt;&gt;"",ISNUMBER(A174),B174&lt;&gt;"",C174&lt;&gt;"",OR(E174="USD",E174="CRC"),F174&gt;0,ISNUMBER(Q174),Q174&gt;0),"✓ OK","✗ ERROR: Revisa datos")</f>
        <v/>
      </c>
      <c r="S174" s="6">
        <f>IF(A174&lt;&gt;"",TODAY()-A174,"")</f>
        <v/>
      </c>
      <c r="T174" s="4">
        <f>IF(E174="USD",F174,IF(E174="CRC",F174/CONFIG!$B$5,""))</f>
        <v/>
      </c>
      <c r="U174" s="19">
        <f>IF(A174&lt;&gt;"",A174+30,"")</f>
        <v/>
      </c>
      <c r="V174">
        <f>IF(AND(C174="CxP",S174&gt;60),"Alta",IF(AND(C174="CxP",S174&gt;30),"Media",IF(C174="CxP","Baja","")))</f>
        <v/>
      </c>
      <c r="W174">
        <f>IF(AND(C174="CxC",S174&gt;90),"Alta",IF(AND(C174="CxC",S174&gt;60),"Media",IF(C174="CxC","Baja","")))</f>
        <v/>
      </c>
    </row>
    <row r="175">
      <c r="A175" s="19" t="n"/>
      <c r="F175" s="20" t="n"/>
      <c r="Q175" s="10">
        <f>IF(E175="USD",CONFIG!$B$5,1)</f>
        <v/>
      </c>
      <c r="R175">
        <f>IF(AND(A175&lt;&gt;"",ISNUMBER(A175),B175&lt;&gt;"",C175&lt;&gt;"",OR(E175="USD",E175="CRC"),F175&gt;0,ISNUMBER(Q175),Q175&gt;0),"✓ OK","✗ ERROR: Revisa datos")</f>
        <v/>
      </c>
      <c r="S175" s="6">
        <f>IF(A175&lt;&gt;"",TODAY()-A175,"")</f>
        <v/>
      </c>
      <c r="T175" s="4">
        <f>IF(E175="USD",F175,IF(E175="CRC",F175/CONFIG!$B$5,""))</f>
        <v/>
      </c>
      <c r="U175" s="19">
        <f>IF(A175&lt;&gt;"",A175+30,"")</f>
        <v/>
      </c>
      <c r="V175">
        <f>IF(AND(C175="CxP",S175&gt;60),"Alta",IF(AND(C175="CxP",S175&gt;30),"Media",IF(C175="CxP","Baja","")))</f>
        <v/>
      </c>
      <c r="W175">
        <f>IF(AND(C175="CxC",S175&gt;90),"Alta",IF(AND(C175="CxC",S175&gt;60),"Media",IF(C175="CxC","Baja","")))</f>
        <v/>
      </c>
    </row>
    <row r="176">
      <c r="A176" s="19" t="n"/>
      <c r="F176" s="20" t="n"/>
      <c r="Q176" s="10">
        <f>IF(E176="USD",CONFIG!$B$5,1)</f>
        <v/>
      </c>
      <c r="R176">
        <f>IF(AND(A176&lt;&gt;"",ISNUMBER(A176),B176&lt;&gt;"",C176&lt;&gt;"",OR(E176="USD",E176="CRC"),F176&gt;0,ISNUMBER(Q176),Q176&gt;0),"✓ OK","✗ ERROR: Revisa datos")</f>
        <v/>
      </c>
      <c r="S176" s="6">
        <f>IF(A176&lt;&gt;"",TODAY()-A176,"")</f>
        <v/>
      </c>
      <c r="T176" s="4">
        <f>IF(E176="USD",F176,IF(E176="CRC",F176/CONFIG!$B$5,""))</f>
        <v/>
      </c>
      <c r="U176" s="19">
        <f>IF(A176&lt;&gt;"",A176+30,"")</f>
        <v/>
      </c>
      <c r="V176">
        <f>IF(AND(C176="CxP",S176&gt;60),"Alta",IF(AND(C176="CxP",S176&gt;30),"Media",IF(C176="CxP","Baja","")))</f>
        <v/>
      </c>
      <c r="W176">
        <f>IF(AND(C176="CxC",S176&gt;90),"Alta",IF(AND(C176="CxC",S176&gt;60),"Media",IF(C176="CxC","Baja","")))</f>
        <v/>
      </c>
    </row>
    <row r="177">
      <c r="A177" s="19" t="n"/>
      <c r="F177" s="20" t="n"/>
      <c r="Q177" s="10">
        <f>IF(E177="USD",CONFIG!$B$5,1)</f>
        <v/>
      </c>
      <c r="R177">
        <f>IF(AND(A177&lt;&gt;"",ISNUMBER(A177),B177&lt;&gt;"",C177&lt;&gt;"",OR(E177="USD",E177="CRC"),F177&gt;0,ISNUMBER(Q177),Q177&gt;0),"✓ OK","✗ ERROR: Revisa datos")</f>
        <v/>
      </c>
      <c r="S177" s="6">
        <f>IF(A177&lt;&gt;"",TODAY()-A177,"")</f>
        <v/>
      </c>
      <c r="T177" s="4">
        <f>IF(E177="USD",F177,IF(E177="CRC",F177/CONFIG!$B$5,""))</f>
        <v/>
      </c>
      <c r="U177" s="19">
        <f>IF(A177&lt;&gt;"",A177+30,"")</f>
        <v/>
      </c>
      <c r="V177">
        <f>IF(AND(C177="CxP",S177&gt;60),"Alta",IF(AND(C177="CxP",S177&gt;30),"Media",IF(C177="CxP","Baja","")))</f>
        <v/>
      </c>
      <c r="W177">
        <f>IF(AND(C177="CxC",S177&gt;90),"Alta",IF(AND(C177="CxC",S177&gt;60),"Media",IF(C177="CxC","Baja","")))</f>
        <v/>
      </c>
    </row>
    <row r="178">
      <c r="A178" s="19" t="n"/>
      <c r="F178" s="20" t="n"/>
      <c r="Q178" s="10">
        <f>IF(E178="USD",CONFIG!$B$5,1)</f>
        <v/>
      </c>
      <c r="R178">
        <f>IF(AND(A178&lt;&gt;"",ISNUMBER(A178),B178&lt;&gt;"",C178&lt;&gt;"",OR(E178="USD",E178="CRC"),F178&gt;0,ISNUMBER(Q178),Q178&gt;0),"✓ OK","✗ ERROR: Revisa datos")</f>
        <v/>
      </c>
      <c r="S178" s="6">
        <f>IF(A178&lt;&gt;"",TODAY()-A178,"")</f>
        <v/>
      </c>
      <c r="T178" s="4">
        <f>IF(E178="USD",F178,IF(E178="CRC",F178/CONFIG!$B$5,""))</f>
        <v/>
      </c>
      <c r="U178" s="19">
        <f>IF(A178&lt;&gt;"",A178+30,"")</f>
        <v/>
      </c>
      <c r="V178">
        <f>IF(AND(C178="CxP",S178&gt;60),"Alta",IF(AND(C178="CxP",S178&gt;30),"Media",IF(C178="CxP","Baja","")))</f>
        <v/>
      </c>
      <c r="W178">
        <f>IF(AND(C178="CxC",S178&gt;90),"Alta",IF(AND(C178="CxC",S178&gt;60),"Media",IF(C178="CxC","Baja","")))</f>
        <v/>
      </c>
    </row>
    <row r="179">
      <c r="A179" s="19" t="n"/>
      <c r="F179" s="20" t="n"/>
      <c r="Q179" s="10">
        <f>IF(E179="USD",CONFIG!$B$5,1)</f>
        <v/>
      </c>
      <c r="R179">
        <f>IF(AND(A179&lt;&gt;"",ISNUMBER(A179),B179&lt;&gt;"",C179&lt;&gt;"",OR(E179="USD",E179="CRC"),F179&gt;0,ISNUMBER(Q179),Q179&gt;0),"✓ OK","✗ ERROR: Revisa datos")</f>
        <v/>
      </c>
      <c r="S179" s="6">
        <f>IF(A179&lt;&gt;"",TODAY()-A179,"")</f>
        <v/>
      </c>
      <c r="T179" s="4">
        <f>IF(E179="USD",F179,IF(E179="CRC",F179/CONFIG!$B$5,""))</f>
        <v/>
      </c>
      <c r="U179" s="19">
        <f>IF(A179&lt;&gt;"",A179+30,"")</f>
        <v/>
      </c>
      <c r="V179">
        <f>IF(AND(C179="CxP",S179&gt;60),"Alta",IF(AND(C179="CxP",S179&gt;30),"Media",IF(C179="CxP","Baja","")))</f>
        <v/>
      </c>
      <c r="W179">
        <f>IF(AND(C179="CxC",S179&gt;90),"Alta",IF(AND(C179="CxC",S179&gt;60),"Media",IF(C179="CxC","Baja","")))</f>
        <v/>
      </c>
    </row>
    <row r="180">
      <c r="A180" s="19" t="n"/>
      <c r="F180" s="20" t="n"/>
      <c r="Q180" s="10">
        <f>IF(E180="USD",CONFIG!$B$5,1)</f>
        <v/>
      </c>
      <c r="R180">
        <f>IF(AND(A180&lt;&gt;"",ISNUMBER(A180),B180&lt;&gt;"",C180&lt;&gt;"",OR(E180="USD",E180="CRC"),F180&gt;0,ISNUMBER(Q180),Q180&gt;0),"✓ OK","✗ ERROR: Revisa datos")</f>
        <v/>
      </c>
      <c r="S180" s="6">
        <f>IF(A180&lt;&gt;"",TODAY()-A180,"")</f>
        <v/>
      </c>
      <c r="T180" s="4">
        <f>IF(E180="USD",F180,IF(E180="CRC",F180/CONFIG!$B$5,""))</f>
        <v/>
      </c>
      <c r="U180" s="19">
        <f>IF(A180&lt;&gt;"",A180+30,"")</f>
        <v/>
      </c>
      <c r="V180">
        <f>IF(AND(C180="CxP",S180&gt;60),"Alta",IF(AND(C180="CxP",S180&gt;30),"Media",IF(C180="CxP","Baja","")))</f>
        <v/>
      </c>
      <c r="W180">
        <f>IF(AND(C180="CxC",S180&gt;90),"Alta",IF(AND(C180="CxC",S180&gt;60),"Media",IF(C180="CxC","Baja","")))</f>
        <v/>
      </c>
    </row>
    <row r="181">
      <c r="A181" s="19" t="n"/>
      <c r="F181" s="20" t="n"/>
      <c r="Q181" s="10">
        <f>IF(E181="USD",CONFIG!$B$5,1)</f>
        <v/>
      </c>
      <c r="R181">
        <f>IF(AND(A181&lt;&gt;"",ISNUMBER(A181),B181&lt;&gt;"",C181&lt;&gt;"",OR(E181="USD",E181="CRC"),F181&gt;0,ISNUMBER(Q181),Q181&gt;0),"✓ OK","✗ ERROR: Revisa datos")</f>
        <v/>
      </c>
      <c r="S181" s="6">
        <f>IF(A181&lt;&gt;"",TODAY()-A181,"")</f>
        <v/>
      </c>
      <c r="T181" s="4">
        <f>IF(E181="USD",F181,IF(E181="CRC",F181/CONFIG!$B$5,""))</f>
        <v/>
      </c>
      <c r="U181" s="19">
        <f>IF(A181&lt;&gt;"",A181+30,"")</f>
        <v/>
      </c>
      <c r="V181">
        <f>IF(AND(C181="CxP",S181&gt;60),"Alta",IF(AND(C181="CxP",S181&gt;30),"Media",IF(C181="CxP","Baja","")))</f>
        <v/>
      </c>
      <c r="W181">
        <f>IF(AND(C181="CxC",S181&gt;90),"Alta",IF(AND(C181="CxC",S181&gt;60),"Media",IF(C181="CxC","Baja","")))</f>
        <v/>
      </c>
    </row>
    <row r="182">
      <c r="A182" s="19" t="n"/>
      <c r="F182" s="20" t="n"/>
      <c r="Q182" s="10">
        <f>IF(E182="USD",CONFIG!$B$5,1)</f>
        <v/>
      </c>
      <c r="R182">
        <f>IF(AND(A182&lt;&gt;"",ISNUMBER(A182),B182&lt;&gt;"",C182&lt;&gt;"",OR(E182="USD",E182="CRC"),F182&gt;0,ISNUMBER(Q182),Q182&gt;0),"✓ OK","✗ ERROR: Revisa datos")</f>
        <v/>
      </c>
      <c r="S182" s="6">
        <f>IF(A182&lt;&gt;"",TODAY()-A182,"")</f>
        <v/>
      </c>
      <c r="T182" s="4">
        <f>IF(E182="USD",F182,IF(E182="CRC",F182/CONFIG!$B$5,""))</f>
        <v/>
      </c>
      <c r="U182" s="19">
        <f>IF(A182&lt;&gt;"",A182+30,"")</f>
        <v/>
      </c>
      <c r="V182">
        <f>IF(AND(C182="CxP",S182&gt;60),"Alta",IF(AND(C182="CxP",S182&gt;30),"Media",IF(C182="CxP","Baja","")))</f>
        <v/>
      </c>
      <c r="W182">
        <f>IF(AND(C182="CxC",S182&gt;90),"Alta",IF(AND(C182="CxC",S182&gt;60),"Media",IF(C182="CxC","Baja","")))</f>
        <v/>
      </c>
    </row>
    <row r="183">
      <c r="A183" s="19" t="n"/>
      <c r="F183" s="20" t="n"/>
      <c r="Q183" s="10">
        <f>IF(E183="USD",CONFIG!$B$5,1)</f>
        <v/>
      </c>
      <c r="R183">
        <f>IF(AND(A183&lt;&gt;"",ISNUMBER(A183),B183&lt;&gt;"",C183&lt;&gt;"",OR(E183="USD",E183="CRC"),F183&gt;0,ISNUMBER(Q183),Q183&gt;0),"✓ OK","✗ ERROR: Revisa datos")</f>
        <v/>
      </c>
      <c r="S183" s="6">
        <f>IF(A183&lt;&gt;"",TODAY()-A183,"")</f>
        <v/>
      </c>
      <c r="T183" s="4">
        <f>IF(E183="USD",F183,IF(E183="CRC",F183/CONFIG!$B$5,""))</f>
        <v/>
      </c>
      <c r="U183" s="19">
        <f>IF(A183&lt;&gt;"",A183+30,"")</f>
        <v/>
      </c>
      <c r="V183">
        <f>IF(AND(C183="CxP",S183&gt;60),"Alta",IF(AND(C183="CxP",S183&gt;30),"Media",IF(C183="CxP","Baja","")))</f>
        <v/>
      </c>
      <c r="W183">
        <f>IF(AND(C183="CxC",S183&gt;90),"Alta",IF(AND(C183="CxC",S183&gt;60),"Media",IF(C183="CxC","Baja","")))</f>
        <v/>
      </c>
    </row>
    <row r="184">
      <c r="A184" s="19" t="n"/>
      <c r="F184" s="20" t="n"/>
      <c r="Q184" s="10">
        <f>IF(E184="USD",CONFIG!$B$5,1)</f>
        <v/>
      </c>
      <c r="R184">
        <f>IF(AND(A184&lt;&gt;"",ISNUMBER(A184),B184&lt;&gt;"",C184&lt;&gt;"",OR(E184="USD",E184="CRC"),F184&gt;0,ISNUMBER(Q184),Q184&gt;0),"✓ OK","✗ ERROR: Revisa datos")</f>
        <v/>
      </c>
      <c r="S184" s="6">
        <f>IF(A184&lt;&gt;"",TODAY()-A184,"")</f>
        <v/>
      </c>
      <c r="T184" s="4">
        <f>IF(E184="USD",F184,IF(E184="CRC",F184/CONFIG!$B$5,""))</f>
        <v/>
      </c>
      <c r="U184" s="19">
        <f>IF(A184&lt;&gt;"",A184+30,"")</f>
        <v/>
      </c>
      <c r="V184">
        <f>IF(AND(C184="CxP",S184&gt;60),"Alta",IF(AND(C184="CxP",S184&gt;30),"Media",IF(C184="CxP","Baja","")))</f>
        <v/>
      </c>
      <c r="W184">
        <f>IF(AND(C184="CxC",S184&gt;90),"Alta",IF(AND(C184="CxC",S184&gt;60),"Media",IF(C184="CxC","Baja","")))</f>
        <v/>
      </c>
    </row>
    <row r="185">
      <c r="A185" s="19" t="n"/>
      <c r="F185" s="20" t="n"/>
      <c r="Q185" s="10">
        <f>IF(E185="USD",CONFIG!$B$5,1)</f>
        <v/>
      </c>
      <c r="R185">
        <f>IF(AND(A185&lt;&gt;"",ISNUMBER(A185),B185&lt;&gt;"",C185&lt;&gt;"",OR(E185="USD",E185="CRC"),F185&gt;0,ISNUMBER(Q185),Q185&gt;0),"✓ OK","✗ ERROR: Revisa datos")</f>
        <v/>
      </c>
      <c r="S185" s="6">
        <f>IF(A185&lt;&gt;"",TODAY()-A185,"")</f>
        <v/>
      </c>
      <c r="T185" s="4">
        <f>IF(E185="USD",F185,IF(E185="CRC",F185/CONFIG!$B$5,""))</f>
        <v/>
      </c>
      <c r="U185" s="19">
        <f>IF(A185&lt;&gt;"",A185+30,"")</f>
        <v/>
      </c>
      <c r="V185">
        <f>IF(AND(C185="CxP",S185&gt;60),"Alta",IF(AND(C185="CxP",S185&gt;30),"Media",IF(C185="CxP","Baja","")))</f>
        <v/>
      </c>
      <c r="W185">
        <f>IF(AND(C185="CxC",S185&gt;90),"Alta",IF(AND(C185="CxC",S185&gt;60),"Media",IF(C185="CxC","Baja","")))</f>
        <v/>
      </c>
    </row>
    <row r="186">
      <c r="A186" s="19" t="n"/>
      <c r="F186" s="20" t="n"/>
      <c r="Q186" s="10">
        <f>IF(E186="USD",CONFIG!$B$5,1)</f>
        <v/>
      </c>
      <c r="R186">
        <f>IF(AND(A186&lt;&gt;"",ISNUMBER(A186),B186&lt;&gt;"",C186&lt;&gt;"",OR(E186="USD",E186="CRC"),F186&gt;0,ISNUMBER(Q186),Q186&gt;0),"✓ OK","✗ ERROR: Revisa datos")</f>
        <v/>
      </c>
      <c r="S186" s="6">
        <f>IF(A186&lt;&gt;"",TODAY()-A186,"")</f>
        <v/>
      </c>
      <c r="T186" s="4">
        <f>IF(E186="USD",F186,IF(E186="CRC",F186/CONFIG!$B$5,""))</f>
        <v/>
      </c>
      <c r="U186" s="19">
        <f>IF(A186&lt;&gt;"",A186+30,"")</f>
        <v/>
      </c>
      <c r="V186">
        <f>IF(AND(C186="CxP",S186&gt;60),"Alta",IF(AND(C186="CxP",S186&gt;30),"Media",IF(C186="CxP","Baja","")))</f>
        <v/>
      </c>
      <c r="W186">
        <f>IF(AND(C186="CxC",S186&gt;90),"Alta",IF(AND(C186="CxC",S186&gt;60),"Media",IF(C186="CxC","Baja","")))</f>
        <v/>
      </c>
    </row>
    <row r="187">
      <c r="A187" s="19" t="n"/>
      <c r="F187" s="20" t="n"/>
      <c r="Q187" s="10">
        <f>IF(E187="USD",CONFIG!$B$5,1)</f>
        <v/>
      </c>
      <c r="R187">
        <f>IF(AND(A187&lt;&gt;"",ISNUMBER(A187),B187&lt;&gt;"",C187&lt;&gt;"",OR(E187="USD",E187="CRC"),F187&gt;0,ISNUMBER(Q187),Q187&gt;0),"✓ OK","✗ ERROR: Revisa datos")</f>
        <v/>
      </c>
      <c r="S187" s="6">
        <f>IF(A187&lt;&gt;"",TODAY()-A187,"")</f>
        <v/>
      </c>
      <c r="T187" s="4">
        <f>IF(E187="USD",F187,IF(E187="CRC",F187/CONFIG!$B$5,""))</f>
        <v/>
      </c>
      <c r="U187" s="19">
        <f>IF(A187&lt;&gt;"",A187+30,"")</f>
        <v/>
      </c>
      <c r="V187">
        <f>IF(AND(C187="CxP",S187&gt;60),"Alta",IF(AND(C187="CxP",S187&gt;30),"Media",IF(C187="CxP","Baja","")))</f>
        <v/>
      </c>
      <c r="W187">
        <f>IF(AND(C187="CxC",S187&gt;90),"Alta",IF(AND(C187="CxC",S187&gt;60),"Media",IF(C187="CxC","Baja","")))</f>
        <v/>
      </c>
    </row>
    <row r="188">
      <c r="A188" s="19" t="n"/>
      <c r="F188" s="20" t="n"/>
      <c r="Q188" s="10">
        <f>IF(E188="USD",CONFIG!$B$5,1)</f>
        <v/>
      </c>
      <c r="R188">
        <f>IF(AND(A188&lt;&gt;"",ISNUMBER(A188),B188&lt;&gt;"",C188&lt;&gt;"",OR(E188="USD",E188="CRC"),F188&gt;0,ISNUMBER(Q188),Q188&gt;0),"✓ OK","✗ ERROR: Revisa datos")</f>
        <v/>
      </c>
      <c r="S188" s="6">
        <f>IF(A188&lt;&gt;"",TODAY()-A188,"")</f>
        <v/>
      </c>
      <c r="T188" s="4">
        <f>IF(E188="USD",F188,IF(E188="CRC",F188/CONFIG!$B$5,""))</f>
        <v/>
      </c>
      <c r="U188" s="19">
        <f>IF(A188&lt;&gt;"",A188+30,"")</f>
        <v/>
      </c>
      <c r="V188">
        <f>IF(AND(C188="CxP",S188&gt;60),"Alta",IF(AND(C188="CxP",S188&gt;30),"Media",IF(C188="CxP","Baja","")))</f>
        <v/>
      </c>
      <c r="W188">
        <f>IF(AND(C188="CxC",S188&gt;90),"Alta",IF(AND(C188="CxC",S188&gt;60),"Media",IF(C188="CxC","Baja","")))</f>
        <v/>
      </c>
    </row>
    <row r="189">
      <c r="A189" s="19" t="n"/>
      <c r="F189" s="20" t="n"/>
      <c r="Q189" s="10">
        <f>IF(E189="USD",CONFIG!$B$5,1)</f>
        <v/>
      </c>
      <c r="R189">
        <f>IF(AND(A189&lt;&gt;"",ISNUMBER(A189),B189&lt;&gt;"",C189&lt;&gt;"",OR(E189="USD",E189="CRC"),F189&gt;0,ISNUMBER(Q189),Q189&gt;0),"✓ OK","✗ ERROR: Revisa datos")</f>
        <v/>
      </c>
      <c r="S189" s="6">
        <f>IF(A189&lt;&gt;"",TODAY()-A189,"")</f>
        <v/>
      </c>
      <c r="T189" s="4">
        <f>IF(E189="USD",F189,IF(E189="CRC",F189/CONFIG!$B$5,""))</f>
        <v/>
      </c>
      <c r="U189" s="19">
        <f>IF(A189&lt;&gt;"",A189+30,"")</f>
        <v/>
      </c>
      <c r="V189">
        <f>IF(AND(C189="CxP",S189&gt;60),"Alta",IF(AND(C189="CxP",S189&gt;30),"Media",IF(C189="CxP","Baja","")))</f>
        <v/>
      </c>
      <c r="W189">
        <f>IF(AND(C189="CxC",S189&gt;90),"Alta",IF(AND(C189="CxC",S189&gt;60),"Media",IF(C189="CxC","Baja","")))</f>
        <v/>
      </c>
    </row>
    <row r="190">
      <c r="A190" s="19" t="n"/>
      <c r="F190" s="20" t="n"/>
      <c r="Q190" s="10">
        <f>IF(E190="USD",CONFIG!$B$5,1)</f>
        <v/>
      </c>
      <c r="R190">
        <f>IF(AND(A190&lt;&gt;"",ISNUMBER(A190),B190&lt;&gt;"",C190&lt;&gt;"",OR(E190="USD",E190="CRC"),F190&gt;0,ISNUMBER(Q190),Q190&gt;0),"✓ OK","✗ ERROR: Revisa datos")</f>
        <v/>
      </c>
      <c r="S190" s="6">
        <f>IF(A190&lt;&gt;"",TODAY()-A190,"")</f>
        <v/>
      </c>
      <c r="T190" s="4">
        <f>IF(E190="USD",F190,IF(E190="CRC",F190/CONFIG!$B$5,""))</f>
        <v/>
      </c>
      <c r="U190" s="19">
        <f>IF(A190&lt;&gt;"",A190+30,"")</f>
        <v/>
      </c>
      <c r="V190">
        <f>IF(AND(C190="CxP",S190&gt;60),"Alta",IF(AND(C190="CxP",S190&gt;30),"Media",IF(C190="CxP","Baja","")))</f>
        <v/>
      </c>
      <c r="W190">
        <f>IF(AND(C190="CxC",S190&gt;90),"Alta",IF(AND(C190="CxC",S190&gt;60),"Media",IF(C190="CxC","Baja","")))</f>
        <v/>
      </c>
    </row>
    <row r="191">
      <c r="A191" s="19" t="n"/>
      <c r="F191" s="20" t="n"/>
      <c r="Q191" s="10">
        <f>IF(E191="USD",CONFIG!$B$5,1)</f>
        <v/>
      </c>
      <c r="R191">
        <f>IF(AND(A191&lt;&gt;"",ISNUMBER(A191),B191&lt;&gt;"",C191&lt;&gt;"",OR(E191="USD",E191="CRC"),F191&gt;0,ISNUMBER(Q191),Q191&gt;0),"✓ OK","✗ ERROR: Revisa datos")</f>
        <v/>
      </c>
      <c r="S191" s="6">
        <f>IF(A191&lt;&gt;"",TODAY()-A191,"")</f>
        <v/>
      </c>
      <c r="T191" s="4">
        <f>IF(E191="USD",F191,IF(E191="CRC",F191/CONFIG!$B$5,""))</f>
        <v/>
      </c>
      <c r="U191" s="19">
        <f>IF(A191&lt;&gt;"",A191+30,"")</f>
        <v/>
      </c>
      <c r="V191">
        <f>IF(AND(C191="CxP",S191&gt;60),"Alta",IF(AND(C191="CxP",S191&gt;30),"Media",IF(C191="CxP","Baja","")))</f>
        <v/>
      </c>
      <c r="W191">
        <f>IF(AND(C191="CxC",S191&gt;90),"Alta",IF(AND(C191="CxC",S191&gt;60),"Media",IF(C191="CxC","Baja","")))</f>
        <v/>
      </c>
    </row>
    <row r="192">
      <c r="A192" s="19" t="n"/>
      <c r="F192" s="20" t="n"/>
      <c r="Q192" s="10">
        <f>IF(E192="USD",CONFIG!$B$5,1)</f>
        <v/>
      </c>
      <c r="R192">
        <f>IF(AND(A192&lt;&gt;"",ISNUMBER(A192),B192&lt;&gt;"",C192&lt;&gt;"",OR(E192="USD",E192="CRC"),F192&gt;0,ISNUMBER(Q192),Q192&gt;0),"✓ OK","✗ ERROR: Revisa datos")</f>
        <v/>
      </c>
      <c r="S192" s="6">
        <f>IF(A192&lt;&gt;"",TODAY()-A192,"")</f>
        <v/>
      </c>
      <c r="T192" s="4">
        <f>IF(E192="USD",F192,IF(E192="CRC",F192/CONFIG!$B$5,""))</f>
        <v/>
      </c>
      <c r="U192" s="19">
        <f>IF(A192&lt;&gt;"",A192+30,"")</f>
        <v/>
      </c>
      <c r="V192">
        <f>IF(AND(C192="CxP",S192&gt;60),"Alta",IF(AND(C192="CxP",S192&gt;30),"Media",IF(C192="CxP","Baja","")))</f>
        <v/>
      </c>
      <c r="W192">
        <f>IF(AND(C192="CxC",S192&gt;90),"Alta",IF(AND(C192="CxC",S192&gt;60),"Media",IF(C192="CxC","Baja","")))</f>
        <v/>
      </c>
    </row>
    <row r="193">
      <c r="A193" s="19" t="n"/>
      <c r="F193" s="20" t="n"/>
      <c r="Q193" s="10">
        <f>IF(E193="USD",CONFIG!$B$5,1)</f>
        <v/>
      </c>
      <c r="R193">
        <f>IF(AND(A193&lt;&gt;"",ISNUMBER(A193),B193&lt;&gt;"",C193&lt;&gt;"",OR(E193="USD",E193="CRC"),F193&gt;0,ISNUMBER(Q193),Q193&gt;0),"✓ OK","✗ ERROR: Revisa datos")</f>
        <v/>
      </c>
      <c r="S193" s="6">
        <f>IF(A193&lt;&gt;"",TODAY()-A193,"")</f>
        <v/>
      </c>
      <c r="T193" s="4">
        <f>IF(E193="USD",F193,IF(E193="CRC",F193/CONFIG!$B$5,""))</f>
        <v/>
      </c>
      <c r="U193" s="19">
        <f>IF(A193&lt;&gt;"",A193+30,"")</f>
        <v/>
      </c>
      <c r="V193">
        <f>IF(AND(C193="CxP",S193&gt;60),"Alta",IF(AND(C193="CxP",S193&gt;30),"Media",IF(C193="CxP","Baja","")))</f>
        <v/>
      </c>
      <c r="W193">
        <f>IF(AND(C193="CxC",S193&gt;90),"Alta",IF(AND(C193="CxC",S193&gt;60),"Media",IF(C193="CxC","Baja","")))</f>
        <v/>
      </c>
    </row>
    <row r="194">
      <c r="A194" s="19" t="n"/>
      <c r="F194" s="20" t="n"/>
      <c r="Q194" s="10">
        <f>IF(E194="USD",CONFIG!$B$5,1)</f>
        <v/>
      </c>
      <c r="R194">
        <f>IF(AND(A194&lt;&gt;"",ISNUMBER(A194),B194&lt;&gt;"",C194&lt;&gt;"",OR(E194="USD",E194="CRC"),F194&gt;0,ISNUMBER(Q194),Q194&gt;0),"✓ OK","✗ ERROR: Revisa datos")</f>
        <v/>
      </c>
      <c r="S194" s="6">
        <f>IF(A194&lt;&gt;"",TODAY()-A194,"")</f>
        <v/>
      </c>
      <c r="T194" s="4">
        <f>IF(E194="USD",F194,IF(E194="CRC",F194/CONFIG!$B$5,""))</f>
        <v/>
      </c>
      <c r="U194" s="19">
        <f>IF(A194&lt;&gt;"",A194+30,"")</f>
        <v/>
      </c>
      <c r="V194">
        <f>IF(AND(C194="CxP",S194&gt;60),"Alta",IF(AND(C194="CxP",S194&gt;30),"Media",IF(C194="CxP","Baja","")))</f>
        <v/>
      </c>
      <c r="W194">
        <f>IF(AND(C194="CxC",S194&gt;90),"Alta",IF(AND(C194="CxC",S194&gt;60),"Media",IF(C194="CxC","Baja","")))</f>
        <v/>
      </c>
    </row>
    <row r="195">
      <c r="A195" s="19" t="n"/>
      <c r="F195" s="20" t="n"/>
      <c r="Q195" s="10">
        <f>IF(E195="USD",CONFIG!$B$5,1)</f>
        <v/>
      </c>
      <c r="R195">
        <f>IF(AND(A195&lt;&gt;"",ISNUMBER(A195),B195&lt;&gt;"",C195&lt;&gt;"",OR(E195="USD",E195="CRC"),F195&gt;0,ISNUMBER(Q195),Q195&gt;0),"✓ OK","✗ ERROR: Revisa datos")</f>
        <v/>
      </c>
      <c r="S195" s="6">
        <f>IF(A195&lt;&gt;"",TODAY()-A195,"")</f>
        <v/>
      </c>
      <c r="T195" s="4">
        <f>IF(E195="USD",F195,IF(E195="CRC",F195/CONFIG!$B$5,""))</f>
        <v/>
      </c>
      <c r="U195" s="19">
        <f>IF(A195&lt;&gt;"",A195+30,"")</f>
        <v/>
      </c>
      <c r="V195">
        <f>IF(AND(C195="CxP",S195&gt;60),"Alta",IF(AND(C195="CxP",S195&gt;30),"Media",IF(C195="CxP","Baja","")))</f>
        <v/>
      </c>
      <c r="W195">
        <f>IF(AND(C195="CxC",S195&gt;90),"Alta",IF(AND(C195="CxC",S195&gt;60),"Media",IF(C195="CxC","Baja","")))</f>
        <v/>
      </c>
    </row>
    <row r="196">
      <c r="A196" s="19" t="n"/>
      <c r="F196" s="20" t="n"/>
      <c r="Q196" s="10">
        <f>IF(E196="USD",CONFIG!$B$5,1)</f>
        <v/>
      </c>
      <c r="R196">
        <f>IF(AND(A196&lt;&gt;"",ISNUMBER(A196),B196&lt;&gt;"",C196&lt;&gt;"",OR(E196="USD",E196="CRC"),F196&gt;0,ISNUMBER(Q196),Q196&gt;0),"✓ OK","✗ ERROR: Revisa datos")</f>
        <v/>
      </c>
      <c r="S196" s="6">
        <f>IF(A196&lt;&gt;"",TODAY()-A196,"")</f>
        <v/>
      </c>
      <c r="T196" s="4">
        <f>IF(E196="USD",F196,IF(E196="CRC",F196/CONFIG!$B$5,""))</f>
        <v/>
      </c>
      <c r="U196" s="19">
        <f>IF(A196&lt;&gt;"",A196+30,"")</f>
        <v/>
      </c>
      <c r="V196">
        <f>IF(AND(C196="CxP",S196&gt;60),"Alta",IF(AND(C196="CxP",S196&gt;30),"Media",IF(C196="CxP","Baja","")))</f>
        <v/>
      </c>
      <c r="W196">
        <f>IF(AND(C196="CxC",S196&gt;90),"Alta",IF(AND(C196="CxC",S196&gt;60),"Media",IF(C196="CxC","Baja","")))</f>
        <v/>
      </c>
    </row>
    <row r="197">
      <c r="A197" s="19" t="n"/>
      <c r="F197" s="20" t="n"/>
      <c r="Q197" s="10">
        <f>IF(E197="USD",CONFIG!$B$5,1)</f>
        <v/>
      </c>
      <c r="R197">
        <f>IF(AND(A197&lt;&gt;"",ISNUMBER(A197),B197&lt;&gt;"",C197&lt;&gt;"",OR(E197="USD",E197="CRC"),F197&gt;0,ISNUMBER(Q197),Q197&gt;0),"✓ OK","✗ ERROR: Revisa datos")</f>
        <v/>
      </c>
      <c r="S197" s="6">
        <f>IF(A197&lt;&gt;"",TODAY()-A197,"")</f>
        <v/>
      </c>
      <c r="T197" s="4">
        <f>IF(E197="USD",F197,IF(E197="CRC",F197/CONFIG!$B$5,""))</f>
        <v/>
      </c>
      <c r="U197" s="19">
        <f>IF(A197&lt;&gt;"",A197+30,"")</f>
        <v/>
      </c>
      <c r="V197">
        <f>IF(AND(C197="CxP",S197&gt;60),"Alta",IF(AND(C197="CxP",S197&gt;30),"Media",IF(C197="CxP","Baja","")))</f>
        <v/>
      </c>
      <c r="W197">
        <f>IF(AND(C197="CxC",S197&gt;90),"Alta",IF(AND(C197="CxC",S197&gt;60),"Media",IF(C197="CxC","Baja","")))</f>
        <v/>
      </c>
    </row>
    <row r="198">
      <c r="A198" s="19" t="n"/>
      <c r="F198" s="20" t="n"/>
      <c r="Q198" s="10">
        <f>IF(E198="USD",CONFIG!$B$5,1)</f>
        <v/>
      </c>
      <c r="R198">
        <f>IF(AND(A198&lt;&gt;"",ISNUMBER(A198),B198&lt;&gt;"",C198&lt;&gt;"",OR(E198="USD",E198="CRC"),F198&gt;0,ISNUMBER(Q198),Q198&gt;0),"✓ OK","✗ ERROR: Revisa datos")</f>
        <v/>
      </c>
      <c r="S198" s="6">
        <f>IF(A198&lt;&gt;"",TODAY()-A198,"")</f>
        <v/>
      </c>
      <c r="T198" s="4">
        <f>IF(E198="USD",F198,IF(E198="CRC",F198/CONFIG!$B$5,""))</f>
        <v/>
      </c>
      <c r="U198" s="19">
        <f>IF(A198&lt;&gt;"",A198+30,"")</f>
        <v/>
      </c>
      <c r="V198">
        <f>IF(AND(C198="CxP",S198&gt;60),"Alta",IF(AND(C198="CxP",S198&gt;30),"Media",IF(C198="CxP","Baja","")))</f>
        <v/>
      </c>
      <c r="W198">
        <f>IF(AND(C198="CxC",S198&gt;90),"Alta",IF(AND(C198="CxC",S198&gt;60),"Media",IF(C198="CxC","Baja","")))</f>
        <v/>
      </c>
    </row>
    <row r="199">
      <c r="A199" s="19" t="n"/>
      <c r="F199" s="20" t="n"/>
      <c r="Q199" s="10">
        <f>IF(E199="USD",CONFIG!$B$5,1)</f>
        <v/>
      </c>
      <c r="R199">
        <f>IF(AND(A199&lt;&gt;"",ISNUMBER(A199),B199&lt;&gt;"",C199&lt;&gt;"",OR(E199="USD",E199="CRC"),F199&gt;0,ISNUMBER(Q199),Q199&gt;0),"✓ OK","✗ ERROR: Revisa datos")</f>
        <v/>
      </c>
      <c r="S199" s="6">
        <f>IF(A199&lt;&gt;"",TODAY()-A199,"")</f>
        <v/>
      </c>
      <c r="T199" s="4">
        <f>IF(E199="USD",F199,IF(E199="CRC",F199/CONFIG!$B$5,""))</f>
        <v/>
      </c>
      <c r="U199" s="19">
        <f>IF(A199&lt;&gt;"",A199+30,"")</f>
        <v/>
      </c>
      <c r="V199">
        <f>IF(AND(C199="CxP",S199&gt;60),"Alta",IF(AND(C199="CxP",S199&gt;30),"Media",IF(C199="CxP","Baja","")))</f>
        <v/>
      </c>
      <c r="W199">
        <f>IF(AND(C199="CxC",S199&gt;90),"Alta",IF(AND(C199="CxC",S199&gt;60),"Media",IF(C199="CxC","Baja","")))</f>
        <v/>
      </c>
    </row>
    <row r="200">
      <c r="A200" s="19" t="n"/>
      <c r="F200" s="20" t="n"/>
      <c r="Q200" s="10">
        <f>IF(E200="USD",CONFIG!$B$5,1)</f>
        <v/>
      </c>
      <c r="R200">
        <f>IF(AND(A200&lt;&gt;"",ISNUMBER(A200),B200&lt;&gt;"",C200&lt;&gt;"",OR(E200="USD",E200="CRC"),F200&gt;0,ISNUMBER(Q200),Q200&gt;0),"✓ OK","✗ ERROR: Revisa datos")</f>
        <v/>
      </c>
      <c r="S200" s="6">
        <f>IF(A200&lt;&gt;"",TODAY()-A200,"")</f>
        <v/>
      </c>
      <c r="T200" s="4">
        <f>IF(E200="USD",F200,IF(E200="CRC",F200/CONFIG!$B$5,""))</f>
        <v/>
      </c>
      <c r="U200" s="19">
        <f>IF(A200&lt;&gt;"",A200+30,"")</f>
        <v/>
      </c>
      <c r="V200">
        <f>IF(AND(C200="CxP",S200&gt;60),"Alta",IF(AND(C200="CxP",S200&gt;30),"Media",IF(C200="CxP","Baja","")))</f>
        <v/>
      </c>
      <c r="W200">
        <f>IF(AND(C200="CxC",S200&gt;90),"Alta",IF(AND(C200="CxC",S200&gt;60),"Media",IF(C200="CxC","Baja","")))</f>
        <v/>
      </c>
    </row>
    <row r="201">
      <c r="A201" s="19" t="n"/>
      <c r="F201" s="20" t="n"/>
      <c r="Q201" s="10">
        <f>IF(E201="USD",CONFIG!$B$5,1)</f>
        <v/>
      </c>
      <c r="R201">
        <f>IF(AND(A201&lt;&gt;"",ISNUMBER(A201),B201&lt;&gt;"",C201&lt;&gt;"",OR(E201="USD",E201="CRC"),F201&gt;0,ISNUMBER(Q201),Q201&gt;0),"✓ OK","✗ ERROR: Revisa datos")</f>
        <v/>
      </c>
      <c r="S201" s="6">
        <f>IF(A201&lt;&gt;"",TODAY()-A201,"")</f>
        <v/>
      </c>
      <c r="T201" s="4">
        <f>IF(E201="USD",F201,IF(E201="CRC",F201/CONFIG!$B$5,""))</f>
        <v/>
      </c>
      <c r="U201" s="19">
        <f>IF(A201&lt;&gt;"",A201+30,"")</f>
        <v/>
      </c>
      <c r="V201">
        <f>IF(AND(C201="CxP",S201&gt;60),"Alta",IF(AND(C201="CxP",S201&gt;30),"Media",IF(C201="CxP","Baja","")))</f>
        <v/>
      </c>
      <c r="W201">
        <f>IF(AND(C201="CxC",S201&gt;90),"Alta",IF(AND(C201="CxC",S201&gt;60),"Media",IF(C201="CxC","Baja","")))</f>
        <v/>
      </c>
    </row>
    <row r="202">
      <c r="A202" s="19" t="n"/>
      <c r="F202" s="20" t="n"/>
      <c r="Q202" s="10">
        <f>IF(E202="USD",CONFIG!$B$5,1)</f>
        <v/>
      </c>
      <c r="R202">
        <f>IF(AND(A202&lt;&gt;"",ISNUMBER(A202),B202&lt;&gt;"",C202&lt;&gt;"",OR(E202="USD",E202="CRC"),F202&gt;0,ISNUMBER(Q202),Q202&gt;0),"✓ OK","✗ ERROR: Revisa datos")</f>
        <v/>
      </c>
      <c r="S202" s="6">
        <f>IF(A202&lt;&gt;"",TODAY()-A202,"")</f>
        <v/>
      </c>
      <c r="T202" s="4">
        <f>IF(E202="USD",F202,IF(E202="CRC",F202/CONFIG!$B$5,""))</f>
        <v/>
      </c>
      <c r="U202" s="19">
        <f>IF(A202&lt;&gt;"",A202+30,"")</f>
        <v/>
      </c>
      <c r="V202">
        <f>IF(AND(C202="CxP",S202&gt;60),"Alta",IF(AND(C202="CxP",S202&gt;30),"Media",IF(C202="CxP","Baja","")))</f>
        <v/>
      </c>
      <c r="W202">
        <f>IF(AND(C202="CxC",S202&gt;90),"Alta",IF(AND(C202="CxC",S202&gt;60),"Media",IF(C202="CxC","Baja","")))</f>
        <v/>
      </c>
    </row>
    <row r="203">
      <c r="A203" s="19" t="n"/>
      <c r="F203" s="20" t="n"/>
      <c r="Q203" s="10">
        <f>IF(E203="USD",CONFIG!$B$5,1)</f>
        <v/>
      </c>
      <c r="R203">
        <f>IF(AND(A203&lt;&gt;"",ISNUMBER(A203),B203&lt;&gt;"",C203&lt;&gt;"",OR(E203="USD",E203="CRC"),F203&gt;0,ISNUMBER(Q203),Q203&gt;0),"✓ OK","✗ ERROR: Revisa datos")</f>
        <v/>
      </c>
      <c r="S203" s="6">
        <f>IF(A203&lt;&gt;"",TODAY()-A203,"")</f>
        <v/>
      </c>
      <c r="T203" s="4">
        <f>IF(E203="USD",F203,IF(E203="CRC",F203/CONFIG!$B$5,""))</f>
        <v/>
      </c>
      <c r="U203" s="19">
        <f>IF(A203&lt;&gt;"",A203+30,"")</f>
        <v/>
      </c>
      <c r="V203">
        <f>IF(AND(C203="CxP",S203&gt;60),"Alta",IF(AND(C203="CxP",S203&gt;30),"Media",IF(C203="CxP","Baja","")))</f>
        <v/>
      </c>
      <c r="W203">
        <f>IF(AND(C203="CxC",S203&gt;90),"Alta",IF(AND(C203="CxC",S203&gt;60),"Media",IF(C203="CxC","Baja","")))</f>
        <v/>
      </c>
    </row>
    <row r="204">
      <c r="A204" s="19" t="n"/>
      <c r="F204" s="20" t="n"/>
      <c r="Q204" s="10">
        <f>IF(E204="USD",CONFIG!$B$5,1)</f>
        <v/>
      </c>
      <c r="R204">
        <f>IF(AND(A204&lt;&gt;"",ISNUMBER(A204),B204&lt;&gt;"",C204&lt;&gt;"",OR(E204="USD",E204="CRC"),F204&gt;0,ISNUMBER(Q204),Q204&gt;0),"✓ OK","✗ ERROR: Revisa datos")</f>
        <v/>
      </c>
      <c r="S204" s="6">
        <f>IF(A204&lt;&gt;"",TODAY()-A204,"")</f>
        <v/>
      </c>
      <c r="T204" s="4">
        <f>IF(E204="USD",F204,IF(E204="CRC",F204/CONFIG!$B$5,""))</f>
        <v/>
      </c>
      <c r="U204" s="19">
        <f>IF(A204&lt;&gt;"",A204+30,"")</f>
        <v/>
      </c>
      <c r="V204">
        <f>IF(AND(C204="CxP",S204&gt;60),"Alta",IF(AND(C204="CxP",S204&gt;30),"Media",IF(C204="CxP","Baja","")))</f>
        <v/>
      </c>
      <c r="W204">
        <f>IF(AND(C204="CxC",S204&gt;90),"Alta",IF(AND(C204="CxC",S204&gt;60),"Media",IF(C204="CxC","Baja","")))</f>
        <v/>
      </c>
    </row>
    <row r="205">
      <c r="A205" s="19" t="n"/>
      <c r="F205" s="20" t="n"/>
      <c r="Q205" s="10">
        <f>IF(E205="USD",CONFIG!$B$5,1)</f>
        <v/>
      </c>
      <c r="R205">
        <f>IF(AND(A205&lt;&gt;"",ISNUMBER(A205),B205&lt;&gt;"",C205&lt;&gt;"",OR(E205="USD",E205="CRC"),F205&gt;0,ISNUMBER(Q205),Q205&gt;0),"✓ OK","✗ ERROR: Revisa datos")</f>
        <v/>
      </c>
      <c r="S205" s="6">
        <f>IF(A205&lt;&gt;"",TODAY()-A205,"")</f>
        <v/>
      </c>
      <c r="T205" s="4">
        <f>IF(E205="USD",F205,IF(E205="CRC",F205/CONFIG!$B$5,""))</f>
        <v/>
      </c>
      <c r="U205" s="19">
        <f>IF(A205&lt;&gt;"",A205+30,"")</f>
        <v/>
      </c>
      <c r="V205">
        <f>IF(AND(C205="CxP",S205&gt;60),"Alta",IF(AND(C205="CxP",S205&gt;30),"Media",IF(C205="CxP","Baja","")))</f>
        <v/>
      </c>
      <c r="W205">
        <f>IF(AND(C205="CxC",S205&gt;90),"Alta",IF(AND(C205="CxC",S205&gt;60),"Media",IF(C205="CxC","Baja","")))</f>
        <v/>
      </c>
    </row>
    <row r="206">
      <c r="A206" s="19" t="n"/>
      <c r="F206" s="20" t="n"/>
      <c r="Q206" s="10">
        <f>IF(E206="USD",CONFIG!$B$5,1)</f>
        <v/>
      </c>
      <c r="R206">
        <f>IF(AND(A206&lt;&gt;"",ISNUMBER(A206),B206&lt;&gt;"",C206&lt;&gt;"",OR(E206="USD",E206="CRC"),F206&gt;0,ISNUMBER(Q206),Q206&gt;0),"✓ OK","✗ ERROR: Revisa datos")</f>
        <v/>
      </c>
      <c r="S206" s="6">
        <f>IF(A206&lt;&gt;"",TODAY()-A206,"")</f>
        <v/>
      </c>
      <c r="T206" s="4">
        <f>IF(E206="USD",F206,IF(E206="CRC",F206/CONFIG!$B$5,""))</f>
        <v/>
      </c>
      <c r="U206" s="19">
        <f>IF(A206&lt;&gt;"",A206+30,"")</f>
        <v/>
      </c>
      <c r="V206">
        <f>IF(AND(C206="CxP",S206&gt;60),"Alta",IF(AND(C206="CxP",S206&gt;30),"Media",IF(C206="CxP","Baja","")))</f>
        <v/>
      </c>
      <c r="W206">
        <f>IF(AND(C206="CxC",S206&gt;90),"Alta",IF(AND(C206="CxC",S206&gt;60),"Media",IF(C206="CxC","Baja","")))</f>
        <v/>
      </c>
    </row>
    <row r="207">
      <c r="A207" s="19" t="n"/>
      <c r="F207" s="20" t="n"/>
      <c r="Q207" s="10">
        <f>IF(E207="USD",CONFIG!$B$5,1)</f>
        <v/>
      </c>
      <c r="R207">
        <f>IF(AND(A207&lt;&gt;"",ISNUMBER(A207),B207&lt;&gt;"",C207&lt;&gt;"",OR(E207="USD",E207="CRC"),F207&gt;0,ISNUMBER(Q207),Q207&gt;0),"✓ OK","✗ ERROR: Revisa datos")</f>
        <v/>
      </c>
      <c r="S207" s="6">
        <f>IF(A207&lt;&gt;"",TODAY()-A207,"")</f>
        <v/>
      </c>
      <c r="T207" s="4">
        <f>IF(E207="USD",F207,IF(E207="CRC",F207/CONFIG!$B$5,""))</f>
        <v/>
      </c>
      <c r="U207" s="19">
        <f>IF(A207&lt;&gt;"",A207+30,"")</f>
        <v/>
      </c>
      <c r="V207">
        <f>IF(AND(C207="CxP",S207&gt;60),"Alta",IF(AND(C207="CxP",S207&gt;30),"Media",IF(C207="CxP","Baja","")))</f>
        <v/>
      </c>
      <c r="W207">
        <f>IF(AND(C207="CxC",S207&gt;90),"Alta",IF(AND(C207="CxC",S207&gt;60),"Media",IF(C207="CxC","Baja","")))</f>
        <v/>
      </c>
    </row>
    <row r="208">
      <c r="A208" s="19" t="n"/>
      <c r="F208" s="20" t="n"/>
      <c r="Q208" s="10">
        <f>IF(E208="USD",CONFIG!$B$5,1)</f>
        <v/>
      </c>
      <c r="R208">
        <f>IF(AND(A208&lt;&gt;"",ISNUMBER(A208),B208&lt;&gt;"",C208&lt;&gt;"",OR(E208="USD",E208="CRC"),F208&gt;0,ISNUMBER(Q208),Q208&gt;0),"✓ OK","✗ ERROR: Revisa datos")</f>
        <v/>
      </c>
      <c r="S208" s="6">
        <f>IF(A208&lt;&gt;"",TODAY()-A208,"")</f>
        <v/>
      </c>
      <c r="T208" s="4">
        <f>IF(E208="USD",F208,IF(E208="CRC",F208/CONFIG!$B$5,""))</f>
        <v/>
      </c>
      <c r="U208" s="19">
        <f>IF(A208&lt;&gt;"",A208+30,"")</f>
        <v/>
      </c>
      <c r="V208">
        <f>IF(AND(C208="CxP",S208&gt;60),"Alta",IF(AND(C208="CxP",S208&gt;30),"Media",IF(C208="CxP","Baja","")))</f>
        <v/>
      </c>
      <c r="W208">
        <f>IF(AND(C208="CxC",S208&gt;90),"Alta",IF(AND(C208="CxC",S208&gt;60),"Media",IF(C208="CxC","Baja","")))</f>
        <v/>
      </c>
    </row>
    <row r="209">
      <c r="A209" s="19" t="n"/>
      <c r="F209" s="20" t="n"/>
      <c r="Q209" s="10">
        <f>IF(E209="USD",CONFIG!$B$5,1)</f>
        <v/>
      </c>
      <c r="R209">
        <f>IF(AND(A209&lt;&gt;"",ISNUMBER(A209),B209&lt;&gt;"",C209&lt;&gt;"",OR(E209="USD",E209="CRC"),F209&gt;0,ISNUMBER(Q209),Q209&gt;0),"✓ OK","✗ ERROR: Revisa datos")</f>
        <v/>
      </c>
      <c r="S209" s="6">
        <f>IF(A209&lt;&gt;"",TODAY()-A209,"")</f>
        <v/>
      </c>
      <c r="T209" s="4">
        <f>IF(E209="USD",F209,IF(E209="CRC",F209/CONFIG!$B$5,""))</f>
        <v/>
      </c>
      <c r="U209" s="19">
        <f>IF(A209&lt;&gt;"",A209+30,"")</f>
        <v/>
      </c>
      <c r="V209">
        <f>IF(AND(C209="CxP",S209&gt;60),"Alta",IF(AND(C209="CxP",S209&gt;30),"Media",IF(C209="CxP","Baja","")))</f>
        <v/>
      </c>
      <c r="W209">
        <f>IF(AND(C209="CxC",S209&gt;90),"Alta",IF(AND(C209="CxC",S209&gt;60),"Media",IF(C209="CxC","Baja","")))</f>
        <v/>
      </c>
    </row>
    <row r="210">
      <c r="A210" s="19" t="n"/>
      <c r="F210" s="20" t="n"/>
      <c r="Q210" s="10">
        <f>IF(E210="USD",CONFIG!$B$5,1)</f>
        <v/>
      </c>
      <c r="R210">
        <f>IF(AND(A210&lt;&gt;"",ISNUMBER(A210),B210&lt;&gt;"",C210&lt;&gt;"",OR(E210="USD",E210="CRC"),F210&gt;0,ISNUMBER(Q210),Q210&gt;0),"✓ OK","✗ ERROR: Revisa datos")</f>
        <v/>
      </c>
      <c r="S210" s="6">
        <f>IF(A210&lt;&gt;"",TODAY()-A210,"")</f>
        <v/>
      </c>
      <c r="T210" s="4">
        <f>IF(E210="USD",F210,IF(E210="CRC",F210/CONFIG!$B$5,""))</f>
        <v/>
      </c>
      <c r="U210" s="19">
        <f>IF(A210&lt;&gt;"",A210+30,"")</f>
        <v/>
      </c>
      <c r="V210">
        <f>IF(AND(C210="CxP",S210&gt;60),"Alta",IF(AND(C210="CxP",S210&gt;30),"Media",IF(C210="CxP","Baja","")))</f>
        <v/>
      </c>
      <c r="W210">
        <f>IF(AND(C210="CxC",S210&gt;90),"Alta",IF(AND(C210="CxC",S210&gt;60),"Media",IF(C210="CxC","Baja","")))</f>
        <v/>
      </c>
    </row>
    <row r="211">
      <c r="A211" s="19" t="n"/>
      <c r="F211" s="20" t="n"/>
      <c r="Q211" s="10">
        <f>IF(E211="USD",CONFIG!$B$5,1)</f>
        <v/>
      </c>
      <c r="R211">
        <f>IF(AND(A211&lt;&gt;"",ISNUMBER(A211),B211&lt;&gt;"",C211&lt;&gt;"",OR(E211="USD",E211="CRC"),F211&gt;0,ISNUMBER(Q211),Q211&gt;0),"✓ OK","✗ ERROR: Revisa datos")</f>
        <v/>
      </c>
      <c r="S211" s="6">
        <f>IF(A211&lt;&gt;"",TODAY()-A211,"")</f>
        <v/>
      </c>
      <c r="T211" s="4">
        <f>IF(E211="USD",F211,IF(E211="CRC",F211/CONFIG!$B$5,""))</f>
        <v/>
      </c>
      <c r="U211" s="19">
        <f>IF(A211&lt;&gt;"",A211+30,"")</f>
        <v/>
      </c>
      <c r="V211">
        <f>IF(AND(C211="CxP",S211&gt;60),"Alta",IF(AND(C211="CxP",S211&gt;30),"Media",IF(C211="CxP","Baja","")))</f>
        <v/>
      </c>
      <c r="W211">
        <f>IF(AND(C211="CxC",S211&gt;90),"Alta",IF(AND(C211="CxC",S211&gt;60),"Media",IF(C211="CxC","Baja","")))</f>
        <v/>
      </c>
    </row>
    <row r="212">
      <c r="A212" s="19" t="n"/>
      <c r="F212" s="20" t="n"/>
      <c r="Q212" s="10">
        <f>IF(E212="USD",CONFIG!$B$5,1)</f>
        <v/>
      </c>
      <c r="R212">
        <f>IF(AND(A212&lt;&gt;"",ISNUMBER(A212),B212&lt;&gt;"",C212&lt;&gt;"",OR(E212="USD",E212="CRC"),F212&gt;0,ISNUMBER(Q212),Q212&gt;0),"✓ OK","✗ ERROR: Revisa datos")</f>
        <v/>
      </c>
      <c r="S212" s="6">
        <f>IF(A212&lt;&gt;"",TODAY()-A212,"")</f>
        <v/>
      </c>
      <c r="T212" s="4">
        <f>IF(E212="USD",F212,IF(E212="CRC",F212/CONFIG!$B$5,""))</f>
        <v/>
      </c>
      <c r="U212" s="19">
        <f>IF(A212&lt;&gt;"",A212+30,"")</f>
        <v/>
      </c>
      <c r="V212">
        <f>IF(AND(C212="CxP",S212&gt;60),"Alta",IF(AND(C212="CxP",S212&gt;30),"Media",IF(C212="CxP","Baja","")))</f>
        <v/>
      </c>
      <c r="W212">
        <f>IF(AND(C212="CxC",S212&gt;90),"Alta",IF(AND(C212="CxC",S212&gt;60),"Media",IF(C212="CxC","Baja","")))</f>
        <v/>
      </c>
    </row>
    <row r="213">
      <c r="A213" s="19" t="n"/>
      <c r="F213" s="20" t="n"/>
      <c r="Q213" s="10">
        <f>IF(E213="USD",CONFIG!$B$5,1)</f>
        <v/>
      </c>
      <c r="R213">
        <f>IF(AND(A213&lt;&gt;"",ISNUMBER(A213),B213&lt;&gt;"",C213&lt;&gt;"",OR(E213="USD",E213="CRC"),F213&gt;0,ISNUMBER(Q213),Q213&gt;0),"✓ OK","✗ ERROR: Revisa datos")</f>
        <v/>
      </c>
      <c r="S213" s="6">
        <f>IF(A213&lt;&gt;"",TODAY()-A213,"")</f>
        <v/>
      </c>
      <c r="T213" s="4">
        <f>IF(E213="USD",F213,IF(E213="CRC",F213/CONFIG!$B$5,""))</f>
        <v/>
      </c>
      <c r="U213" s="19">
        <f>IF(A213&lt;&gt;"",A213+30,"")</f>
        <v/>
      </c>
      <c r="V213">
        <f>IF(AND(C213="CxP",S213&gt;60),"Alta",IF(AND(C213="CxP",S213&gt;30),"Media",IF(C213="CxP","Baja","")))</f>
        <v/>
      </c>
      <c r="W213">
        <f>IF(AND(C213="CxC",S213&gt;90),"Alta",IF(AND(C213="CxC",S213&gt;60),"Media",IF(C213="CxC","Baja","")))</f>
        <v/>
      </c>
    </row>
    <row r="214">
      <c r="A214" s="19" t="n"/>
      <c r="F214" s="20" t="n"/>
      <c r="Q214" s="10">
        <f>IF(E214="USD",CONFIG!$B$5,1)</f>
        <v/>
      </c>
      <c r="R214">
        <f>IF(AND(A214&lt;&gt;"",ISNUMBER(A214),B214&lt;&gt;"",C214&lt;&gt;"",OR(E214="USD",E214="CRC"),F214&gt;0,ISNUMBER(Q214),Q214&gt;0),"✓ OK","✗ ERROR: Revisa datos")</f>
        <v/>
      </c>
      <c r="S214" s="6">
        <f>IF(A214&lt;&gt;"",TODAY()-A214,"")</f>
        <v/>
      </c>
      <c r="T214" s="4">
        <f>IF(E214="USD",F214,IF(E214="CRC",F214/CONFIG!$B$5,""))</f>
        <v/>
      </c>
      <c r="U214" s="19">
        <f>IF(A214&lt;&gt;"",A214+30,"")</f>
        <v/>
      </c>
      <c r="V214">
        <f>IF(AND(C214="CxP",S214&gt;60),"Alta",IF(AND(C214="CxP",S214&gt;30),"Media",IF(C214="CxP","Baja","")))</f>
        <v/>
      </c>
      <c r="W214">
        <f>IF(AND(C214="CxC",S214&gt;90),"Alta",IF(AND(C214="CxC",S214&gt;60),"Media",IF(C214="CxC","Baja","")))</f>
        <v/>
      </c>
    </row>
    <row r="215">
      <c r="A215" s="19" t="n"/>
      <c r="F215" s="20" t="n"/>
      <c r="Q215" s="10">
        <f>IF(E215="USD",CONFIG!$B$5,1)</f>
        <v/>
      </c>
      <c r="R215">
        <f>IF(AND(A215&lt;&gt;"",ISNUMBER(A215),B215&lt;&gt;"",C215&lt;&gt;"",OR(E215="USD",E215="CRC"),F215&gt;0,ISNUMBER(Q215),Q215&gt;0),"✓ OK","✗ ERROR: Revisa datos")</f>
        <v/>
      </c>
      <c r="S215" s="6">
        <f>IF(A215&lt;&gt;"",TODAY()-A215,"")</f>
        <v/>
      </c>
      <c r="T215" s="4">
        <f>IF(E215="USD",F215,IF(E215="CRC",F215/CONFIG!$B$5,""))</f>
        <v/>
      </c>
      <c r="U215" s="19">
        <f>IF(A215&lt;&gt;"",A215+30,"")</f>
        <v/>
      </c>
      <c r="V215">
        <f>IF(AND(C215="CxP",S215&gt;60),"Alta",IF(AND(C215="CxP",S215&gt;30),"Media",IF(C215="CxP","Baja","")))</f>
        <v/>
      </c>
      <c r="W215">
        <f>IF(AND(C215="CxC",S215&gt;90),"Alta",IF(AND(C215="CxC",S215&gt;60),"Media",IF(C215="CxC","Baja","")))</f>
        <v/>
      </c>
    </row>
    <row r="216">
      <c r="A216" s="19" t="n"/>
      <c r="F216" s="20" t="n"/>
      <c r="Q216" s="10">
        <f>IF(E216="USD",CONFIG!$B$5,1)</f>
        <v/>
      </c>
      <c r="R216">
        <f>IF(AND(A216&lt;&gt;"",ISNUMBER(A216),B216&lt;&gt;"",C216&lt;&gt;"",OR(E216="USD",E216="CRC"),F216&gt;0,ISNUMBER(Q216),Q216&gt;0),"✓ OK","✗ ERROR: Revisa datos")</f>
        <v/>
      </c>
      <c r="S216" s="6">
        <f>IF(A216&lt;&gt;"",TODAY()-A216,"")</f>
        <v/>
      </c>
      <c r="T216" s="4">
        <f>IF(E216="USD",F216,IF(E216="CRC",F216/CONFIG!$B$5,""))</f>
        <v/>
      </c>
      <c r="U216" s="19">
        <f>IF(A216&lt;&gt;"",A216+30,"")</f>
        <v/>
      </c>
      <c r="V216">
        <f>IF(AND(C216="CxP",S216&gt;60),"Alta",IF(AND(C216="CxP",S216&gt;30),"Media",IF(C216="CxP","Baja","")))</f>
        <v/>
      </c>
      <c r="W216">
        <f>IF(AND(C216="CxC",S216&gt;90),"Alta",IF(AND(C216="CxC",S216&gt;60),"Media",IF(C216="CxC","Baja","")))</f>
        <v/>
      </c>
    </row>
    <row r="217">
      <c r="A217" s="19" t="n"/>
      <c r="F217" s="20" t="n"/>
      <c r="Q217" s="10">
        <f>IF(E217="USD",CONFIG!$B$5,1)</f>
        <v/>
      </c>
      <c r="R217">
        <f>IF(AND(A217&lt;&gt;"",ISNUMBER(A217),B217&lt;&gt;"",C217&lt;&gt;"",OR(E217="USD",E217="CRC"),F217&gt;0,ISNUMBER(Q217),Q217&gt;0),"✓ OK","✗ ERROR: Revisa datos")</f>
        <v/>
      </c>
      <c r="S217" s="6">
        <f>IF(A217&lt;&gt;"",TODAY()-A217,"")</f>
        <v/>
      </c>
      <c r="T217" s="4">
        <f>IF(E217="USD",F217,IF(E217="CRC",F217/CONFIG!$B$5,""))</f>
        <v/>
      </c>
      <c r="U217" s="19">
        <f>IF(A217&lt;&gt;"",A217+30,"")</f>
        <v/>
      </c>
      <c r="V217">
        <f>IF(AND(C217="CxP",S217&gt;60),"Alta",IF(AND(C217="CxP",S217&gt;30),"Media",IF(C217="CxP","Baja","")))</f>
        <v/>
      </c>
      <c r="W217">
        <f>IF(AND(C217="CxC",S217&gt;90),"Alta",IF(AND(C217="CxC",S217&gt;60),"Media",IF(C217="CxC","Baja","")))</f>
        <v/>
      </c>
    </row>
    <row r="218">
      <c r="A218" s="19" t="n"/>
      <c r="F218" s="20" t="n"/>
      <c r="Q218" s="10">
        <f>IF(E218="USD",CONFIG!$B$5,1)</f>
        <v/>
      </c>
      <c r="R218">
        <f>IF(AND(A218&lt;&gt;"",ISNUMBER(A218),B218&lt;&gt;"",C218&lt;&gt;"",OR(E218="USD",E218="CRC"),F218&gt;0,ISNUMBER(Q218),Q218&gt;0),"✓ OK","✗ ERROR: Revisa datos")</f>
        <v/>
      </c>
      <c r="S218" s="6">
        <f>IF(A218&lt;&gt;"",TODAY()-A218,"")</f>
        <v/>
      </c>
      <c r="T218" s="4">
        <f>IF(E218="USD",F218,IF(E218="CRC",F218/CONFIG!$B$5,""))</f>
        <v/>
      </c>
      <c r="U218" s="19">
        <f>IF(A218&lt;&gt;"",A218+30,"")</f>
        <v/>
      </c>
      <c r="V218">
        <f>IF(AND(C218="CxP",S218&gt;60),"Alta",IF(AND(C218="CxP",S218&gt;30),"Media",IF(C218="CxP","Baja","")))</f>
        <v/>
      </c>
      <c r="W218">
        <f>IF(AND(C218="CxC",S218&gt;90),"Alta",IF(AND(C218="CxC",S218&gt;60),"Media",IF(C218="CxC","Baja","")))</f>
        <v/>
      </c>
    </row>
    <row r="219">
      <c r="A219" s="19" t="n"/>
      <c r="F219" s="20" t="n"/>
      <c r="Q219" s="10">
        <f>IF(E219="USD",CONFIG!$B$5,1)</f>
        <v/>
      </c>
      <c r="R219">
        <f>IF(AND(A219&lt;&gt;"",ISNUMBER(A219),B219&lt;&gt;"",C219&lt;&gt;"",OR(E219="USD",E219="CRC"),F219&gt;0,ISNUMBER(Q219),Q219&gt;0),"✓ OK","✗ ERROR: Revisa datos")</f>
        <v/>
      </c>
      <c r="S219" s="6">
        <f>IF(A219&lt;&gt;"",TODAY()-A219,"")</f>
        <v/>
      </c>
      <c r="T219" s="4">
        <f>IF(E219="USD",F219,IF(E219="CRC",F219/CONFIG!$B$5,""))</f>
        <v/>
      </c>
      <c r="U219" s="19">
        <f>IF(A219&lt;&gt;"",A219+30,"")</f>
        <v/>
      </c>
      <c r="V219">
        <f>IF(AND(C219="CxP",S219&gt;60),"Alta",IF(AND(C219="CxP",S219&gt;30),"Media",IF(C219="CxP","Baja","")))</f>
        <v/>
      </c>
      <c r="W219">
        <f>IF(AND(C219="CxC",S219&gt;90),"Alta",IF(AND(C219="CxC",S219&gt;60),"Media",IF(C219="CxC","Baja","")))</f>
        <v/>
      </c>
    </row>
    <row r="220">
      <c r="A220" s="19" t="n"/>
      <c r="F220" s="20" t="n"/>
      <c r="Q220" s="10">
        <f>IF(E220="USD",CONFIG!$B$5,1)</f>
        <v/>
      </c>
      <c r="R220">
        <f>IF(AND(A220&lt;&gt;"",ISNUMBER(A220),B220&lt;&gt;"",C220&lt;&gt;"",OR(E220="USD",E220="CRC"),F220&gt;0,ISNUMBER(Q220),Q220&gt;0),"✓ OK","✗ ERROR: Revisa datos")</f>
        <v/>
      </c>
      <c r="S220" s="6">
        <f>IF(A220&lt;&gt;"",TODAY()-A220,"")</f>
        <v/>
      </c>
      <c r="T220" s="4">
        <f>IF(E220="USD",F220,IF(E220="CRC",F220/CONFIG!$B$5,""))</f>
        <v/>
      </c>
      <c r="U220" s="19">
        <f>IF(A220&lt;&gt;"",A220+30,"")</f>
        <v/>
      </c>
      <c r="V220">
        <f>IF(AND(C220="CxP",S220&gt;60),"Alta",IF(AND(C220="CxP",S220&gt;30),"Media",IF(C220="CxP","Baja","")))</f>
        <v/>
      </c>
      <c r="W220">
        <f>IF(AND(C220="CxC",S220&gt;90),"Alta",IF(AND(C220="CxC",S220&gt;60),"Media",IF(C220="CxC","Baja","")))</f>
        <v/>
      </c>
    </row>
    <row r="221">
      <c r="A221" s="19" t="n"/>
      <c r="F221" s="20" t="n"/>
      <c r="Q221" s="10">
        <f>IF(E221="USD",CONFIG!$B$5,1)</f>
        <v/>
      </c>
      <c r="R221">
        <f>IF(AND(A221&lt;&gt;"",ISNUMBER(A221),B221&lt;&gt;"",C221&lt;&gt;"",OR(E221="USD",E221="CRC"),F221&gt;0,ISNUMBER(Q221),Q221&gt;0),"✓ OK","✗ ERROR: Revisa datos")</f>
        <v/>
      </c>
      <c r="S221" s="6">
        <f>IF(A221&lt;&gt;"",TODAY()-A221,"")</f>
        <v/>
      </c>
      <c r="T221" s="4">
        <f>IF(E221="USD",F221,IF(E221="CRC",F221/CONFIG!$B$5,""))</f>
        <v/>
      </c>
      <c r="U221" s="19">
        <f>IF(A221&lt;&gt;"",A221+30,"")</f>
        <v/>
      </c>
      <c r="V221">
        <f>IF(AND(C221="CxP",S221&gt;60),"Alta",IF(AND(C221="CxP",S221&gt;30),"Media",IF(C221="CxP","Baja","")))</f>
        <v/>
      </c>
      <c r="W221">
        <f>IF(AND(C221="CxC",S221&gt;90),"Alta",IF(AND(C221="CxC",S221&gt;60),"Media",IF(C221="CxC","Baja","")))</f>
        <v/>
      </c>
    </row>
    <row r="222">
      <c r="A222" s="19" t="n"/>
      <c r="F222" s="20" t="n"/>
      <c r="Q222" s="10">
        <f>IF(E222="USD",CONFIG!$B$5,1)</f>
        <v/>
      </c>
      <c r="R222">
        <f>IF(AND(A222&lt;&gt;"",ISNUMBER(A222),B222&lt;&gt;"",C222&lt;&gt;"",OR(E222="USD",E222="CRC"),F222&gt;0,ISNUMBER(Q222),Q222&gt;0),"✓ OK","✗ ERROR: Revisa datos")</f>
        <v/>
      </c>
      <c r="S222" s="6">
        <f>IF(A222&lt;&gt;"",TODAY()-A222,"")</f>
        <v/>
      </c>
      <c r="T222" s="4">
        <f>IF(E222="USD",F222,IF(E222="CRC",F222/CONFIG!$B$5,""))</f>
        <v/>
      </c>
      <c r="U222" s="19">
        <f>IF(A222&lt;&gt;"",A222+30,"")</f>
        <v/>
      </c>
      <c r="V222">
        <f>IF(AND(C222="CxP",S222&gt;60),"Alta",IF(AND(C222="CxP",S222&gt;30),"Media",IF(C222="CxP","Baja","")))</f>
        <v/>
      </c>
      <c r="W222">
        <f>IF(AND(C222="CxC",S222&gt;90),"Alta",IF(AND(C222="CxC",S222&gt;60),"Media",IF(C222="CxC","Baja","")))</f>
        <v/>
      </c>
    </row>
    <row r="223">
      <c r="A223" s="19" t="n"/>
      <c r="F223" s="20" t="n"/>
      <c r="Q223" s="10">
        <f>IF(E223="USD",CONFIG!$B$5,1)</f>
        <v/>
      </c>
      <c r="R223">
        <f>IF(AND(A223&lt;&gt;"",ISNUMBER(A223),B223&lt;&gt;"",C223&lt;&gt;"",OR(E223="USD",E223="CRC"),F223&gt;0,ISNUMBER(Q223),Q223&gt;0),"✓ OK","✗ ERROR: Revisa datos")</f>
        <v/>
      </c>
      <c r="S223" s="6">
        <f>IF(A223&lt;&gt;"",TODAY()-A223,"")</f>
        <v/>
      </c>
      <c r="T223" s="4">
        <f>IF(E223="USD",F223,IF(E223="CRC",F223/CONFIG!$B$5,""))</f>
        <v/>
      </c>
      <c r="U223" s="19">
        <f>IF(A223&lt;&gt;"",A223+30,"")</f>
        <v/>
      </c>
      <c r="V223">
        <f>IF(AND(C223="CxP",S223&gt;60),"Alta",IF(AND(C223="CxP",S223&gt;30),"Media",IF(C223="CxP","Baja","")))</f>
        <v/>
      </c>
      <c r="W223">
        <f>IF(AND(C223="CxC",S223&gt;90),"Alta",IF(AND(C223="CxC",S223&gt;60),"Media",IF(C223="CxC","Baja","")))</f>
        <v/>
      </c>
    </row>
    <row r="224">
      <c r="A224" s="19" t="n"/>
      <c r="F224" s="20" t="n"/>
      <c r="Q224" s="10">
        <f>IF(E224="USD",CONFIG!$B$5,1)</f>
        <v/>
      </c>
      <c r="R224">
        <f>IF(AND(A224&lt;&gt;"",ISNUMBER(A224),B224&lt;&gt;"",C224&lt;&gt;"",OR(E224="USD",E224="CRC"),F224&gt;0,ISNUMBER(Q224),Q224&gt;0),"✓ OK","✗ ERROR: Revisa datos")</f>
        <v/>
      </c>
      <c r="S224" s="6">
        <f>IF(A224&lt;&gt;"",TODAY()-A224,"")</f>
        <v/>
      </c>
      <c r="T224" s="4">
        <f>IF(E224="USD",F224,IF(E224="CRC",F224/CONFIG!$B$5,""))</f>
        <v/>
      </c>
      <c r="U224" s="19">
        <f>IF(A224&lt;&gt;"",A224+30,"")</f>
        <v/>
      </c>
      <c r="V224">
        <f>IF(AND(C224="CxP",S224&gt;60),"Alta",IF(AND(C224="CxP",S224&gt;30),"Media",IF(C224="CxP","Baja","")))</f>
        <v/>
      </c>
      <c r="W224">
        <f>IF(AND(C224="CxC",S224&gt;90),"Alta",IF(AND(C224="CxC",S224&gt;60),"Media",IF(C224="CxC","Baja","")))</f>
        <v/>
      </c>
    </row>
    <row r="225">
      <c r="A225" s="19" t="n"/>
      <c r="F225" s="20" t="n"/>
      <c r="Q225" s="10">
        <f>IF(E225="USD",CONFIG!$B$5,1)</f>
        <v/>
      </c>
      <c r="R225">
        <f>IF(AND(A225&lt;&gt;"",ISNUMBER(A225),B225&lt;&gt;"",C225&lt;&gt;"",OR(E225="USD",E225="CRC"),F225&gt;0,ISNUMBER(Q225),Q225&gt;0),"✓ OK","✗ ERROR: Revisa datos")</f>
        <v/>
      </c>
      <c r="S225" s="6">
        <f>IF(A225&lt;&gt;"",TODAY()-A225,"")</f>
        <v/>
      </c>
      <c r="T225" s="4">
        <f>IF(E225="USD",F225,IF(E225="CRC",F225/CONFIG!$B$5,""))</f>
        <v/>
      </c>
      <c r="U225" s="19">
        <f>IF(A225&lt;&gt;"",A225+30,"")</f>
        <v/>
      </c>
      <c r="V225">
        <f>IF(AND(C225="CxP",S225&gt;60),"Alta",IF(AND(C225="CxP",S225&gt;30),"Media",IF(C225="CxP","Baja","")))</f>
        <v/>
      </c>
      <c r="W225">
        <f>IF(AND(C225="CxC",S225&gt;90),"Alta",IF(AND(C225="CxC",S225&gt;60),"Media",IF(C225="CxC","Baja","")))</f>
        <v/>
      </c>
    </row>
    <row r="226">
      <c r="A226" s="19" t="n"/>
      <c r="F226" s="20" t="n"/>
      <c r="Q226" s="10">
        <f>IF(E226="USD",CONFIG!$B$5,1)</f>
        <v/>
      </c>
      <c r="R226">
        <f>IF(AND(A226&lt;&gt;"",ISNUMBER(A226),B226&lt;&gt;"",C226&lt;&gt;"",OR(E226="USD",E226="CRC"),F226&gt;0,ISNUMBER(Q226),Q226&gt;0),"✓ OK","✗ ERROR: Revisa datos")</f>
        <v/>
      </c>
      <c r="S226" s="6">
        <f>IF(A226&lt;&gt;"",TODAY()-A226,"")</f>
        <v/>
      </c>
      <c r="T226" s="4">
        <f>IF(E226="USD",F226,IF(E226="CRC",F226/CONFIG!$B$5,""))</f>
        <v/>
      </c>
      <c r="U226" s="19">
        <f>IF(A226&lt;&gt;"",A226+30,"")</f>
        <v/>
      </c>
      <c r="V226">
        <f>IF(AND(C226="CxP",S226&gt;60),"Alta",IF(AND(C226="CxP",S226&gt;30),"Media",IF(C226="CxP","Baja","")))</f>
        <v/>
      </c>
      <c r="W226">
        <f>IF(AND(C226="CxC",S226&gt;90),"Alta",IF(AND(C226="CxC",S226&gt;60),"Media",IF(C226="CxC","Baja","")))</f>
        <v/>
      </c>
    </row>
    <row r="227">
      <c r="A227" s="19" t="n"/>
      <c r="F227" s="20" t="n"/>
      <c r="Q227" s="10">
        <f>IF(E227="USD",CONFIG!$B$5,1)</f>
        <v/>
      </c>
      <c r="R227">
        <f>IF(AND(A227&lt;&gt;"",ISNUMBER(A227),B227&lt;&gt;"",C227&lt;&gt;"",OR(E227="USD",E227="CRC"),F227&gt;0,ISNUMBER(Q227),Q227&gt;0),"✓ OK","✗ ERROR: Revisa datos")</f>
        <v/>
      </c>
      <c r="S227" s="6">
        <f>IF(A227&lt;&gt;"",TODAY()-A227,"")</f>
        <v/>
      </c>
      <c r="T227" s="4">
        <f>IF(E227="USD",F227,IF(E227="CRC",F227/CONFIG!$B$5,""))</f>
        <v/>
      </c>
      <c r="U227" s="19">
        <f>IF(A227&lt;&gt;"",A227+30,"")</f>
        <v/>
      </c>
      <c r="V227">
        <f>IF(AND(C227="CxP",S227&gt;60),"Alta",IF(AND(C227="CxP",S227&gt;30),"Media",IF(C227="CxP","Baja","")))</f>
        <v/>
      </c>
      <c r="W227">
        <f>IF(AND(C227="CxC",S227&gt;90),"Alta",IF(AND(C227="CxC",S227&gt;60),"Media",IF(C227="CxC","Baja","")))</f>
        <v/>
      </c>
    </row>
    <row r="228">
      <c r="A228" s="19" t="n"/>
      <c r="F228" s="20" t="n"/>
      <c r="Q228" s="10">
        <f>IF(E228="USD",CONFIG!$B$5,1)</f>
        <v/>
      </c>
      <c r="R228">
        <f>IF(AND(A228&lt;&gt;"",ISNUMBER(A228),B228&lt;&gt;"",C228&lt;&gt;"",OR(E228="USD",E228="CRC"),F228&gt;0,ISNUMBER(Q228),Q228&gt;0),"✓ OK","✗ ERROR: Revisa datos")</f>
        <v/>
      </c>
      <c r="S228" s="6">
        <f>IF(A228&lt;&gt;"",TODAY()-A228,"")</f>
        <v/>
      </c>
      <c r="T228" s="4">
        <f>IF(E228="USD",F228,IF(E228="CRC",F228/CONFIG!$B$5,""))</f>
        <v/>
      </c>
      <c r="U228" s="19">
        <f>IF(A228&lt;&gt;"",A228+30,"")</f>
        <v/>
      </c>
      <c r="V228">
        <f>IF(AND(C228="CxP",S228&gt;60),"Alta",IF(AND(C228="CxP",S228&gt;30),"Media",IF(C228="CxP","Baja","")))</f>
        <v/>
      </c>
      <c r="W228">
        <f>IF(AND(C228="CxC",S228&gt;90),"Alta",IF(AND(C228="CxC",S228&gt;60),"Media",IF(C228="CxC","Baja","")))</f>
        <v/>
      </c>
    </row>
    <row r="229">
      <c r="A229" s="19" t="n"/>
      <c r="F229" s="20" t="n"/>
      <c r="Q229" s="10">
        <f>IF(E229="USD",CONFIG!$B$5,1)</f>
        <v/>
      </c>
      <c r="R229">
        <f>IF(AND(A229&lt;&gt;"",ISNUMBER(A229),B229&lt;&gt;"",C229&lt;&gt;"",OR(E229="USD",E229="CRC"),F229&gt;0,ISNUMBER(Q229),Q229&gt;0),"✓ OK","✗ ERROR: Revisa datos")</f>
        <v/>
      </c>
      <c r="S229" s="6">
        <f>IF(A229&lt;&gt;"",TODAY()-A229,"")</f>
        <v/>
      </c>
      <c r="T229" s="4">
        <f>IF(E229="USD",F229,IF(E229="CRC",F229/CONFIG!$B$5,""))</f>
        <v/>
      </c>
      <c r="U229" s="19">
        <f>IF(A229&lt;&gt;"",A229+30,"")</f>
        <v/>
      </c>
      <c r="V229">
        <f>IF(AND(C229="CxP",S229&gt;60),"Alta",IF(AND(C229="CxP",S229&gt;30),"Media",IF(C229="CxP","Baja","")))</f>
        <v/>
      </c>
      <c r="W229">
        <f>IF(AND(C229="CxC",S229&gt;90),"Alta",IF(AND(C229="CxC",S229&gt;60),"Media",IF(C229="CxC","Baja","")))</f>
        <v/>
      </c>
    </row>
    <row r="230">
      <c r="A230" s="19" t="n"/>
      <c r="F230" s="20" t="n"/>
      <c r="Q230" s="10">
        <f>IF(E230="USD",CONFIG!$B$5,1)</f>
        <v/>
      </c>
      <c r="R230">
        <f>IF(AND(A230&lt;&gt;"",ISNUMBER(A230),B230&lt;&gt;"",C230&lt;&gt;"",OR(E230="USD",E230="CRC"),F230&gt;0,ISNUMBER(Q230),Q230&gt;0),"✓ OK","✗ ERROR: Revisa datos")</f>
        <v/>
      </c>
      <c r="S230" s="6">
        <f>IF(A230&lt;&gt;"",TODAY()-A230,"")</f>
        <v/>
      </c>
      <c r="T230" s="4">
        <f>IF(E230="USD",F230,IF(E230="CRC",F230/CONFIG!$B$5,""))</f>
        <v/>
      </c>
      <c r="U230" s="19">
        <f>IF(A230&lt;&gt;"",A230+30,"")</f>
        <v/>
      </c>
      <c r="V230">
        <f>IF(AND(C230="CxP",S230&gt;60),"Alta",IF(AND(C230="CxP",S230&gt;30),"Media",IF(C230="CxP","Baja","")))</f>
        <v/>
      </c>
      <c r="W230">
        <f>IF(AND(C230="CxC",S230&gt;90),"Alta",IF(AND(C230="CxC",S230&gt;60),"Media",IF(C230="CxC","Baja","")))</f>
        <v/>
      </c>
    </row>
    <row r="231">
      <c r="A231" s="19" t="n"/>
      <c r="F231" s="20" t="n"/>
      <c r="Q231" s="10">
        <f>IF(E231="USD",CONFIG!$B$5,1)</f>
        <v/>
      </c>
      <c r="R231">
        <f>IF(AND(A231&lt;&gt;"",ISNUMBER(A231),B231&lt;&gt;"",C231&lt;&gt;"",OR(E231="USD",E231="CRC"),F231&gt;0,ISNUMBER(Q231),Q231&gt;0),"✓ OK","✗ ERROR: Revisa datos")</f>
        <v/>
      </c>
      <c r="S231" s="6">
        <f>IF(A231&lt;&gt;"",TODAY()-A231,"")</f>
        <v/>
      </c>
      <c r="T231" s="4">
        <f>IF(E231="USD",F231,IF(E231="CRC",F231/CONFIG!$B$5,""))</f>
        <v/>
      </c>
      <c r="U231" s="19">
        <f>IF(A231&lt;&gt;"",A231+30,"")</f>
        <v/>
      </c>
      <c r="V231">
        <f>IF(AND(C231="CxP",S231&gt;60),"Alta",IF(AND(C231="CxP",S231&gt;30),"Media",IF(C231="CxP","Baja","")))</f>
        <v/>
      </c>
      <c r="W231">
        <f>IF(AND(C231="CxC",S231&gt;90),"Alta",IF(AND(C231="CxC",S231&gt;60),"Media",IF(C231="CxC","Baja","")))</f>
        <v/>
      </c>
    </row>
    <row r="232">
      <c r="A232" s="19" t="n"/>
      <c r="F232" s="20" t="n"/>
      <c r="Q232" s="10">
        <f>IF(E232="USD",CONFIG!$B$5,1)</f>
        <v/>
      </c>
      <c r="R232">
        <f>IF(AND(A232&lt;&gt;"",ISNUMBER(A232),B232&lt;&gt;"",C232&lt;&gt;"",OR(E232="USD",E232="CRC"),F232&gt;0,ISNUMBER(Q232),Q232&gt;0),"✓ OK","✗ ERROR: Revisa datos")</f>
        <v/>
      </c>
      <c r="S232" s="6">
        <f>IF(A232&lt;&gt;"",TODAY()-A232,"")</f>
        <v/>
      </c>
      <c r="T232" s="4">
        <f>IF(E232="USD",F232,IF(E232="CRC",F232/CONFIG!$B$5,""))</f>
        <v/>
      </c>
      <c r="U232" s="19">
        <f>IF(A232&lt;&gt;"",A232+30,"")</f>
        <v/>
      </c>
      <c r="V232">
        <f>IF(AND(C232="CxP",S232&gt;60),"Alta",IF(AND(C232="CxP",S232&gt;30),"Media",IF(C232="CxP","Baja","")))</f>
        <v/>
      </c>
      <c r="W232">
        <f>IF(AND(C232="CxC",S232&gt;90),"Alta",IF(AND(C232="CxC",S232&gt;60),"Media",IF(C232="CxC","Baja","")))</f>
        <v/>
      </c>
    </row>
    <row r="233">
      <c r="A233" s="19" t="n"/>
      <c r="F233" s="20" t="n"/>
      <c r="Q233" s="10">
        <f>IF(E233="USD",CONFIG!$B$5,1)</f>
        <v/>
      </c>
      <c r="R233">
        <f>IF(AND(A233&lt;&gt;"",ISNUMBER(A233),B233&lt;&gt;"",C233&lt;&gt;"",OR(E233="USD",E233="CRC"),F233&gt;0,ISNUMBER(Q233),Q233&gt;0),"✓ OK","✗ ERROR: Revisa datos")</f>
        <v/>
      </c>
      <c r="S233" s="6">
        <f>IF(A233&lt;&gt;"",TODAY()-A233,"")</f>
        <v/>
      </c>
      <c r="T233" s="4">
        <f>IF(E233="USD",F233,IF(E233="CRC",F233/CONFIG!$B$5,""))</f>
        <v/>
      </c>
      <c r="U233" s="19">
        <f>IF(A233&lt;&gt;"",A233+30,"")</f>
        <v/>
      </c>
      <c r="V233">
        <f>IF(AND(C233="CxP",S233&gt;60),"Alta",IF(AND(C233="CxP",S233&gt;30),"Media",IF(C233="CxP","Baja","")))</f>
        <v/>
      </c>
      <c r="W233">
        <f>IF(AND(C233="CxC",S233&gt;90),"Alta",IF(AND(C233="CxC",S233&gt;60),"Media",IF(C233="CxC","Baja","")))</f>
        <v/>
      </c>
    </row>
    <row r="234">
      <c r="A234" s="19" t="n"/>
      <c r="F234" s="20" t="n"/>
      <c r="Q234" s="10">
        <f>IF(E234="USD",CONFIG!$B$5,1)</f>
        <v/>
      </c>
      <c r="R234">
        <f>IF(AND(A234&lt;&gt;"",ISNUMBER(A234),B234&lt;&gt;"",C234&lt;&gt;"",OR(E234="USD",E234="CRC"),F234&gt;0,ISNUMBER(Q234),Q234&gt;0),"✓ OK","✗ ERROR: Revisa datos")</f>
        <v/>
      </c>
      <c r="S234" s="6">
        <f>IF(A234&lt;&gt;"",TODAY()-A234,"")</f>
        <v/>
      </c>
      <c r="T234" s="4">
        <f>IF(E234="USD",F234,IF(E234="CRC",F234/CONFIG!$B$5,""))</f>
        <v/>
      </c>
      <c r="U234" s="19">
        <f>IF(A234&lt;&gt;"",A234+30,"")</f>
        <v/>
      </c>
      <c r="V234">
        <f>IF(AND(C234="CxP",S234&gt;60),"Alta",IF(AND(C234="CxP",S234&gt;30),"Media",IF(C234="CxP","Baja","")))</f>
        <v/>
      </c>
      <c r="W234">
        <f>IF(AND(C234="CxC",S234&gt;90),"Alta",IF(AND(C234="CxC",S234&gt;60),"Media",IF(C234="CxC","Baja","")))</f>
        <v/>
      </c>
    </row>
    <row r="235">
      <c r="A235" s="19" t="n"/>
      <c r="F235" s="20" t="n"/>
      <c r="Q235" s="10">
        <f>IF(E235="USD",CONFIG!$B$5,1)</f>
        <v/>
      </c>
      <c r="R235">
        <f>IF(AND(A235&lt;&gt;"",ISNUMBER(A235),B235&lt;&gt;"",C235&lt;&gt;"",OR(E235="USD",E235="CRC"),F235&gt;0,ISNUMBER(Q235),Q235&gt;0),"✓ OK","✗ ERROR: Revisa datos")</f>
        <v/>
      </c>
      <c r="S235" s="6">
        <f>IF(A235&lt;&gt;"",TODAY()-A235,"")</f>
        <v/>
      </c>
      <c r="T235" s="4">
        <f>IF(E235="USD",F235,IF(E235="CRC",F235/CONFIG!$B$5,""))</f>
        <v/>
      </c>
      <c r="U235" s="19">
        <f>IF(A235&lt;&gt;"",A235+30,"")</f>
        <v/>
      </c>
      <c r="V235">
        <f>IF(AND(C235="CxP",S235&gt;60),"Alta",IF(AND(C235="CxP",S235&gt;30),"Media",IF(C235="CxP","Baja","")))</f>
        <v/>
      </c>
      <c r="W235">
        <f>IF(AND(C235="CxC",S235&gt;90),"Alta",IF(AND(C235="CxC",S235&gt;60),"Media",IF(C235="CxC","Baja","")))</f>
        <v/>
      </c>
    </row>
    <row r="236">
      <c r="A236" s="19" t="n"/>
      <c r="F236" s="20" t="n"/>
      <c r="Q236" s="10">
        <f>IF(E236="USD",CONFIG!$B$5,1)</f>
        <v/>
      </c>
      <c r="R236">
        <f>IF(AND(A236&lt;&gt;"",ISNUMBER(A236),B236&lt;&gt;"",C236&lt;&gt;"",OR(E236="USD",E236="CRC"),F236&gt;0,ISNUMBER(Q236),Q236&gt;0),"✓ OK","✗ ERROR: Revisa datos")</f>
        <v/>
      </c>
      <c r="S236" s="6">
        <f>IF(A236&lt;&gt;"",TODAY()-A236,"")</f>
        <v/>
      </c>
      <c r="T236" s="4">
        <f>IF(E236="USD",F236,IF(E236="CRC",F236/CONFIG!$B$5,""))</f>
        <v/>
      </c>
      <c r="U236" s="19">
        <f>IF(A236&lt;&gt;"",A236+30,"")</f>
        <v/>
      </c>
      <c r="V236">
        <f>IF(AND(C236="CxP",S236&gt;60),"Alta",IF(AND(C236="CxP",S236&gt;30),"Media",IF(C236="CxP","Baja","")))</f>
        <v/>
      </c>
      <c r="W236">
        <f>IF(AND(C236="CxC",S236&gt;90),"Alta",IF(AND(C236="CxC",S236&gt;60),"Media",IF(C236="CxC","Baja","")))</f>
        <v/>
      </c>
    </row>
    <row r="237">
      <c r="A237" s="19" t="n"/>
      <c r="F237" s="20" t="n"/>
      <c r="Q237" s="10">
        <f>IF(E237="USD",CONFIG!$B$5,1)</f>
        <v/>
      </c>
      <c r="R237">
        <f>IF(AND(A237&lt;&gt;"",ISNUMBER(A237),B237&lt;&gt;"",C237&lt;&gt;"",OR(E237="USD",E237="CRC"),F237&gt;0,ISNUMBER(Q237),Q237&gt;0),"✓ OK","✗ ERROR: Revisa datos")</f>
        <v/>
      </c>
      <c r="S237" s="6">
        <f>IF(A237&lt;&gt;"",TODAY()-A237,"")</f>
        <v/>
      </c>
      <c r="T237" s="4">
        <f>IF(E237="USD",F237,IF(E237="CRC",F237/CONFIG!$B$5,""))</f>
        <v/>
      </c>
      <c r="U237" s="19">
        <f>IF(A237&lt;&gt;"",A237+30,"")</f>
        <v/>
      </c>
      <c r="V237">
        <f>IF(AND(C237="CxP",S237&gt;60),"Alta",IF(AND(C237="CxP",S237&gt;30),"Media",IF(C237="CxP","Baja","")))</f>
        <v/>
      </c>
      <c r="W237">
        <f>IF(AND(C237="CxC",S237&gt;90),"Alta",IF(AND(C237="CxC",S237&gt;60),"Media",IF(C237="CxC","Baja","")))</f>
        <v/>
      </c>
    </row>
    <row r="238">
      <c r="A238" s="19" t="n"/>
      <c r="F238" s="20" t="n"/>
      <c r="Q238" s="10">
        <f>IF(E238="USD",CONFIG!$B$5,1)</f>
        <v/>
      </c>
      <c r="R238">
        <f>IF(AND(A238&lt;&gt;"",ISNUMBER(A238),B238&lt;&gt;"",C238&lt;&gt;"",OR(E238="USD",E238="CRC"),F238&gt;0,ISNUMBER(Q238),Q238&gt;0),"✓ OK","✗ ERROR: Revisa datos")</f>
        <v/>
      </c>
      <c r="S238" s="6">
        <f>IF(A238&lt;&gt;"",TODAY()-A238,"")</f>
        <v/>
      </c>
      <c r="T238" s="4">
        <f>IF(E238="USD",F238,IF(E238="CRC",F238/CONFIG!$B$5,""))</f>
        <v/>
      </c>
      <c r="U238" s="19">
        <f>IF(A238&lt;&gt;"",A238+30,"")</f>
        <v/>
      </c>
      <c r="V238">
        <f>IF(AND(C238="CxP",S238&gt;60),"Alta",IF(AND(C238="CxP",S238&gt;30),"Media",IF(C238="CxP","Baja","")))</f>
        <v/>
      </c>
      <c r="W238">
        <f>IF(AND(C238="CxC",S238&gt;90),"Alta",IF(AND(C238="CxC",S238&gt;60),"Media",IF(C238="CxC","Baja","")))</f>
        <v/>
      </c>
    </row>
    <row r="239">
      <c r="A239" s="19" t="n"/>
      <c r="F239" s="20" t="n"/>
      <c r="Q239" s="10">
        <f>IF(E239="USD",CONFIG!$B$5,1)</f>
        <v/>
      </c>
      <c r="R239">
        <f>IF(AND(A239&lt;&gt;"",ISNUMBER(A239),B239&lt;&gt;"",C239&lt;&gt;"",OR(E239="USD",E239="CRC"),F239&gt;0,ISNUMBER(Q239),Q239&gt;0),"✓ OK","✗ ERROR: Revisa datos")</f>
        <v/>
      </c>
      <c r="S239" s="6">
        <f>IF(A239&lt;&gt;"",TODAY()-A239,"")</f>
        <v/>
      </c>
      <c r="T239" s="4">
        <f>IF(E239="USD",F239,IF(E239="CRC",F239/CONFIG!$B$5,""))</f>
        <v/>
      </c>
      <c r="U239" s="19">
        <f>IF(A239&lt;&gt;"",A239+30,"")</f>
        <v/>
      </c>
      <c r="V239">
        <f>IF(AND(C239="CxP",S239&gt;60),"Alta",IF(AND(C239="CxP",S239&gt;30),"Media",IF(C239="CxP","Baja","")))</f>
        <v/>
      </c>
      <c r="W239">
        <f>IF(AND(C239="CxC",S239&gt;90),"Alta",IF(AND(C239="CxC",S239&gt;60),"Media",IF(C239="CxC","Baja","")))</f>
        <v/>
      </c>
    </row>
    <row r="240">
      <c r="A240" s="19" t="n"/>
      <c r="F240" s="20" t="n"/>
      <c r="Q240" s="10">
        <f>IF(E240="USD",CONFIG!$B$5,1)</f>
        <v/>
      </c>
      <c r="R240">
        <f>IF(AND(A240&lt;&gt;"",ISNUMBER(A240),B240&lt;&gt;"",C240&lt;&gt;"",OR(E240="USD",E240="CRC"),F240&gt;0,ISNUMBER(Q240),Q240&gt;0),"✓ OK","✗ ERROR: Revisa datos")</f>
        <v/>
      </c>
      <c r="S240" s="6">
        <f>IF(A240&lt;&gt;"",TODAY()-A240,"")</f>
        <v/>
      </c>
      <c r="T240" s="4">
        <f>IF(E240="USD",F240,IF(E240="CRC",F240/CONFIG!$B$5,""))</f>
        <v/>
      </c>
      <c r="U240" s="19">
        <f>IF(A240&lt;&gt;"",A240+30,"")</f>
        <v/>
      </c>
      <c r="V240">
        <f>IF(AND(C240="CxP",S240&gt;60),"Alta",IF(AND(C240="CxP",S240&gt;30),"Media",IF(C240="CxP","Baja","")))</f>
        <v/>
      </c>
      <c r="W240">
        <f>IF(AND(C240="CxC",S240&gt;90),"Alta",IF(AND(C240="CxC",S240&gt;60),"Media",IF(C240="CxC","Baja","")))</f>
        <v/>
      </c>
    </row>
    <row r="241">
      <c r="A241" s="19" t="n"/>
      <c r="F241" s="20" t="n"/>
      <c r="Q241" s="10">
        <f>IF(E241="USD",CONFIG!$B$5,1)</f>
        <v/>
      </c>
      <c r="R241">
        <f>IF(AND(A241&lt;&gt;"",ISNUMBER(A241),B241&lt;&gt;"",C241&lt;&gt;"",OR(E241="USD",E241="CRC"),F241&gt;0,ISNUMBER(Q241),Q241&gt;0),"✓ OK","✗ ERROR: Revisa datos")</f>
        <v/>
      </c>
      <c r="S241" s="6">
        <f>IF(A241&lt;&gt;"",TODAY()-A241,"")</f>
        <v/>
      </c>
      <c r="T241" s="4">
        <f>IF(E241="USD",F241,IF(E241="CRC",F241/CONFIG!$B$5,""))</f>
        <v/>
      </c>
      <c r="U241" s="19">
        <f>IF(A241&lt;&gt;"",A241+30,"")</f>
        <v/>
      </c>
      <c r="V241">
        <f>IF(AND(C241="CxP",S241&gt;60),"Alta",IF(AND(C241="CxP",S241&gt;30),"Media",IF(C241="CxP","Baja","")))</f>
        <v/>
      </c>
      <c r="W241">
        <f>IF(AND(C241="CxC",S241&gt;90),"Alta",IF(AND(C241="CxC",S241&gt;60),"Media",IF(C241="CxC","Baja","")))</f>
        <v/>
      </c>
    </row>
    <row r="242">
      <c r="A242" s="19" t="n"/>
      <c r="F242" s="20" t="n"/>
      <c r="Q242" s="10">
        <f>IF(E242="USD",CONFIG!$B$5,1)</f>
        <v/>
      </c>
      <c r="R242">
        <f>IF(AND(A242&lt;&gt;"",ISNUMBER(A242),B242&lt;&gt;"",C242&lt;&gt;"",OR(E242="USD",E242="CRC"),F242&gt;0,ISNUMBER(Q242),Q242&gt;0),"✓ OK","✗ ERROR: Revisa datos")</f>
        <v/>
      </c>
      <c r="S242" s="6">
        <f>IF(A242&lt;&gt;"",TODAY()-A242,"")</f>
        <v/>
      </c>
      <c r="T242" s="4">
        <f>IF(E242="USD",F242,IF(E242="CRC",F242/CONFIG!$B$5,""))</f>
        <v/>
      </c>
      <c r="U242" s="19">
        <f>IF(A242&lt;&gt;"",A242+30,"")</f>
        <v/>
      </c>
      <c r="V242">
        <f>IF(AND(C242="CxP",S242&gt;60),"Alta",IF(AND(C242="CxP",S242&gt;30),"Media",IF(C242="CxP","Baja","")))</f>
        <v/>
      </c>
      <c r="W242">
        <f>IF(AND(C242="CxC",S242&gt;90),"Alta",IF(AND(C242="CxC",S242&gt;60),"Media",IF(C242="CxC","Baja","")))</f>
        <v/>
      </c>
    </row>
    <row r="243">
      <c r="A243" s="19" t="n"/>
      <c r="F243" s="20" t="n"/>
      <c r="Q243" s="10">
        <f>IF(E243="USD",CONFIG!$B$5,1)</f>
        <v/>
      </c>
      <c r="R243">
        <f>IF(AND(A243&lt;&gt;"",ISNUMBER(A243),B243&lt;&gt;"",C243&lt;&gt;"",OR(E243="USD",E243="CRC"),F243&gt;0,ISNUMBER(Q243),Q243&gt;0),"✓ OK","✗ ERROR: Revisa datos")</f>
        <v/>
      </c>
      <c r="S243" s="6">
        <f>IF(A243&lt;&gt;"",TODAY()-A243,"")</f>
        <v/>
      </c>
      <c r="T243" s="4">
        <f>IF(E243="USD",F243,IF(E243="CRC",F243/CONFIG!$B$5,""))</f>
        <v/>
      </c>
      <c r="U243" s="19">
        <f>IF(A243&lt;&gt;"",A243+30,"")</f>
        <v/>
      </c>
      <c r="V243">
        <f>IF(AND(C243="CxP",S243&gt;60),"Alta",IF(AND(C243="CxP",S243&gt;30),"Media",IF(C243="CxP","Baja","")))</f>
        <v/>
      </c>
      <c r="W243">
        <f>IF(AND(C243="CxC",S243&gt;90),"Alta",IF(AND(C243="CxC",S243&gt;60),"Media",IF(C243="CxC","Baja","")))</f>
        <v/>
      </c>
    </row>
    <row r="244">
      <c r="A244" s="19" t="n"/>
      <c r="F244" s="20" t="n"/>
      <c r="Q244" s="10">
        <f>IF(E244="USD",CONFIG!$B$5,1)</f>
        <v/>
      </c>
      <c r="R244">
        <f>IF(AND(A244&lt;&gt;"",ISNUMBER(A244),B244&lt;&gt;"",C244&lt;&gt;"",OR(E244="USD",E244="CRC"),F244&gt;0,ISNUMBER(Q244),Q244&gt;0),"✓ OK","✗ ERROR: Revisa datos")</f>
        <v/>
      </c>
      <c r="S244" s="6">
        <f>IF(A244&lt;&gt;"",TODAY()-A244,"")</f>
        <v/>
      </c>
      <c r="T244" s="4">
        <f>IF(E244="USD",F244,IF(E244="CRC",F244/CONFIG!$B$5,""))</f>
        <v/>
      </c>
      <c r="U244" s="19">
        <f>IF(A244&lt;&gt;"",A244+30,"")</f>
        <v/>
      </c>
      <c r="V244">
        <f>IF(AND(C244="CxP",S244&gt;60),"Alta",IF(AND(C244="CxP",S244&gt;30),"Media",IF(C244="CxP","Baja","")))</f>
        <v/>
      </c>
      <c r="W244">
        <f>IF(AND(C244="CxC",S244&gt;90),"Alta",IF(AND(C244="CxC",S244&gt;60),"Media",IF(C244="CxC","Baja","")))</f>
        <v/>
      </c>
    </row>
    <row r="245">
      <c r="A245" s="19" t="n"/>
      <c r="F245" s="20" t="n"/>
      <c r="Q245" s="10">
        <f>IF(E245="USD",CONFIG!$B$5,1)</f>
        <v/>
      </c>
      <c r="R245">
        <f>IF(AND(A245&lt;&gt;"",ISNUMBER(A245),B245&lt;&gt;"",C245&lt;&gt;"",OR(E245="USD",E245="CRC"),F245&gt;0,ISNUMBER(Q245),Q245&gt;0),"✓ OK","✗ ERROR: Revisa datos")</f>
        <v/>
      </c>
      <c r="S245" s="6">
        <f>IF(A245&lt;&gt;"",TODAY()-A245,"")</f>
        <v/>
      </c>
      <c r="T245" s="4">
        <f>IF(E245="USD",F245,IF(E245="CRC",F245/CONFIG!$B$5,""))</f>
        <v/>
      </c>
      <c r="U245" s="19">
        <f>IF(A245&lt;&gt;"",A245+30,"")</f>
        <v/>
      </c>
      <c r="V245">
        <f>IF(AND(C245="CxP",S245&gt;60),"Alta",IF(AND(C245="CxP",S245&gt;30),"Media",IF(C245="CxP","Baja","")))</f>
        <v/>
      </c>
      <c r="W245">
        <f>IF(AND(C245="CxC",S245&gt;90),"Alta",IF(AND(C245="CxC",S245&gt;60),"Media",IF(C245="CxC","Baja","")))</f>
        <v/>
      </c>
    </row>
    <row r="246">
      <c r="A246" s="19" t="n"/>
      <c r="F246" s="20" t="n"/>
      <c r="Q246" s="10">
        <f>IF(E246="USD",CONFIG!$B$5,1)</f>
        <v/>
      </c>
      <c r="R246">
        <f>IF(AND(A246&lt;&gt;"",ISNUMBER(A246),B246&lt;&gt;"",C246&lt;&gt;"",OR(E246="USD",E246="CRC"),F246&gt;0,ISNUMBER(Q246),Q246&gt;0),"✓ OK","✗ ERROR: Revisa datos")</f>
        <v/>
      </c>
      <c r="S246" s="6">
        <f>IF(A246&lt;&gt;"",TODAY()-A246,"")</f>
        <v/>
      </c>
      <c r="T246" s="4">
        <f>IF(E246="USD",F246,IF(E246="CRC",F246/CONFIG!$B$5,""))</f>
        <v/>
      </c>
      <c r="U246" s="19">
        <f>IF(A246&lt;&gt;"",A246+30,"")</f>
        <v/>
      </c>
      <c r="V246">
        <f>IF(AND(C246="CxP",S246&gt;60),"Alta",IF(AND(C246="CxP",S246&gt;30),"Media",IF(C246="CxP","Baja","")))</f>
        <v/>
      </c>
      <c r="W246">
        <f>IF(AND(C246="CxC",S246&gt;90),"Alta",IF(AND(C246="CxC",S246&gt;60),"Media",IF(C246="CxC","Baja","")))</f>
        <v/>
      </c>
    </row>
    <row r="247">
      <c r="A247" s="19" t="n"/>
      <c r="F247" s="20" t="n"/>
      <c r="Q247" s="10">
        <f>IF(E247="USD",CONFIG!$B$5,1)</f>
        <v/>
      </c>
      <c r="R247">
        <f>IF(AND(A247&lt;&gt;"",ISNUMBER(A247),B247&lt;&gt;"",C247&lt;&gt;"",OR(E247="USD",E247="CRC"),F247&gt;0,ISNUMBER(Q247),Q247&gt;0),"✓ OK","✗ ERROR: Revisa datos")</f>
        <v/>
      </c>
      <c r="S247" s="6">
        <f>IF(A247&lt;&gt;"",TODAY()-A247,"")</f>
        <v/>
      </c>
      <c r="T247" s="4">
        <f>IF(E247="USD",F247,IF(E247="CRC",F247/CONFIG!$B$5,""))</f>
        <v/>
      </c>
      <c r="U247" s="19">
        <f>IF(A247&lt;&gt;"",A247+30,"")</f>
        <v/>
      </c>
      <c r="V247">
        <f>IF(AND(C247="CxP",S247&gt;60),"Alta",IF(AND(C247="CxP",S247&gt;30),"Media",IF(C247="CxP","Baja","")))</f>
        <v/>
      </c>
      <c r="W247">
        <f>IF(AND(C247="CxC",S247&gt;90),"Alta",IF(AND(C247="CxC",S247&gt;60),"Media",IF(C247="CxC","Baja","")))</f>
        <v/>
      </c>
    </row>
    <row r="248">
      <c r="A248" s="19" t="n"/>
      <c r="F248" s="20" t="n"/>
      <c r="Q248" s="10">
        <f>IF(E248="USD",CONFIG!$B$5,1)</f>
        <v/>
      </c>
      <c r="R248">
        <f>IF(AND(A248&lt;&gt;"",ISNUMBER(A248),B248&lt;&gt;"",C248&lt;&gt;"",OR(E248="USD",E248="CRC"),F248&gt;0,ISNUMBER(Q248),Q248&gt;0),"✓ OK","✗ ERROR: Revisa datos")</f>
        <v/>
      </c>
      <c r="S248" s="6">
        <f>IF(A248&lt;&gt;"",TODAY()-A248,"")</f>
        <v/>
      </c>
      <c r="T248" s="4">
        <f>IF(E248="USD",F248,IF(E248="CRC",F248/CONFIG!$B$5,""))</f>
        <v/>
      </c>
      <c r="U248" s="19">
        <f>IF(A248&lt;&gt;"",A248+30,"")</f>
        <v/>
      </c>
      <c r="V248">
        <f>IF(AND(C248="CxP",S248&gt;60),"Alta",IF(AND(C248="CxP",S248&gt;30),"Media",IF(C248="CxP","Baja","")))</f>
        <v/>
      </c>
      <c r="W248">
        <f>IF(AND(C248="CxC",S248&gt;90),"Alta",IF(AND(C248="CxC",S248&gt;60),"Media",IF(C248="CxC","Baja","")))</f>
        <v/>
      </c>
    </row>
    <row r="249">
      <c r="A249" s="19" t="n"/>
      <c r="F249" s="20" t="n"/>
      <c r="Q249" s="10">
        <f>IF(E249="USD",CONFIG!$B$5,1)</f>
        <v/>
      </c>
      <c r="R249">
        <f>IF(AND(A249&lt;&gt;"",ISNUMBER(A249),B249&lt;&gt;"",C249&lt;&gt;"",OR(E249="USD",E249="CRC"),F249&gt;0,ISNUMBER(Q249),Q249&gt;0),"✓ OK","✗ ERROR: Revisa datos")</f>
        <v/>
      </c>
      <c r="S249" s="6">
        <f>IF(A249&lt;&gt;"",TODAY()-A249,"")</f>
        <v/>
      </c>
      <c r="T249" s="4">
        <f>IF(E249="USD",F249,IF(E249="CRC",F249/CONFIG!$B$5,""))</f>
        <v/>
      </c>
      <c r="U249" s="19">
        <f>IF(A249&lt;&gt;"",A249+30,"")</f>
        <v/>
      </c>
      <c r="V249">
        <f>IF(AND(C249="CxP",S249&gt;60),"Alta",IF(AND(C249="CxP",S249&gt;30),"Media",IF(C249="CxP","Baja","")))</f>
        <v/>
      </c>
      <c r="W249">
        <f>IF(AND(C249="CxC",S249&gt;90),"Alta",IF(AND(C249="CxC",S249&gt;60),"Media",IF(C249="CxC","Baja","")))</f>
        <v/>
      </c>
    </row>
    <row r="250">
      <c r="A250" s="19" t="n"/>
      <c r="F250" s="20" t="n"/>
      <c r="Q250" s="10">
        <f>IF(E250="USD",CONFIG!$B$5,1)</f>
        <v/>
      </c>
      <c r="R250">
        <f>IF(AND(A250&lt;&gt;"",ISNUMBER(A250),B250&lt;&gt;"",C250&lt;&gt;"",OR(E250="USD",E250="CRC"),F250&gt;0,ISNUMBER(Q250),Q250&gt;0),"✓ OK","✗ ERROR: Revisa datos")</f>
        <v/>
      </c>
      <c r="S250" s="6">
        <f>IF(A250&lt;&gt;"",TODAY()-A250,"")</f>
        <v/>
      </c>
      <c r="T250" s="4">
        <f>IF(E250="USD",F250,IF(E250="CRC",F250/CONFIG!$B$5,""))</f>
        <v/>
      </c>
      <c r="U250" s="19">
        <f>IF(A250&lt;&gt;"",A250+30,"")</f>
        <v/>
      </c>
      <c r="V250">
        <f>IF(AND(C250="CxP",S250&gt;60),"Alta",IF(AND(C250="CxP",S250&gt;30),"Media",IF(C250="CxP","Baja","")))</f>
        <v/>
      </c>
      <c r="W250">
        <f>IF(AND(C250="CxC",S250&gt;90),"Alta",IF(AND(C250="CxC",S250&gt;60),"Media",IF(C250="CxC","Baja","")))</f>
        <v/>
      </c>
    </row>
    <row r="251">
      <c r="A251" s="19" t="n"/>
      <c r="F251" s="20" t="n"/>
      <c r="Q251" s="10">
        <f>IF(E251="USD",CONFIG!$B$5,1)</f>
        <v/>
      </c>
      <c r="R251">
        <f>IF(AND(A251&lt;&gt;"",ISNUMBER(A251),B251&lt;&gt;"",C251&lt;&gt;"",OR(E251="USD",E251="CRC"),F251&gt;0,ISNUMBER(Q251),Q251&gt;0),"✓ OK","✗ ERROR: Revisa datos")</f>
        <v/>
      </c>
      <c r="S251" s="6">
        <f>IF(A251&lt;&gt;"",TODAY()-A251,"")</f>
        <v/>
      </c>
      <c r="T251" s="4">
        <f>IF(E251="USD",F251,IF(E251="CRC",F251/CONFIG!$B$5,""))</f>
        <v/>
      </c>
      <c r="U251" s="19">
        <f>IF(A251&lt;&gt;"",A251+30,"")</f>
        <v/>
      </c>
      <c r="V251">
        <f>IF(AND(C251="CxP",S251&gt;60),"Alta",IF(AND(C251="CxP",S251&gt;30),"Media",IF(C251="CxP","Baja","")))</f>
        <v/>
      </c>
      <c r="W251">
        <f>IF(AND(C251="CxC",S251&gt;90),"Alta",IF(AND(C251="CxC",S251&gt;60),"Media",IF(C251="CxC","Baja","")))</f>
        <v/>
      </c>
    </row>
    <row r="252">
      <c r="A252" s="19" t="n"/>
      <c r="F252" s="20" t="n"/>
      <c r="Q252" s="10">
        <f>IF(E252="USD",CONFIG!$B$5,1)</f>
        <v/>
      </c>
      <c r="R252">
        <f>IF(AND(A252&lt;&gt;"",ISNUMBER(A252),B252&lt;&gt;"",C252&lt;&gt;"",OR(E252="USD",E252="CRC"),F252&gt;0,ISNUMBER(Q252),Q252&gt;0),"✓ OK","✗ ERROR: Revisa datos")</f>
        <v/>
      </c>
      <c r="S252" s="6">
        <f>IF(A252&lt;&gt;"",TODAY()-A252,"")</f>
        <v/>
      </c>
      <c r="T252" s="4">
        <f>IF(E252="USD",F252,IF(E252="CRC",F252/CONFIG!$B$5,""))</f>
        <v/>
      </c>
      <c r="U252" s="19">
        <f>IF(A252&lt;&gt;"",A252+30,"")</f>
        <v/>
      </c>
      <c r="V252">
        <f>IF(AND(C252="CxP",S252&gt;60),"Alta",IF(AND(C252="CxP",S252&gt;30),"Media",IF(C252="CxP","Baja","")))</f>
        <v/>
      </c>
      <c r="W252">
        <f>IF(AND(C252="CxC",S252&gt;90),"Alta",IF(AND(C252="CxC",S252&gt;60),"Media",IF(C252="CxC","Baja","")))</f>
        <v/>
      </c>
    </row>
    <row r="253">
      <c r="A253" s="19" t="n"/>
      <c r="F253" s="20" t="n"/>
      <c r="Q253" s="10">
        <f>IF(E253="USD",CONFIG!$B$5,1)</f>
        <v/>
      </c>
      <c r="R253">
        <f>IF(AND(A253&lt;&gt;"",ISNUMBER(A253),B253&lt;&gt;"",C253&lt;&gt;"",OR(E253="USD",E253="CRC"),F253&gt;0,ISNUMBER(Q253),Q253&gt;0),"✓ OK","✗ ERROR: Revisa datos")</f>
        <v/>
      </c>
      <c r="S253" s="6">
        <f>IF(A253&lt;&gt;"",TODAY()-A253,"")</f>
        <v/>
      </c>
      <c r="T253" s="4">
        <f>IF(E253="USD",F253,IF(E253="CRC",F253/CONFIG!$B$5,""))</f>
        <v/>
      </c>
      <c r="U253" s="19">
        <f>IF(A253&lt;&gt;"",A253+30,"")</f>
        <v/>
      </c>
      <c r="V253">
        <f>IF(AND(C253="CxP",S253&gt;60),"Alta",IF(AND(C253="CxP",S253&gt;30),"Media",IF(C253="CxP","Baja","")))</f>
        <v/>
      </c>
      <c r="W253">
        <f>IF(AND(C253="CxC",S253&gt;90),"Alta",IF(AND(C253="CxC",S253&gt;60),"Media",IF(C253="CxC","Baja","")))</f>
        <v/>
      </c>
    </row>
    <row r="254">
      <c r="A254" s="19" t="n"/>
      <c r="F254" s="20" t="n"/>
      <c r="Q254" s="10">
        <f>IF(E254="USD",CONFIG!$B$5,1)</f>
        <v/>
      </c>
      <c r="R254">
        <f>IF(AND(A254&lt;&gt;"",ISNUMBER(A254),B254&lt;&gt;"",C254&lt;&gt;"",OR(E254="USD",E254="CRC"),F254&gt;0,ISNUMBER(Q254),Q254&gt;0),"✓ OK","✗ ERROR: Revisa datos")</f>
        <v/>
      </c>
      <c r="S254" s="6">
        <f>IF(A254&lt;&gt;"",TODAY()-A254,"")</f>
        <v/>
      </c>
      <c r="T254" s="4">
        <f>IF(E254="USD",F254,IF(E254="CRC",F254/CONFIG!$B$5,""))</f>
        <v/>
      </c>
      <c r="U254" s="19">
        <f>IF(A254&lt;&gt;"",A254+30,"")</f>
        <v/>
      </c>
      <c r="V254">
        <f>IF(AND(C254="CxP",S254&gt;60),"Alta",IF(AND(C254="CxP",S254&gt;30),"Media",IF(C254="CxP","Baja","")))</f>
        <v/>
      </c>
      <c r="W254">
        <f>IF(AND(C254="CxC",S254&gt;90),"Alta",IF(AND(C254="CxC",S254&gt;60),"Media",IF(C254="CxC","Baja","")))</f>
        <v/>
      </c>
    </row>
    <row r="255">
      <c r="A255" s="19" t="n"/>
      <c r="F255" s="20" t="n"/>
      <c r="Q255" s="10">
        <f>IF(E255="USD",CONFIG!$B$5,1)</f>
        <v/>
      </c>
      <c r="R255">
        <f>IF(AND(A255&lt;&gt;"",ISNUMBER(A255),B255&lt;&gt;"",C255&lt;&gt;"",OR(E255="USD",E255="CRC"),F255&gt;0,ISNUMBER(Q255),Q255&gt;0),"✓ OK","✗ ERROR: Revisa datos")</f>
        <v/>
      </c>
      <c r="S255" s="6">
        <f>IF(A255&lt;&gt;"",TODAY()-A255,"")</f>
        <v/>
      </c>
      <c r="T255" s="4">
        <f>IF(E255="USD",F255,IF(E255="CRC",F255/CONFIG!$B$5,""))</f>
        <v/>
      </c>
      <c r="U255" s="19">
        <f>IF(A255&lt;&gt;"",A255+30,"")</f>
        <v/>
      </c>
      <c r="V255">
        <f>IF(AND(C255="CxP",S255&gt;60),"Alta",IF(AND(C255="CxP",S255&gt;30),"Media",IF(C255="CxP","Baja","")))</f>
        <v/>
      </c>
      <c r="W255">
        <f>IF(AND(C255="CxC",S255&gt;90),"Alta",IF(AND(C255="CxC",S255&gt;60),"Media",IF(C255="CxC","Baja","")))</f>
        <v/>
      </c>
    </row>
    <row r="256">
      <c r="A256" s="19" t="n"/>
      <c r="F256" s="20" t="n"/>
      <c r="Q256" s="10">
        <f>IF(E256="USD",CONFIG!$B$5,1)</f>
        <v/>
      </c>
      <c r="R256">
        <f>IF(AND(A256&lt;&gt;"",ISNUMBER(A256),B256&lt;&gt;"",C256&lt;&gt;"",OR(E256="USD",E256="CRC"),F256&gt;0,ISNUMBER(Q256),Q256&gt;0),"✓ OK","✗ ERROR: Revisa datos")</f>
        <v/>
      </c>
      <c r="S256" s="6">
        <f>IF(A256&lt;&gt;"",TODAY()-A256,"")</f>
        <v/>
      </c>
      <c r="T256" s="4">
        <f>IF(E256="USD",F256,IF(E256="CRC",F256/CONFIG!$B$5,""))</f>
        <v/>
      </c>
      <c r="U256" s="19">
        <f>IF(A256&lt;&gt;"",A256+30,"")</f>
        <v/>
      </c>
      <c r="V256">
        <f>IF(AND(C256="CxP",S256&gt;60),"Alta",IF(AND(C256="CxP",S256&gt;30),"Media",IF(C256="CxP","Baja","")))</f>
        <v/>
      </c>
      <c r="W256">
        <f>IF(AND(C256="CxC",S256&gt;90),"Alta",IF(AND(C256="CxC",S256&gt;60),"Media",IF(C256="CxC","Baja","")))</f>
        <v/>
      </c>
    </row>
    <row r="257">
      <c r="A257" s="19" t="n"/>
      <c r="F257" s="20" t="n"/>
      <c r="Q257" s="10">
        <f>IF(E257="USD",CONFIG!$B$5,1)</f>
        <v/>
      </c>
      <c r="R257">
        <f>IF(AND(A257&lt;&gt;"",ISNUMBER(A257),B257&lt;&gt;"",C257&lt;&gt;"",OR(E257="USD",E257="CRC"),F257&gt;0,ISNUMBER(Q257),Q257&gt;0),"✓ OK","✗ ERROR: Revisa datos")</f>
        <v/>
      </c>
      <c r="S257" s="6">
        <f>IF(A257&lt;&gt;"",TODAY()-A257,"")</f>
        <v/>
      </c>
      <c r="T257" s="4">
        <f>IF(E257="USD",F257,IF(E257="CRC",F257/CONFIG!$B$5,""))</f>
        <v/>
      </c>
      <c r="U257" s="19">
        <f>IF(A257&lt;&gt;"",A257+30,"")</f>
        <v/>
      </c>
      <c r="V257">
        <f>IF(AND(C257="CxP",S257&gt;60),"Alta",IF(AND(C257="CxP",S257&gt;30),"Media",IF(C257="CxP","Baja","")))</f>
        <v/>
      </c>
      <c r="W257">
        <f>IF(AND(C257="CxC",S257&gt;90),"Alta",IF(AND(C257="CxC",S257&gt;60),"Media",IF(C257="CxC","Baja","")))</f>
        <v/>
      </c>
    </row>
    <row r="258">
      <c r="A258" s="19" t="n"/>
      <c r="F258" s="20" t="n"/>
      <c r="Q258" s="10">
        <f>IF(E258="USD",CONFIG!$B$5,1)</f>
        <v/>
      </c>
      <c r="R258">
        <f>IF(AND(A258&lt;&gt;"",ISNUMBER(A258),B258&lt;&gt;"",C258&lt;&gt;"",OR(E258="USD",E258="CRC"),F258&gt;0,ISNUMBER(Q258),Q258&gt;0),"✓ OK","✗ ERROR: Revisa datos")</f>
        <v/>
      </c>
      <c r="S258" s="6">
        <f>IF(A258&lt;&gt;"",TODAY()-A258,"")</f>
        <v/>
      </c>
      <c r="T258" s="4">
        <f>IF(E258="USD",F258,IF(E258="CRC",F258/CONFIG!$B$5,""))</f>
        <v/>
      </c>
      <c r="U258" s="19">
        <f>IF(A258&lt;&gt;"",A258+30,"")</f>
        <v/>
      </c>
      <c r="V258">
        <f>IF(AND(C258="CxP",S258&gt;60),"Alta",IF(AND(C258="CxP",S258&gt;30),"Media",IF(C258="CxP","Baja","")))</f>
        <v/>
      </c>
      <c r="W258">
        <f>IF(AND(C258="CxC",S258&gt;90),"Alta",IF(AND(C258="CxC",S258&gt;60),"Media",IF(C258="CxC","Baja","")))</f>
        <v/>
      </c>
    </row>
    <row r="259">
      <c r="A259" s="19" t="n"/>
      <c r="F259" s="20" t="n"/>
      <c r="Q259" s="10">
        <f>IF(E259="USD",CONFIG!$B$5,1)</f>
        <v/>
      </c>
      <c r="R259">
        <f>IF(AND(A259&lt;&gt;"",ISNUMBER(A259),B259&lt;&gt;"",C259&lt;&gt;"",OR(E259="USD",E259="CRC"),F259&gt;0,ISNUMBER(Q259),Q259&gt;0),"✓ OK","✗ ERROR: Revisa datos")</f>
        <v/>
      </c>
      <c r="S259" s="6">
        <f>IF(A259&lt;&gt;"",TODAY()-A259,"")</f>
        <v/>
      </c>
      <c r="T259" s="4">
        <f>IF(E259="USD",F259,IF(E259="CRC",F259/CONFIG!$B$5,""))</f>
        <v/>
      </c>
      <c r="U259" s="19">
        <f>IF(A259&lt;&gt;"",A259+30,"")</f>
        <v/>
      </c>
      <c r="V259">
        <f>IF(AND(C259="CxP",S259&gt;60),"Alta",IF(AND(C259="CxP",S259&gt;30),"Media",IF(C259="CxP","Baja","")))</f>
        <v/>
      </c>
      <c r="W259">
        <f>IF(AND(C259="CxC",S259&gt;90),"Alta",IF(AND(C259="CxC",S259&gt;60),"Media",IF(C259="CxC","Baja","")))</f>
        <v/>
      </c>
    </row>
    <row r="260">
      <c r="A260" s="19" t="n"/>
      <c r="F260" s="20" t="n"/>
      <c r="Q260" s="10">
        <f>IF(E260="USD",CONFIG!$B$5,1)</f>
        <v/>
      </c>
      <c r="R260">
        <f>IF(AND(A260&lt;&gt;"",ISNUMBER(A260),B260&lt;&gt;"",C260&lt;&gt;"",OR(E260="USD",E260="CRC"),F260&gt;0,ISNUMBER(Q260),Q260&gt;0),"✓ OK","✗ ERROR: Revisa datos")</f>
        <v/>
      </c>
      <c r="S260" s="6">
        <f>IF(A260&lt;&gt;"",TODAY()-A260,"")</f>
        <v/>
      </c>
      <c r="T260" s="4">
        <f>IF(E260="USD",F260,IF(E260="CRC",F260/CONFIG!$B$5,""))</f>
        <v/>
      </c>
      <c r="U260" s="19">
        <f>IF(A260&lt;&gt;"",A260+30,"")</f>
        <v/>
      </c>
      <c r="V260">
        <f>IF(AND(C260="CxP",S260&gt;60),"Alta",IF(AND(C260="CxP",S260&gt;30),"Media",IF(C260="CxP","Baja","")))</f>
        <v/>
      </c>
      <c r="W260">
        <f>IF(AND(C260="CxC",S260&gt;90),"Alta",IF(AND(C260="CxC",S260&gt;60),"Media",IF(C260="CxC","Baja","")))</f>
        <v/>
      </c>
    </row>
    <row r="261">
      <c r="A261" s="19" t="n"/>
      <c r="F261" s="20" t="n"/>
      <c r="Q261" s="10">
        <f>IF(E261="USD",CONFIG!$B$5,1)</f>
        <v/>
      </c>
      <c r="R261">
        <f>IF(AND(A261&lt;&gt;"",ISNUMBER(A261),B261&lt;&gt;"",C261&lt;&gt;"",OR(E261="USD",E261="CRC"),F261&gt;0,ISNUMBER(Q261),Q261&gt;0),"✓ OK","✗ ERROR: Revisa datos")</f>
        <v/>
      </c>
      <c r="S261" s="6">
        <f>IF(A261&lt;&gt;"",TODAY()-A261,"")</f>
        <v/>
      </c>
      <c r="T261" s="4">
        <f>IF(E261="USD",F261,IF(E261="CRC",F261/CONFIG!$B$5,""))</f>
        <v/>
      </c>
      <c r="U261" s="19">
        <f>IF(A261&lt;&gt;"",A261+30,"")</f>
        <v/>
      </c>
      <c r="V261">
        <f>IF(AND(C261="CxP",S261&gt;60),"Alta",IF(AND(C261="CxP",S261&gt;30),"Media",IF(C261="CxP","Baja","")))</f>
        <v/>
      </c>
      <c r="W261">
        <f>IF(AND(C261="CxC",S261&gt;90),"Alta",IF(AND(C261="CxC",S261&gt;60),"Media",IF(C261="CxC","Baja","")))</f>
        <v/>
      </c>
    </row>
    <row r="262">
      <c r="A262" s="19" t="n"/>
      <c r="F262" s="20" t="n"/>
      <c r="Q262" s="10">
        <f>IF(E262="USD",CONFIG!$B$5,1)</f>
        <v/>
      </c>
      <c r="R262">
        <f>IF(AND(A262&lt;&gt;"",ISNUMBER(A262),B262&lt;&gt;"",C262&lt;&gt;"",OR(E262="USD",E262="CRC"),F262&gt;0,ISNUMBER(Q262),Q262&gt;0),"✓ OK","✗ ERROR: Revisa datos")</f>
        <v/>
      </c>
      <c r="S262" s="6">
        <f>IF(A262&lt;&gt;"",TODAY()-A262,"")</f>
        <v/>
      </c>
      <c r="T262" s="4">
        <f>IF(E262="USD",F262,IF(E262="CRC",F262/CONFIG!$B$5,""))</f>
        <v/>
      </c>
      <c r="U262" s="19">
        <f>IF(A262&lt;&gt;"",A262+30,"")</f>
        <v/>
      </c>
      <c r="V262">
        <f>IF(AND(C262="CxP",S262&gt;60),"Alta",IF(AND(C262="CxP",S262&gt;30),"Media",IF(C262="CxP","Baja","")))</f>
        <v/>
      </c>
      <c r="W262">
        <f>IF(AND(C262="CxC",S262&gt;90),"Alta",IF(AND(C262="CxC",S262&gt;60),"Media",IF(C262="CxC","Baja","")))</f>
        <v/>
      </c>
    </row>
    <row r="263">
      <c r="A263" s="19" t="n"/>
      <c r="F263" s="20" t="n"/>
      <c r="Q263" s="10">
        <f>IF(E263="USD",CONFIG!$B$5,1)</f>
        <v/>
      </c>
      <c r="R263">
        <f>IF(AND(A263&lt;&gt;"",ISNUMBER(A263),B263&lt;&gt;"",C263&lt;&gt;"",OR(E263="USD",E263="CRC"),F263&gt;0,ISNUMBER(Q263),Q263&gt;0),"✓ OK","✗ ERROR: Revisa datos")</f>
        <v/>
      </c>
      <c r="S263" s="6">
        <f>IF(A263&lt;&gt;"",TODAY()-A263,"")</f>
        <v/>
      </c>
      <c r="T263" s="4">
        <f>IF(E263="USD",F263,IF(E263="CRC",F263/CONFIG!$B$5,""))</f>
        <v/>
      </c>
      <c r="U263" s="19">
        <f>IF(A263&lt;&gt;"",A263+30,"")</f>
        <v/>
      </c>
      <c r="V263">
        <f>IF(AND(C263="CxP",S263&gt;60),"Alta",IF(AND(C263="CxP",S263&gt;30),"Media",IF(C263="CxP","Baja","")))</f>
        <v/>
      </c>
      <c r="W263">
        <f>IF(AND(C263="CxC",S263&gt;90),"Alta",IF(AND(C263="CxC",S263&gt;60),"Media",IF(C263="CxC","Baja","")))</f>
        <v/>
      </c>
    </row>
    <row r="264">
      <c r="A264" s="19" t="n"/>
      <c r="F264" s="20" t="n"/>
      <c r="Q264" s="10">
        <f>IF(E264="USD",CONFIG!$B$5,1)</f>
        <v/>
      </c>
      <c r="R264">
        <f>IF(AND(A264&lt;&gt;"",ISNUMBER(A264),B264&lt;&gt;"",C264&lt;&gt;"",OR(E264="USD",E264="CRC"),F264&gt;0,ISNUMBER(Q264),Q264&gt;0),"✓ OK","✗ ERROR: Revisa datos")</f>
        <v/>
      </c>
      <c r="S264" s="6">
        <f>IF(A264&lt;&gt;"",TODAY()-A264,"")</f>
        <v/>
      </c>
      <c r="T264" s="4">
        <f>IF(E264="USD",F264,IF(E264="CRC",F264/CONFIG!$B$5,""))</f>
        <v/>
      </c>
      <c r="U264" s="19">
        <f>IF(A264&lt;&gt;"",A264+30,"")</f>
        <v/>
      </c>
      <c r="V264">
        <f>IF(AND(C264="CxP",S264&gt;60),"Alta",IF(AND(C264="CxP",S264&gt;30),"Media",IF(C264="CxP","Baja","")))</f>
        <v/>
      </c>
      <c r="W264">
        <f>IF(AND(C264="CxC",S264&gt;90),"Alta",IF(AND(C264="CxC",S264&gt;60),"Media",IF(C264="CxC","Baja","")))</f>
        <v/>
      </c>
    </row>
    <row r="265">
      <c r="A265" s="19" t="n"/>
      <c r="F265" s="20" t="n"/>
      <c r="Q265" s="10">
        <f>IF(E265="USD",CONFIG!$B$5,1)</f>
        <v/>
      </c>
      <c r="R265">
        <f>IF(AND(A265&lt;&gt;"",ISNUMBER(A265),B265&lt;&gt;"",C265&lt;&gt;"",OR(E265="USD",E265="CRC"),F265&gt;0,ISNUMBER(Q265),Q265&gt;0),"✓ OK","✗ ERROR: Revisa datos")</f>
        <v/>
      </c>
      <c r="S265" s="6">
        <f>IF(A265&lt;&gt;"",TODAY()-A265,"")</f>
        <v/>
      </c>
      <c r="T265" s="4">
        <f>IF(E265="USD",F265,IF(E265="CRC",F265/CONFIG!$B$5,""))</f>
        <v/>
      </c>
      <c r="U265" s="19">
        <f>IF(A265&lt;&gt;"",A265+30,"")</f>
        <v/>
      </c>
      <c r="V265">
        <f>IF(AND(C265="CxP",S265&gt;60),"Alta",IF(AND(C265="CxP",S265&gt;30),"Media",IF(C265="CxP","Baja","")))</f>
        <v/>
      </c>
      <c r="W265">
        <f>IF(AND(C265="CxC",S265&gt;90),"Alta",IF(AND(C265="CxC",S265&gt;60),"Media",IF(C265="CxC","Baja","")))</f>
        <v/>
      </c>
    </row>
    <row r="266">
      <c r="A266" s="19" t="n"/>
      <c r="F266" s="20" t="n"/>
      <c r="Q266" s="10">
        <f>IF(E266="USD",CONFIG!$B$5,1)</f>
        <v/>
      </c>
      <c r="R266">
        <f>IF(AND(A266&lt;&gt;"",ISNUMBER(A266),B266&lt;&gt;"",C266&lt;&gt;"",OR(E266="USD",E266="CRC"),F266&gt;0,ISNUMBER(Q266),Q266&gt;0),"✓ OK","✗ ERROR: Revisa datos")</f>
        <v/>
      </c>
      <c r="S266" s="6">
        <f>IF(A266&lt;&gt;"",TODAY()-A266,"")</f>
        <v/>
      </c>
      <c r="T266" s="4">
        <f>IF(E266="USD",F266,IF(E266="CRC",F266/CONFIG!$B$5,""))</f>
        <v/>
      </c>
      <c r="U266" s="19">
        <f>IF(A266&lt;&gt;"",A266+30,"")</f>
        <v/>
      </c>
      <c r="V266">
        <f>IF(AND(C266="CxP",S266&gt;60),"Alta",IF(AND(C266="CxP",S266&gt;30),"Media",IF(C266="CxP","Baja","")))</f>
        <v/>
      </c>
      <c r="W266">
        <f>IF(AND(C266="CxC",S266&gt;90),"Alta",IF(AND(C266="CxC",S266&gt;60),"Media",IF(C266="CxC","Baja","")))</f>
        <v/>
      </c>
    </row>
    <row r="267">
      <c r="A267" s="19" t="n"/>
      <c r="F267" s="20" t="n"/>
      <c r="Q267" s="10">
        <f>IF(E267="USD",CONFIG!$B$5,1)</f>
        <v/>
      </c>
      <c r="R267">
        <f>IF(AND(A267&lt;&gt;"",ISNUMBER(A267),B267&lt;&gt;"",C267&lt;&gt;"",OR(E267="USD",E267="CRC"),F267&gt;0,ISNUMBER(Q267),Q267&gt;0),"✓ OK","✗ ERROR: Revisa datos")</f>
        <v/>
      </c>
      <c r="S267" s="6">
        <f>IF(A267&lt;&gt;"",TODAY()-A267,"")</f>
        <v/>
      </c>
      <c r="T267" s="4">
        <f>IF(E267="USD",F267,IF(E267="CRC",F267/CONFIG!$B$5,""))</f>
        <v/>
      </c>
      <c r="U267" s="19">
        <f>IF(A267&lt;&gt;"",A267+30,"")</f>
        <v/>
      </c>
      <c r="V267">
        <f>IF(AND(C267="CxP",S267&gt;60),"Alta",IF(AND(C267="CxP",S267&gt;30),"Media",IF(C267="CxP","Baja","")))</f>
        <v/>
      </c>
      <c r="W267">
        <f>IF(AND(C267="CxC",S267&gt;90),"Alta",IF(AND(C267="CxC",S267&gt;60),"Media",IF(C267="CxC","Baja","")))</f>
        <v/>
      </c>
    </row>
    <row r="268">
      <c r="A268" s="19" t="n"/>
      <c r="F268" s="20" t="n"/>
      <c r="Q268" s="10">
        <f>IF(E268="USD",CONFIG!$B$5,1)</f>
        <v/>
      </c>
      <c r="R268">
        <f>IF(AND(A268&lt;&gt;"",ISNUMBER(A268),B268&lt;&gt;"",C268&lt;&gt;"",OR(E268="USD",E268="CRC"),F268&gt;0,ISNUMBER(Q268),Q268&gt;0),"✓ OK","✗ ERROR: Revisa datos")</f>
        <v/>
      </c>
      <c r="S268" s="6">
        <f>IF(A268&lt;&gt;"",TODAY()-A268,"")</f>
        <v/>
      </c>
      <c r="T268" s="4">
        <f>IF(E268="USD",F268,IF(E268="CRC",F268/CONFIG!$B$5,""))</f>
        <v/>
      </c>
      <c r="U268" s="19">
        <f>IF(A268&lt;&gt;"",A268+30,"")</f>
        <v/>
      </c>
      <c r="V268">
        <f>IF(AND(C268="CxP",S268&gt;60),"Alta",IF(AND(C268="CxP",S268&gt;30),"Media",IF(C268="CxP","Baja","")))</f>
        <v/>
      </c>
      <c r="W268">
        <f>IF(AND(C268="CxC",S268&gt;90),"Alta",IF(AND(C268="CxC",S268&gt;60),"Media",IF(C268="CxC","Baja","")))</f>
        <v/>
      </c>
    </row>
    <row r="269">
      <c r="A269" s="19" t="n"/>
      <c r="F269" s="20" t="n"/>
      <c r="Q269" s="10">
        <f>IF(E269="USD",CONFIG!$B$5,1)</f>
        <v/>
      </c>
      <c r="R269">
        <f>IF(AND(A269&lt;&gt;"",ISNUMBER(A269),B269&lt;&gt;"",C269&lt;&gt;"",OR(E269="USD",E269="CRC"),F269&gt;0,ISNUMBER(Q269),Q269&gt;0),"✓ OK","✗ ERROR: Revisa datos")</f>
        <v/>
      </c>
      <c r="S269" s="6">
        <f>IF(A269&lt;&gt;"",TODAY()-A269,"")</f>
        <v/>
      </c>
      <c r="T269" s="4">
        <f>IF(E269="USD",F269,IF(E269="CRC",F269/CONFIG!$B$5,""))</f>
        <v/>
      </c>
      <c r="U269" s="19">
        <f>IF(A269&lt;&gt;"",A269+30,"")</f>
        <v/>
      </c>
      <c r="V269">
        <f>IF(AND(C269="CxP",S269&gt;60),"Alta",IF(AND(C269="CxP",S269&gt;30),"Media",IF(C269="CxP","Baja","")))</f>
        <v/>
      </c>
      <c r="W269">
        <f>IF(AND(C269="CxC",S269&gt;90),"Alta",IF(AND(C269="CxC",S269&gt;60),"Media",IF(C269="CxC","Baja","")))</f>
        <v/>
      </c>
    </row>
    <row r="270">
      <c r="A270" s="19" t="n"/>
      <c r="F270" s="20" t="n"/>
      <c r="Q270" s="10">
        <f>IF(E270="USD",CONFIG!$B$5,1)</f>
        <v/>
      </c>
      <c r="R270">
        <f>IF(AND(A270&lt;&gt;"",ISNUMBER(A270),B270&lt;&gt;"",C270&lt;&gt;"",OR(E270="USD",E270="CRC"),F270&gt;0,ISNUMBER(Q270),Q270&gt;0),"✓ OK","✗ ERROR: Revisa datos")</f>
        <v/>
      </c>
      <c r="S270" s="6">
        <f>IF(A270&lt;&gt;"",TODAY()-A270,"")</f>
        <v/>
      </c>
      <c r="T270" s="4">
        <f>IF(E270="USD",F270,IF(E270="CRC",F270/CONFIG!$B$5,""))</f>
        <v/>
      </c>
      <c r="U270" s="19">
        <f>IF(A270&lt;&gt;"",A270+30,"")</f>
        <v/>
      </c>
      <c r="V270">
        <f>IF(AND(C270="CxP",S270&gt;60),"Alta",IF(AND(C270="CxP",S270&gt;30),"Media",IF(C270="CxP","Baja","")))</f>
        <v/>
      </c>
      <c r="W270">
        <f>IF(AND(C270="CxC",S270&gt;90),"Alta",IF(AND(C270="CxC",S270&gt;60),"Media",IF(C270="CxC","Baja","")))</f>
        <v/>
      </c>
    </row>
    <row r="271">
      <c r="A271" s="19" t="n"/>
      <c r="F271" s="20" t="n"/>
      <c r="Q271" s="10">
        <f>IF(E271="USD",CONFIG!$B$5,1)</f>
        <v/>
      </c>
      <c r="R271">
        <f>IF(AND(A271&lt;&gt;"",ISNUMBER(A271),B271&lt;&gt;"",C271&lt;&gt;"",OR(E271="USD",E271="CRC"),F271&gt;0,ISNUMBER(Q271),Q271&gt;0),"✓ OK","✗ ERROR: Revisa datos")</f>
        <v/>
      </c>
      <c r="S271" s="6">
        <f>IF(A271&lt;&gt;"",TODAY()-A271,"")</f>
        <v/>
      </c>
      <c r="T271" s="4">
        <f>IF(E271="USD",F271,IF(E271="CRC",F271/CONFIG!$B$5,""))</f>
        <v/>
      </c>
      <c r="U271" s="19">
        <f>IF(A271&lt;&gt;"",A271+30,"")</f>
        <v/>
      </c>
      <c r="V271">
        <f>IF(AND(C271="CxP",S271&gt;60),"Alta",IF(AND(C271="CxP",S271&gt;30),"Media",IF(C271="CxP","Baja","")))</f>
        <v/>
      </c>
      <c r="W271">
        <f>IF(AND(C271="CxC",S271&gt;90),"Alta",IF(AND(C271="CxC",S271&gt;60),"Media",IF(C271="CxC","Baja","")))</f>
        <v/>
      </c>
    </row>
    <row r="272">
      <c r="A272" s="19" t="n"/>
      <c r="F272" s="20" t="n"/>
      <c r="Q272" s="10">
        <f>IF(E272="USD",CONFIG!$B$5,1)</f>
        <v/>
      </c>
      <c r="R272">
        <f>IF(AND(A272&lt;&gt;"",ISNUMBER(A272),B272&lt;&gt;"",C272&lt;&gt;"",OR(E272="USD",E272="CRC"),F272&gt;0,ISNUMBER(Q272),Q272&gt;0),"✓ OK","✗ ERROR: Revisa datos")</f>
        <v/>
      </c>
      <c r="S272" s="6">
        <f>IF(A272&lt;&gt;"",TODAY()-A272,"")</f>
        <v/>
      </c>
      <c r="T272" s="4">
        <f>IF(E272="USD",F272,IF(E272="CRC",F272/CONFIG!$B$5,""))</f>
        <v/>
      </c>
      <c r="U272" s="19">
        <f>IF(A272&lt;&gt;"",A272+30,"")</f>
        <v/>
      </c>
      <c r="V272">
        <f>IF(AND(C272="CxP",S272&gt;60),"Alta",IF(AND(C272="CxP",S272&gt;30),"Media",IF(C272="CxP","Baja","")))</f>
        <v/>
      </c>
      <c r="W272">
        <f>IF(AND(C272="CxC",S272&gt;90),"Alta",IF(AND(C272="CxC",S272&gt;60),"Media",IF(C272="CxC","Baja","")))</f>
        <v/>
      </c>
    </row>
    <row r="273">
      <c r="A273" s="19" t="n"/>
      <c r="F273" s="20" t="n"/>
      <c r="Q273" s="10">
        <f>IF(E273="USD",CONFIG!$B$5,1)</f>
        <v/>
      </c>
      <c r="R273">
        <f>IF(AND(A273&lt;&gt;"",ISNUMBER(A273),B273&lt;&gt;"",C273&lt;&gt;"",OR(E273="USD",E273="CRC"),F273&gt;0,ISNUMBER(Q273),Q273&gt;0),"✓ OK","✗ ERROR: Revisa datos")</f>
        <v/>
      </c>
      <c r="S273" s="6">
        <f>IF(A273&lt;&gt;"",TODAY()-A273,"")</f>
        <v/>
      </c>
      <c r="T273" s="4">
        <f>IF(E273="USD",F273,IF(E273="CRC",F273/CONFIG!$B$5,""))</f>
        <v/>
      </c>
      <c r="U273" s="19">
        <f>IF(A273&lt;&gt;"",A273+30,"")</f>
        <v/>
      </c>
      <c r="V273">
        <f>IF(AND(C273="CxP",S273&gt;60),"Alta",IF(AND(C273="CxP",S273&gt;30),"Media",IF(C273="CxP","Baja","")))</f>
        <v/>
      </c>
      <c r="W273">
        <f>IF(AND(C273="CxC",S273&gt;90),"Alta",IF(AND(C273="CxC",S273&gt;60),"Media",IF(C273="CxC","Baja","")))</f>
        <v/>
      </c>
    </row>
    <row r="274">
      <c r="A274" s="19" t="n"/>
      <c r="F274" s="20" t="n"/>
      <c r="Q274" s="10">
        <f>IF(E274="USD",CONFIG!$B$5,1)</f>
        <v/>
      </c>
      <c r="R274">
        <f>IF(AND(A274&lt;&gt;"",ISNUMBER(A274),B274&lt;&gt;"",C274&lt;&gt;"",OR(E274="USD",E274="CRC"),F274&gt;0,ISNUMBER(Q274),Q274&gt;0),"✓ OK","✗ ERROR: Revisa datos")</f>
        <v/>
      </c>
      <c r="S274" s="6">
        <f>IF(A274&lt;&gt;"",TODAY()-A274,"")</f>
        <v/>
      </c>
      <c r="T274" s="4">
        <f>IF(E274="USD",F274,IF(E274="CRC",F274/CONFIG!$B$5,""))</f>
        <v/>
      </c>
      <c r="U274" s="19">
        <f>IF(A274&lt;&gt;"",A274+30,"")</f>
        <v/>
      </c>
      <c r="V274">
        <f>IF(AND(C274="CxP",S274&gt;60),"Alta",IF(AND(C274="CxP",S274&gt;30),"Media",IF(C274="CxP","Baja","")))</f>
        <v/>
      </c>
      <c r="W274">
        <f>IF(AND(C274="CxC",S274&gt;90),"Alta",IF(AND(C274="CxC",S274&gt;60),"Media",IF(C274="CxC","Baja","")))</f>
        <v/>
      </c>
    </row>
    <row r="275">
      <c r="A275" s="19" t="n"/>
      <c r="F275" s="20" t="n"/>
      <c r="Q275" s="10">
        <f>IF(E275="USD",CONFIG!$B$5,1)</f>
        <v/>
      </c>
      <c r="R275">
        <f>IF(AND(A275&lt;&gt;"",ISNUMBER(A275),B275&lt;&gt;"",C275&lt;&gt;"",OR(E275="USD",E275="CRC"),F275&gt;0,ISNUMBER(Q275),Q275&gt;0),"✓ OK","✗ ERROR: Revisa datos")</f>
        <v/>
      </c>
      <c r="S275" s="6">
        <f>IF(A275&lt;&gt;"",TODAY()-A275,"")</f>
        <v/>
      </c>
      <c r="T275" s="4">
        <f>IF(E275="USD",F275,IF(E275="CRC",F275/CONFIG!$B$5,""))</f>
        <v/>
      </c>
      <c r="U275" s="19">
        <f>IF(A275&lt;&gt;"",A275+30,"")</f>
        <v/>
      </c>
      <c r="V275">
        <f>IF(AND(C275="CxP",S275&gt;60),"Alta",IF(AND(C275="CxP",S275&gt;30),"Media",IF(C275="CxP","Baja","")))</f>
        <v/>
      </c>
      <c r="W275">
        <f>IF(AND(C275="CxC",S275&gt;90),"Alta",IF(AND(C275="CxC",S275&gt;60),"Media",IF(C275="CxC","Baja","")))</f>
        <v/>
      </c>
    </row>
    <row r="276">
      <c r="A276" s="19" t="n"/>
      <c r="F276" s="20" t="n"/>
      <c r="Q276" s="10">
        <f>IF(E276="USD",CONFIG!$B$5,1)</f>
        <v/>
      </c>
      <c r="R276">
        <f>IF(AND(A276&lt;&gt;"",ISNUMBER(A276),B276&lt;&gt;"",C276&lt;&gt;"",OR(E276="USD",E276="CRC"),F276&gt;0,ISNUMBER(Q276),Q276&gt;0),"✓ OK","✗ ERROR: Revisa datos")</f>
        <v/>
      </c>
      <c r="S276" s="6">
        <f>IF(A276&lt;&gt;"",TODAY()-A276,"")</f>
        <v/>
      </c>
      <c r="T276" s="4">
        <f>IF(E276="USD",F276,IF(E276="CRC",F276/CONFIG!$B$5,""))</f>
        <v/>
      </c>
      <c r="U276" s="19">
        <f>IF(A276&lt;&gt;"",A276+30,"")</f>
        <v/>
      </c>
      <c r="V276">
        <f>IF(AND(C276="CxP",S276&gt;60),"Alta",IF(AND(C276="CxP",S276&gt;30),"Media",IF(C276="CxP","Baja","")))</f>
        <v/>
      </c>
      <c r="W276">
        <f>IF(AND(C276="CxC",S276&gt;90),"Alta",IF(AND(C276="CxC",S276&gt;60),"Media",IF(C276="CxC","Baja","")))</f>
        <v/>
      </c>
    </row>
    <row r="277">
      <c r="A277" s="19" t="n"/>
      <c r="F277" s="20" t="n"/>
      <c r="Q277" s="10">
        <f>IF(E277="USD",CONFIG!$B$5,1)</f>
        <v/>
      </c>
      <c r="R277">
        <f>IF(AND(A277&lt;&gt;"",ISNUMBER(A277),B277&lt;&gt;"",C277&lt;&gt;"",OR(E277="USD",E277="CRC"),F277&gt;0,ISNUMBER(Q277),Q277&gt;0),"✓ OK","✗ ERROR: Revisa datos")</f>
        <v/>
      </c>
      <c r="S277" s="6">
        <f>IF(A277&lt;&gt;"",TODAY()-A277,"")</f>
        <v/>
      </c>
      <c r="T277" s="4">
        <f>IF(E277="USD",F277,IF(E277="CRC",F277/CONFIG!$B$5,""))</f>
        <v/>
      </c>
      <c r="U277" s="19">
        <f>IF(A277&lt;&gt;"",A277+30,"")</f>
        <v/>
      </c>
      <c r="V277">
        <f>IF(AND(C277="CxP",S277&gt;60),"Alta",IF(AND(C277="CxP",S277&gt;30),"Media",IF(C277="CxP","Baja","")))</f>
        <v/>
      </c>
      <c r="W277">
        <f>IF(AND(C277="CxC",S277&gt;90),"Alta",IF(AND(C277="CxC",S277&gt;60),"Media",IF(C277="CxC","Baja","")))</f>
        <v/>
      </c>
    </row>
    <row r="278">
      <c r="A278" s="19" t="n"/>
      <c r="F278" s="20" t="n"/>
      <c r="Q278" s="10">
        <f>IF(E278="USD",CONFIG!$B$5,1)</f>
        <v/>
      </c>
      <c r="R278">
        <f>IF(AND(A278&lt;&gt;"",ISNUMBER(A278),B278&lt;&gt;"",C278&lt;&gt;"",OR(E278="USD",E278="CRC"),F278&gt;0,ISNUMBER(Q278),Q278&gt;0),"✓ OK","✗ ERROR: Revisa datos")</f>
        <v/>
      </c>
      <c r="S278" s="6">
        <f>IF(A278&lt;&gt;"",TODAY()-A278,"")</f>
        <v/>
      </c>
      <c r="T278" s="4">
        <f>IF(E278="USD",F278,IF(E278="CRC",F278/CONFIG!$B$5,""))</f>
        <v/>
      </c>
      <c r="U278" s="19">
        <f>IF(A278&lt;&gt;"",A278+30,"")</f>
        <v/>
      </c>
      <c r="V278">
        <f>IF(AND(C278="CxP",S278&gt;60),"Alta",IF(AND(C278="CxP",S278&gt;30),"Media",IF(C278="CxP","Baja","")))</f>
        <v/>
      </c>
      <c r="W278">
        <f>IF(AND(C278="CxC",S278&gt;90),"Alta",IF(AND(C278="CxC",S278&gt;60),"Media",IF(C278="CxC","Baja","")))</f>
        <v/>
      </c>
    </row>
    <row r="279">
      <c r="A279" s="19" t="n"/>
      <c r="F279" s="20" t="n"/>
      <c r="Q279" s="10">
        <f>IF(E279="USD",CONFIG!$B$5,1)</f>
        <v/>
      </c>
      <c r="R279">
        <f>IF(AND(A279&lt;&gt;"",ISNUMBER(A279),B279&lt;&gt;"",C279&lt;&gt;"",OR(E279="USD",E279="CRC"),F279&gt;0,ISNUMBER(Q279),Q279&gt;0),"✓ OK","✗ ERROR: Revisa datos")</f>
        <v/>
      </c>
      <c r="S279" s="6">
        <f>IF(A279&lt;&gt;"",TODAY()-A279,"")</f>
        <v/>
      </c>
      <c r="T279" s="4">
        <f>IF(E279="USD",F279,IF(E279="CRC",F279/CONFIG!$B$5,""))</f>
        <v/>
      </c>
      <c r="U279" s="19">
        <f>IF(A279&lt;&gt;"",A279+30,"")</f>
        <v/>
      </c>
      <c r="V279">
        <f>IF(AND(C279="CxP",S279&gt;60),"Alta",IF(AND(C279="CxP",S279&gt;30),"Media",IF(C279="CxP","Baja","")))</f>
        <v/>
      </c>
      <c r="W279">
        <f>IF(AND(C279="CxC",S279&gt;90),"Alta",IF(AND(C279="CxC",S279&gt;60),"Media",IF(C279="CxC","Baja","")))</f>
        <v/>
      </c>
    </row>
    <row r="280">
      <c r="A280" s="19" t="n"/>
      <c r="F280" s="20" t="n"/>
      <c r="Q280" s="10">
        <f>IF(E280="USD",CONFIG!$B$5,1)</f>
        <v/>
      </c>
      <c r="R280">
        <f>IF(AND(A280&lt;&gt;"",ISNUMBER(A280),B280&lt;&gt;"",C280&lt;&gt;"",OR(E280="USD",E280="CRC"),F280&gt;0,ISNUMBER(Q280),Q280&gt;0),"✓ OK","✗ ERROR: Revisa datos")</f>
        <v/>
      </c>
      <c r="S280" s="6">
        <f>IF(A280&lt;&gt;"",TODAY()-A280,"")</f>
        <v/>
      </c>
      <c r="T280" s="4">
        <f>IF(E280="USD",F280,IF(E280="CRC",F280/CONFIG!$B$5,""))</f>
        <v/>
      </c>
      <c r="U280" s="19">
        <f>IF(A280&lt;&gt;"",A280+30,"")</f>
        <v/>
      </c>
      <c r="V280">
        <f>IF(AND(C280="CxP",S280&gt;60),"Alta",IF(AND(C280="CxP",S280&gt;30),"Media",IF(C280="CxP","Baja","")))</f>
        <v/>
      </c>
      <c r="W280">
        <f>IF(AND(C280="CxC",S280&gt;90),"Alta",IF(AND(C280="CxC",S280&gt;60),"Media",IF(C280="CxC","Baja","")))</f>
        <v/>
      </c>
    </row>
    <row r="281">
      <c r="A281" s="19" t="n"/>
      <c r="F281" s="20" t="n"/>
      <c r="Q281" s="10">
        <f>IF(E281="USD",CONFIG!$B$5,1)</f>
        <v/>
      </c>
      <c r="R281">
        <f>IF(AND(A281&lt;&gt;"",ISNUMBER(A281),B281&lt;&gt;"",C281&lt;&gt;"",OR(E281="USD",E281="CRC"),F281&gt;0,ISNUMBER(Q281),Q281&gt;0),"✓ OK","✗ ERROR: Revisa datos")</f>
        <v/>
      </c>
      <c r="S281" s="6">
        <f>IF(A281&lt;&gt;"",TODAY()-A281,"")</f>
        <v/>
      </c>
      <c r="T281" s="4">
        <f>IF(E281="USD",F281,IF(E281="CRC",F281/CONFIG!$B$5,""))</f>
        <v/>
      </c>
      <c r="U281" s="19">
        <f>IF(A281&lt;&gt;"",A281+30,"")</f>
        <v/>
      </c>
      <c r="V281">
        <f>IF(AND(C281="CxP",S281&gt;60),"Alta",IF(AND(C281="CxP",S281&gt;30),"Media",IF(C281="CxP","Baja","")))</f>
        <v/>
      </c>
      <c r="W281">
        <f>IF(AND(C281="CxC",S281&gt;90),"Alta",IF(AND(C281="CxC",S281&gt;60),"Media",IF(C281="CxC","Baja","")))</f>
        <v/>
      </c>
    </row>
    <row r="282">
      <c r="A282" s="19" t="n"/>
      <c r="F282" s="20" t="n"/>
      <c r="Q282" s="10">
        <f>IF(E282="USD",CONFIG!$B$5,1)</f>
        <v/>
      </c>
      <c r="R282">
        <f>IF(AND(A282&lt;&gt;"",ISNUMBER(A282),B282&lt;&gt;"",C282&lt;&gt;"",OR(E282="USD",E282="CRC"),F282&gt;0,ISNUMBER(Q282),Q282&gt;0),"✓ OK","✗ ERROR: Revisa datos")</f>
        <v/>
      </c>
      <c r="S282" s="6">
        <f>IF(A282&lt;&gt;"",TODAY()-A282,"")</f>
        <v/>
      </c>
      <c r="T282" s="4">
        <f>IF(E282="USD",F282,IF(E282="CRC",F282/CONFIG!$B$5,""))</f>
        <v/>
      </c>
      <c r="U282" s="19">
        <f>IF(A282&lt;&gt;"",A282+30,"")</f>
        <v/>
      </c>
      <c r="V282">
        <f>IF(AND(C282="CxP",S282&gt;60),"Alta",IF(AND(C282="CxP",S282&gt;30),"Media",IF(C282="CxP","Baja","")))</f>
        <v/>
      </c>
      <c r="W282">
        <f>IF(AND(C282="CxC",S282&gt;90),"Alta",IF(AND(C282="CxC",S282&gt;60),"Media",IF(C282="CxC","Baja","")))</f>
        <v/>
      </c>
    </row>
    <row r="283">
      <c r="A283" s="19" t="n"/>
      <c r="F283" s="20" t="n"/>
      <c r="Q283" s="10">
        <f>IF(E283="USD",CONFIG!$B$5,1)</f>
        <v/>
      </c>
      <c r="R283">
        <f>IF(AND(A283&lt;&gt;"",ISNUMBER(A283),B283&lt;&gt;"",C283&lt;&gt;"",OR(E283="USD",E283="CRC"),F283&gt;0,ISNUMBER(Q283),Q283&gt;0),"✓ OK","✗ ERROR: Revisa datos")</f>
        <v/>
      </c>
      <c r="S283" s="6">
        <f>IF(A283&lt;&gt;"",TODAY()-A283,"")</f>
        <v/>
      </c>
      <c r="T283" s="4">
        <f>IF(E283="USD",F283,IF(E283="CRC",F283/CONFIG!$B$5,""))</f>
        <v/>
      </c>
      <c r="U283" s="19">
        <f>IF(A283&lt;&gt;"",A283+30,"")</f>
        <v/>
      </c>
      <c r="V283">
        <f>IF(AND(C283="CxP",S283&gt;60),"Alta",IF(AND(C283="CxP",S283&gt;30),"Media",IF(C283="CxP","Baja","")))</f>
        <v/>
      </c>
      <c r="W283">
        <f>IF(AND(C283="CxC",S283&gt;90),"Alta",IF(AND(C283="CxC",S283&gt;60),"Media",IF(C283="CxC","Baja","")))</f>
        <v/>
      </c>
    </row>
    <row r="284">
      <c r="A284" s="19" t="n"/>
      <c r="F284" s="20" t="n"/>
      <c r="Q284" s="10">
        <f>IF(E284="USD",CONFIG!$B$5,1)</f>
        <v/>
      </c>
      <c r="R284">
        <f>IF(AND(A284&lt;&gt;"",ISNUMBER(A284),B284&lt;&gt;"",C284&lt;&gt;"",OR(E284="USD",E284="CRC"),F284&gt;0,ISNUMBER(Q284),Q284&gt;0),"✓ OK","✗ ERROR: Revisa datos")</f>
        <v/>
      </c>
      <c r="S284" s="6">
        <f>IF(A284&lt;&gt;"",TODAY()-A284,"")</f>
        <v/>
      </c>
      <c r="T284" s="4">
        <f>IF(E284="USD",F284,IF(E284="CRC",F284/CONFIG!$B$5,""))</f>
        <v/>
      </c>
      <c r="U284" s="19">
        <f>IF(A284&lt;&gt;"",A284+30,"")</f>
        <v/>
      </c>
      <c r="V284">
        <f>IF(AND(C284="CxP",S284&gt;60),"Alta",IF(AND(C284="CxP",S284&gt;30),"Media",IF(C284="CxP","Baja","")))</f>
        <v/>
      </c>
      <c r="W284">
        <f>IF(AND(C284="CxC",S284&gt;90),"Alta",IF(AND(C284="CxC",S284&gt;60),"Media",IF(C284="CxC","Baja","")))</f>
        <v/>
      </c>
    </row>
    <row r="285">
      <c r="A285" s="19" t="n"/>
      <c r="F285" s="20" t="n"/>
      <c r="Q285" s="10">
        <f>IF(E285="USD",CONFIG!$B$5,1)</f>
        <v/>
      </c>
      <c r="R285">
        <f>IF(AND(A285&lt;&gt;"",ISNUMBER(A285),B285&lt;&gt;"",C285&lt;&gt;"",OR(E285="USD",E285="CRC"),F285&gt;0,ISNUMBER(Q285),Q285&gt;0),"✓ OK","✗ ERROR: Revisa datos")</f>
        <v/>
      </c>
      <c r="S285" s="6">
        <f>IF(A285&lt;&gt;"",TODAY()-A285,"")</f>
        <v/>
      </c>
      <c r="T285" s="4">
        <f>IF(E285="USD",F285,IF(E285="CRC",F285/CONFIG!$B$5,""))</f>
        <v/>
      </c>
      <c r="U285" s="19">
        <f>IF(A285&lt;&gt;"",A285+30,"")</f>
        <v/>
      </c>
      <c r="V285">
        <f>IF(AND(C285="CxP",S285&gt;60),"Alta",IF(AND(C285="CxP",S285&gt;30),"Media",IF(C285="CxP","Baja","")))</f>
        <v/>
      </c>
      <c r="W285">
        <f>IF(AND(C285="CxC",S285&gt;90),"Alta",IF(AND(C285="CxC",S285&gt;60),"Media",IF(C285="CxC","Baja","")))</f>
        <v/>
      </c>
    </row>
    <row r="286">
      <c r="A286" s="19" t="n"/>
      <c r="F286" s="20" t="n"/>
      <c r="Q286" s="10">
        <f>IF(E286="USD",CONFIG!$B$5,1)</f>
        <v/>
      </c>
      <c r="R286">
        <f>IF(AND(A286&lt;&gt;"",ISNUMBER(A286),B286&lt;&gt;"",C286&lt;&gt;"",OR(E286="USD",E286="CRC"),F286&gt;0,ISNUMBER(Q286),Q286&gt;0),"✓ OK","✗ ERROR: Revisa datos")</f>
        <v/>
      </c>
      <c r="S286" s="6">
        <f>IF(A286&lt;&gt;"",TODAY()-A286,"")</f>
        <v/>
      </c>
      <c r="T286" s="4">
        <f>IF(E286="USD",F286,IF(E286="CRC",F286/CONFIG!$B$5,""))</f>
        <v/>
      </c>
      <c r="U286" s="19">
        <f>IF(A286&lt;&gt;"",A286+30,"")</f>
        <v/>
      </c>
      <c r="V286">
        <f>IF(AND(C286="CxP",S286&gt;60),"Alta",IF(AND(C286="CxP",S286&gt;30),"Media",IF(C286="CxP","Baja","")))</f>
        <v/>
      </c>
      <c r="W286">
        <f>IF(AND(C286="CxC",S286&gt;90),"Alta",IF(AND(C286="CxC",S286&gt;60),"Media",IF(C286="CxC","Baja","")))</f>
        <v/>
      </c>
    </row>
    <row r="287">
      <c r="A287" s="19" t="n"/>
      <c r="F287" s="20" t="n"/>
      <c r="Q287" s="10">
        <f>IF(E287="USD",CONFIG!$B$5,1)</f>
        <v/>
      </c>
      <c r="R287">
        <f>IF(AND(A287&lt;&gt;"",ISNUMBER(A287),B287&lt;&gt;"",C287&lt;&gt;"",OR(E287="USD",E287="CRC"),F287&gt;0,ISNUMBER(Q287),Q287&gt;0),"✓ OK","✗ ERROR: Revisa datos")</f>
        <v/>
      </c>
      <c r="S287" s="6">
        <f>IF(A287&lt;&gt;"",TODAY()-A287,"")</f>
        <v/>
      </c>
      <c r="T287" s="4">
        <f>IF(E287="USD",F287,IF(E287="CRC",F287/CONFIG!$B$5,""))</f>
        <v/>
      </c>
      <c r="U287" s="19">
        <f>IF(A287&lt;&gt;"",A287+30,"")</f>
        <v/>
      </c>
      <c r="V287">
        <f>IF(AND(C287="CxP",S287&gt;60),"Alta",IF(AND(C287="CxP",S287&gt;30),"Media",IF(C287="CxP","Baja","")))</f>
        <v/>
      </c>
      <c r="W287">
        <f>IF(AND(C287="CxC",S287&gt;90),"Alta",IF(AND(C287="CxC",S287&gt;60),"Media",IF(C287="CxC","Baja","")))</f>
        <v/>
      </c>
    </row>
    <row r="288">
      <c r="A288" s="19" t="n"/>
      <c r="F288" s="20" t="n"/>
      <c r="Q288" s="10">
        <f>IF(E288="USD",CONFIG!$B$5,1)</f>
        <v/>
      </c>
      <c r="R288">
        <f>IF(AND(A288&lt;&gt;"",ISNUMBER(A288),B288&lt;&gt;"",C288&lt;&gt;"",OR(E288="USD",E288="CRC"),F288&gt;0,ISNUMBER(Q288),Q288&gt;0),"✓ OK","✗ ERROR: Revisa datos")</f>
        <v/>
      </c>
      <c r="S288" s="6">
        <f>IF(A288&lt;&gt;"",TODAY()-A288,"")</f>
        <v/>
      </c>
      <c r="T288" s="4">
        <f>IF(E288="USD",F288,IF(E288="CRC",F288/CONFIG!$B$5,""))</f>
        <v/>
      </c>
      <c r="U288" s="19">
        <f>IF(A288&lt;&gt;"",A288+30,"")</f>
        <v/>
      </c>
      <c r="V288">
        <f>IF(AND(C288="CxP",S288&gt;60),"Alta",IF(AND(C288="CxP",S288&gt;30),"Media",IF(C288="CxP","Baja","")))</f>
        <v/>
      </c>
      <c r="W288">
        <f>IF(AND(C288="CxC",S288&gt;90),"Alta",IF(AND(C288="CxC",S288&gt;60),"Media",IF(C288="CxC","Baja","")))</f>
        <v/>
      </c>
    </row>
    <row r="289">
      <c r="A289" s="19" t="n"/>
      <c r="F289" s="20" t="n"/>
      <c r="Q289" s="10">
        <f>IF(E289="USD",CONFIG!$B$5,1)</f>
        <v/>
      </c>
      <c r="R289">
        <f>IF(AND(A289&lt;&gt;"",ISNUMBER(A289),B289&lt;&gt;"",C289&lt;&gt;"",OR(E289="USD",E289="CRC"),F289&gt;0,ISNUMBER(Q289),Q289&gt;0),"✓ OK","✗ ERROR: Revisa datos")</f>
        <v/>
      </c>
      <c r="S289" s="6">
        <f>IF(A289&lt;&gt;"",TODAY()-A289,"")</f>
        <v/>
      </c>
      <c r="T289" s="4">
        <f>IF(E289="USD",F289,IF(E289="CRC",F289/CONFIG!$B$5,""))</f>
        <v/>
      </c>
      <c r="U289" s="19">
        <f>IF(A289&lt;&gt;"",A289+30,"")</f>
        <v/>
      </c>
      <c r="V289">
        <f>IF(AND(C289="CxP",S289&gt;60),"Alta",IF(AND(C289="CxP",S289&gt;30),"Media",IF(C289="CxP","Baja","")))</f>
        <v/>
      </c>
      <c r="W289">
        <f>IF(AND(C289="CxC",S289&gt;90),"Alta",IF(AND(C289="CxC",S289&gt;60),"Media",IF(C289="CxC","Baja","")))</f>
        <v/>
      </c>
    </row>
    <row r="290">
      <c r="A290" s="19" t="n"/>
      <c r="F290" s="20" t="n"/>
      <c r="Q290" s="10">
        <f>IF(E290="USD",CONFIG!$B$5,1)</f>
        <v/>
      </c>
      <c r="R290">
        <f>IF(AND(A290&lt;&gt;"",ISNUMBER(A290),B290&lt;&gt;"",C290&lt;&gt;"",OR(E290="USD",E290="CRC"),F290&gt;0,ISNUMBER(Q290),Q290&gt;0),"✓ OK","✗ ERROR: Revisa datos")</f>
        <v/>
      </c>
      <c r="S290" s="6">
        <f>IF(A290&lt;&gt;"",TODAY()-A290,"")</f>
        <v/>
      </c>
      <c r="T290" s="4">
        <f>IF(E290="USD",F290,IF(E290="CRC",F290/CONFIG!$B$5,""))</f>
        <v/>
      </c>
      <c r="U290" s="19">
        <f>IF(A290&lt;&gt;"",A290+30,"")</f>
        <v/>
      </c>
      <c r="V290">
        <f>IF(AND(C290="CxP",S290&gt;60),"Alta",IF(AND(C290="CxP",S290&gt;30),"Media",IF(C290="CxP","Baja","")))</f>
        <v/>
      </c>
      <c r="W290">
        <f>IF(AND(C290="CxC",S290&gt;90),"Alta",IF(AND(C290="CxC",S290&gt;60),"Media",IF(C290="CxC","Baja","")))</f>
        <v/>
      </c>
    </row>
    <row r="291">
      <c r="A291" s="19" t="n"/>
      <c r="F291" s="20" t="n"/>
      <c r="Q291" s="10">
        <f>IF(E291="USD",CONFIG!$B$5,1)</f>
        <v/>
      </c>
      <c r="R291">
        <f>IF(AND(A291&lt;&gt;"",ISNUMBER(A291),B291&lt;&gt;"",C291&lt;&gt;"",OR(E291="USD",E291="CRC"),F291&gt;0,ISNUMBER(Q291),Q291&gt;0),"✓ OK","✗ ERROR: Revisa datos")</f>
        <v/>
      </c>
      <c r="S291" s="6">
        <f>IF(A291&lt;&gt;"",TODAY()-A291,"")</f>
        <v/>
      </c>
      <c r="T291" s="4">
        <f>IF(E291="USD",F291,IF(E291="CRC",F291/CONFIG!$B$5,""))</f>
        <v/>
      </c>
      <c r="U291" s="19">
        <f>IF(A291&lt;&gt;"",A291+30,"")</f>
        <v/>
      </c>
      <c r="V291">
        <f>IF(AND(C291="CxP",S291&gt;60),"Alta",IF(AND(C291="CxP",S291&gt;30),"Media",IF(C291="CxP","Baja","")))</f>
        <v/>
      </c>
      <c r="W291">
        <f>IF(AND(C291="CxC",S291&gt;90),"Alta",IF(AND(C291="CxC",S291&gt;60),"Media",IF(C291="CxC","Baja","")))</f>
        <v/>
      </c>
    </row>
    <row r="292">
      <c r="A292" s="19" t="n"/>
      <c r="F292" s="20" t="n"/>
      <c r="Q292" s="10">
        <f>IF(E292="USD",CONFIG!$B$5,1)</f>
        <v/>
      </c>
      <c r="R292">
        <f>IF(AND(A292&lt;&gt;"",ISNUMBER(A292),B292&lt;&gt;"",C292&lt;&gt;"",OR(E292="USD",E292="CRC"),F292&gt;0,ISNUMBER(Q292),Q292&gt;0),"✓ OK","✗ ERROR: Revisa datos")</f>
        <v/>
      </c>
      <c r="S292" s="6">
        <f>IF(A292&lt;&gt;"",TODAY()-A292,"")</f>
        <v/>
      </c>
      <c r="T292" s="4">
        <f>IF(E292="USD",F292,IF(E292="CRC",F292/CONFIG!$B$5,""))</f>
        <v/>
      </c>
      <c r="U292" s="19">
        <f>IF(A292&lt;&gt;"",A292+30,"")</f>
        <v/>
      </c>
      <c r="V292">
        <f>IF(AND(C292="CxP",S292&gt;60),"Alta",IF(AND(C292="CxP",S292&gt;30),"Media",IF(C292="CxP","Baja","")))</f>
        <v/>
      </c>
      <c r="W292">
        <f>IF(AND(C292="CxC",S292&gt;90),"Alta",IF(AND(C292="CxC",S292&gt;60),"Media",IF(C292="CxC","Baja","")))</f>
        <v/>
      </c>
    </row>
    <row r="293">
      <c r="A293" s="19" t="n"/>
      <c r="F293" s="20" t="n"/>
      <c r="Q293" s="10">
        <f>IF(E293="USD",CONFIG!$B$5,1)</f>
        <v/>
      </c>
      <c r="R293">
        <f>IF(AND(A293&lt;&gt;"",ISNUMBER(A293),B293&lt;&gt;"",C293&lt;&gt;"",OR(E293="USD",E293="CRC"),F293&gt;0,ISNUMBER(Q293),Q293&gt;0),"✓ OK","✗ ERROR: Revisa datos")</f>
        <v/>
      </c>
      <c r="S293" s="6">
        <f>IF(A293&lt;&gt;"",TODAY()-A293,"")</f>
        <v/>
      </c>
      <c r="T293" s="4">
        <f>IF(E293="USD",F293,IF(E293="CRC",F293/CONFIG!$B$5,""))</f>
        <v/>
      </c>
      <c r="U293" s="19">
        <f>IF(A293&lt;&gt;"",A293+30,"")</f>
        <v/>
      </c>
      <c r="V293">
        <f>IF(AND(C293="CxP",S293&gt;60),"Alta",IF(AND(C293="CxP",S293&gt;30),"Media",IF(C293="CxP","Baja","")))</f>
        <v/>
      </c>
      <c r="W293">
        <f>IF(AND(C293="CxC",S293&gt;90),"Alta",IF(AND(C293="CxC",S293&gt;60),"Media",IF(C293="CxC","Baja","")))</f>
        <v/>
      </c>
    </row>
    <row r="294">
      <c r="A294" s="19" t="n"/>
      <c r="F294" s="20" t="n"/>
      <c r="Q294" s="10">
        <f>IF(E294="USD",CONFIG!$B$5,1)</f>
        <v/>
      </c>
      <c r="R294">
        <f>IF(AND(A294&lt;&gt;"",ISNUMBER(A294),B294&lt;&gt;"",C294&lt;&gt;"",OR(E294="USD",E294="CRC"),F294&gt;0,ISNUMBER(Q294),Q294&gt;0),"✓ OK","✗ ERROR: Revisa datos")</f>
        <v/>
      </c>
      <c r="S294" s="6">
        <f>IF(A294&lt;&gt;"",TODAY()-A294,"")</f>
        <v/>
      </c>
      <c r="T294" s="4">
        <f>IF(E294="USD",F294,IF(E294="CRC",F294/CONFIG!$B$5,""))</f>
        <v/>
      </c>
      <c r="U294" s="19">
        <f>IF(A294&lt;&gt;"",A294+30,"")</f>
        <v/>
      </c>
      <c r="V294">
        <f>IF(AND(C294="CxP",S294&gt;60),"Alta",IF(AND(C294="CxP",S294&gt;30),"Media",IF(C294="CxP","Baja","")))</f>
        <v/>
      </c>
      <c r="W294">
        <f>IF(AND(C294="CxC",S294&gt;90),"Alta",IF(AND(C294="CxC",S294&gt;60),"Media",IF(C294="CxC","Baja","")))</f>
        <v/>
      </c>
    </row>
    <row r="295">
      <c r="A295" s="19" t="n"/>
      <c r="F295" s="20" t="n"/>
      <c r="Q295" s="10">
        <f>IF(E295="USD",CONFIG!$B$5,1)</f>
        <v/>
      </c>
      <c r="R295">
        <f>IF(AND(A295&lt;&gt;"",ISNUMBER(A295),B295&lt;&gt;"",C295&lt;&gt;"",OR(E295="USD",E295="CRC"),F295&gt;0,ISNUMBER(Q295),Q295&gt;0),"✓ OK","✗ ERROR: Revisa datos")</f>
        <v/>
      </c>
      <c r="S295" s="6">
        <f>IF(A295&lt;&gt;"",TODAY()-A295,"")</f>
        <v/>
      </c>
      <c r="T295" s="4">
        <f>IF(E295="USD",F295,IF(E295="CRC",F295/CONFIG!$B$5,""))</f>
        <v/>
      </c>
      <c r="U295" s="19">
        <f>IF(A295&lt;&gt;"",A295+30,"")</f>
        <v/>
      </c>
      <c r="V295">
        <f>IF(AND(C295="CxP",S295&gt;60),"Alta",IF(AND(C295="CxP",S295&gt;30),"Media",IF(C295="CxP","Baja","")))</f>
        <v/>
      </c>
      <c r="W295">
        <f>IF(AND(C295="CxC",S295&gt;90),"Alta",IF(AND(C295="CxC",S295&gt;60),"Media",IF(C295="CxC","Baja","")))</f>
        <v/>
      </c>
    </row>
    <row r="296">
      <c r="A296" s="19" t="n"/>
      <c r="F296" s="20" t="n"/>
      <c r="Q296" s="10">
        <f>IF(E296="USD",CONFIG!$B$5,1)</f>
        <v/>
      </c>
      <c r="R296">
        <f>IF(AND(A296&lt;&gt;"",ISNUMBER(A296),B296&lt;&gt;"",C296&lt;&gt;"",OR(E296="USD",E296="CRC"),F296&gt;0,ISNUMBER(Q296),Q296&gt;0),"✓ OK","✗ ERROR: Revisa datos")</f>
        <v/>
      </c>
      <c r="S296" s="6">
        <f>IF(A296&lt;&gt;"",TODAY()-A296,"")</f>
        <v/>
      </c>
      <c r="T296" s="4">
        <f>IF(E296="USD",F296,IF(E296="CRC",F296/CONFIG!$B$5,""))</f>
        <v/>
      </c>
      <c r="U296" s="19">
        <f>IF(A296&lt;&gt;"",A296+30,"")</f>
        <v/>
      </c>
      <c r="V296">
        <f>IF(AND(C296="CxP",S296&gt;60),"Alta",IF(AND(C296="CxP",S296&gt;30),"Media",IF(C296="CxP","Baja","")))</f>
        <v/>
      </c>
      <c r="W296">
        <f>IF(AND(C296="CxC",S296&gt;90),"Alta",IF(AND(C296="CxC",S296&gt;60),"Media",IF(C296="CxC","Baja","")))</f>
        <v/>
      </c>
    </row>
    <row r="297">
      <c r="A297" s="19" t="n"/>
      <c r="F297" s="20" t="n"/>
      <c r="Q297" s="10">
        <f>IF(E297="USD",CONFIG!$B$5,1)</f>
        <v/>
      </c>
      <c r="R297">
        <f>IF(AND(A297&lt;&gt;"",ISNUMBER(A297),B297&lt;&gt;"",C297&lt;&gt;"",OR(E297="USD",E297="CRC"),F297&gt;0,ISNUMBER(Q297),Q297&gt;0),"✓ OK","✗ ERROR: Revisa datos")</f>
        <v/>
      </c>
      <c r="S297" s="6">
        <f>IF(A297&lt;&gt;"",TODAY()-A297,"")</f>
        <v/>
      </c>
      <c r="T297" s="4">
        <f>IF(E297="USD",F297,IF(E297="CRC",F297/CONFIG!$B$5,""))</f>
        <v/>
      </c>
      <c r="U297" s="19">
        <f>IF(A297&lt;&gt;"",A297+30,"")</f>
        <v/>
      </c>
      <c r="V297">
        <f>IF(AND(C297="CxP",S297&gt;60),"Alta",IF(AND(C297="CxP",S297&gt;30),"Media",IF(C297="CxP","Baja","")))</f>
        <v/>
      </c>
      <c r="W297">
        <f>IF(AND(C297="CxC",S297&gt;90),"Alta",IF(AND(C297="CxC",S297&gt;60),"Media",IF(C297="CxC","Baja","")))</f>
        <v/>
      </c>
    </row>
    <row r="298">
      <c r="A298" s="19" t="n"/>
      <c r="F298" s="20" t="n"/>
      <c r="Q298" s="10">
        <f>IF(E298="USD",CONFIG!$B$5,1)</f>
        <v/>
      </c>
      <c r="R298">
        <f>IF(AND(A298&lt;&gt;"",ISNUMBER(A298),B298&lt;&gt;"",C298&lt;&gt;"",OR(E298="USD",E298="CRC"),F298&gt;0,ISNUMBER(Q298),Q298&gt;0),"✓ OK","✗ ERROR: Revisa datos")</f>
        <v/>
      </c>
      <c r="S298" s="6">
        <f>IF(A298&lt;&gt;"",TODAY()-A298,"")</f>
        <v/>
      </c>
      <c r="T298" s="4">
        <f>IF(E298="USD",F298,IF(E298="CRC",F298/CONFIG!$B$5,""))</f>
        <v/>
      </c>
      <c r="U298" s="19">
        <f>IF(A298&lt;&gt;"",A298+30,"")</f>
        <v/>
      </c>
      <c r="V298">
        <f>IF(AND(C298="CxP",S298&gt;60),"Alta",IF(AND(C298="CxP",S298&gt;30),"Media",IF(C298="CxP","Baja","")))</f>
        <v/>
      </c>
      <c r="W298">
        <f>IF(AND(C298="CxC",S298&gt;90),"Alta",IF(AND(C298="CxC",S298&gt;60),"Media",IF(C298="CxC","Baja","")))</f>
        <v/>
      </c>
    </row>
    <row r="299">
      <c r="A299" s="19" t="n"/>
      <c r="F299" s="20" t="n"/>
      <c r="Q299" s="10">
        <f>IF(E299="USD",CONFIG!$B$5,1)</f>
        <v/>
      </c>
      <c r="R299">
        <f>IF(AND(A299&lt;&gt;"",ISNUMBER(A299),B299&lt;&gt;"",C299&lt;&gt;"",OR(E299="USD",E299="CRC"),F299&gt;0,ISNUMBER(Q299),Q299&gt;0),"✓ OK","✗ ERROR: Revisa datos")</f>
        <v/>
      </c>
      <c r="S299" s="6">
        <f>IF(A299&lt;&gt;"",TODAY()-A299,"")</f>
        <v/>
      </c>
      <c r="T299" s="4">
        <f>IF(E299="USD",F299,IF(E299="CRC",F299/CONFIG!$B$5,""))</f>
        <v/>
      </c>
      <c r="U299" s="19">
        <f>IF(A299&lt;&gt;"",A299+30,"")</f>
        <v/>
      </c>
      <c r="V299">
        <f>IF(AND(C299="CxP",S299&gt;60),"Alta",IF(AND(C299="CxP",S299&gt;30),"Media",IF(C299="CxP","Baja","")))</f>
        <v/>
      </c>
      <c r="W299">
        <f>IF(AND(C299="CxC",S299&gt;90),"Alta",IF(AND(C299="CxC",S299&gt;60),"Media",IF(C299="CxC","Baja","")))</f>
        <v/>
      </c>
    </row>
    <row r="300">
      <c r="A300" s="19" t="n"/>
      <c r="F300" s="20" t="n"/>
      <c r="Q300" s="10">
        <f>IF(E300="USD",CONFIG!$B$5,1)</f>
        <v/>
      </c>
      <c r="R300">
        <f>IF(AND(A300&lt;&gt;"",ISNUMBER(A300),B300&lt;&gt;"",C300&lt;&gt;"",OR(E300="USD",E300="CRC"),F300&gt;0,ISNUMBER(Q300),Q300&gt;0),"✓ OK","✗ ERROR: Revisa datos")</f>
        <v/>
      </c>
      <c r="S300" s="6">
        <f>IF(A300&lt;&gt;"",TODAY()-A300,"")</f>
        <v/>
      </c>
      <c r="T300" s="4">
        <f>IF(E300="USD",F300,IF(E300="CRC",F300/CONFIG!$B$5,""))</f>
        <v/>
      </c>
      <c r="U300" s="19">
        <f>IF(A300&lt;&gt;"",A300+30,"")</f>
        <v/>
      </c>
      <c r="V300">
        <f>IF(AND(C300="CxP",S300&gt;60),"Alta",IF(AND(C300="CxP",S300&gt;30),"Media",IF(C300="CxP","Baja","")))</f>
        <v/>
      </c>
      <c r="W300">
        <f>IF(AND(C300="CxC",S300&gt;90),"Alta",IF(AND(C300="CxC",S300&gt;60),"Media",IF(C300="CxC","Baja","")))</f>
        <v/>
      </c>
    </row>
    <row r="301">
      <c r="A301" s="19" t="n"/>
      <c r="F301" s="20" t="n"/>
      <c r="Q301" s="10">
        <f>IF(E301="USD",CONFIG!$B$5,1)</f>
        <v/>
      </c>
      <c r="R301">
        <f>IF(AND(A301&lt;&gt;"",ISNUMBER(A301),B301&lt;&gt;"",C301&lt;&gt;"",OR(E301="USD",E301="CRC"),F301&gt;0,ISNUMBER(Q301),Q301&gt;0),"✓ OK","✗ ERROR: Revisa datos")</f>
        <v/>
      </c>
      <c r="S301" s="6">
        <f>IF(A301&lt;&gt;"",TODAY()-A301,"")</f>
        <v/>
      </c>
      <c r="T301" s="4">
        <f>IF(E301="USD",F301,IF(E301="CRC",F301/CONFIG!$B$5,""))</f>
        <v/>
      </c>
      <c r="U301" s="19">
        <f>IF(A301&lt;&gt;"",A301+30,"")</f>
        <v/>
      </c>
      <c r="V301">
        <f>IF(AND(C301="CxP",S301&gt;60),"Alta",IF(AND(C301="CxP",S301&gt;30),"Media",IF(C301="CxP","Baja","")))</f>
        <v/>
      </c>
      <c r="W301">
        <f>IF(AND(C301="CxC",S301&gt;90),"Alta",IF(AND(C301="CxC",S301&gt;60),"Media",IF(C301="CxC","Baja","")))</f>
        <v/>
      </c>
    </row>
    <row r="302">
      <c r="A302" s="19" t="n"/>
      <c r="F302" s="20" t="n"/>
      <c r="Q302" s="10">
        <f>IF(E302="USD",CONFIG!$B$5,1)</f>
        <v/>
      </c>
      <c r="R302">
        <f>IF(AND(A302&lt;&gt;"",ISNUMBER(A302),B302&lt;&gt;"",C302&lt;&gt;"",OR(E302="USD",E302="CRC"),F302&gt;0,ISNUMBER(Q302),Q302&gt;0),"✓ OK","✗ ERROR: Revisa datos")</f>
        <v/>
      </c>
      <c r="S302" s="6">
        <f>IF(A302&lt;&gt;"",TODAY()-A302,"")</f>
        <v/>
      </c>
      <c r="T302" s="4">
        <f>IF(E302="USD",F302,IF(E302="CRC",F302/CONFIG!$B$5,""))</f>
        <v/>
      </c>
      <c r="U302" s="19">
        <f>IF(A302&lt;&gt;"",A302+30,"")</f>
        <v/>
      </c>
      <c r="V302">
        <f>IF(AND(C302="CxP",S302&gt;60),"Alta",IF(AND(C302="CxP",S302&gt;30),"Media",IF(C302="CxP","Baja","")))</f>
        <v/>
      </c>
      <c r="W302">
        <f>IF(AND(C302="CxC",S302&gt;90),"Alta",IF(AND(C302="CxC",S302&gt;60),"Media",IF(C302="CxC","Baja","")))</f>
        <v/>
      </c>
    </row>
    <row r="303">
      <c r="A303" s="19" t="n"/>
      <c r="F303" s="20" t="n"/>
      <c r="Q303" s="10">
        <f>IF(E303="USD",CONFIG!$B$5,1)</f>
        <v/>
      </c>
      <c r="R303">
        <f>IF(AND(A303&lt;&gt;"",ISNUMBER(A303),B303&lt;&gt;"",C303&lt;&gt;"",OR(E303="USD",E303="CRC"),F303&gt;0,ISNUMBER(Q303),Q303&gt;0),"✓ OK","✗ ERROR: Revisa datos")</f>
        <v/>
      </c>
      <c r="S303" s="6">
        <f>IF(A303&lt;&gt;"",TODAY()-A303,"")</f>
        <v/>
      </c>
      <c r="T303" s="4">
        <f>IF(E303="USD",F303,IF(E303="CRC",F303/CONFIG!$B$5,""))</f>
        <v/>
      </c>
      <c r="U303" s="19">
        <f>IF(A303&lt;&gt;"",A303+30,"")</f>
        <v/>
      </c>
      <c r="V303">
        <f>IF(AND(C303="CxP",S303&gt;60),"Alta",IF(AND(C303="CxP",S303&gt;30),"Media",IF(C303="CxP","Baja","")))</f>
        <v/>
      </c>
      <c r="W303">
        <f>IF(AND(C303="CxC",S303&gt;90),"Alta",IF(AND(C303="CxC",S303&gt;60),"Media",IF(C303="CxC","Baja","")))</f>
        <v/>
      </c>
    </row>
    <row r="304">
      <c r="A304" s="19" t="n"/>
      <c r="F304" s="20" t="n"/>
      <c r="Q304" s="10">
        <f>IF(E304="USD",CONFIG!$B$5,1)</f>
        <v/>
      </c>
      <c r="R304">
        <f>IF(AND(A304&lt;&gt;"",ISNUMBER(A304),B304&lt;&gt;"",C304&lt;&gt;"",OR(E304="USD",E304="CRC"),F304&gt;0,ISNUMBER(Q304),Q304&gt;0),"✓ OK","✗ ERROR: Revisa datos")</f>
        <v/>
      </c>
      <c r="S304" s="6">
        <f>IF(A304&lt;&gt;"",TODAY()-A304,"")</f>
        <v/>
      </c>
      <c r="T304" s="4">
        <f>IF(E304="USD",F304,IF(E304="CRC",F304/CONFIG!$B$5,""))</f>
        <v/>
      </c>
      <c r="U304" s="19">
        <f>IF(A304&lt;&gt;"",A304+30,"")</f>
        <v/>
      </c>
      <c r="V304">
        <f>IF(AND(C304="CxP",S304&gt;60),"Alta",IF(AND(C304="CxP",S304&gt;30),"Media",IF(C304="CxP","Baja","")))</f>
        <v/>
      </c>
      <c r="W304">
        <f>IF(AND(C304="CxC",S304&gt;90),"Alta",IF(AND(C304="CxC",S304&gt;60),"Media",IF(C304="CxC","Baja","")))</f>
        <v/>
      </c>
    </row>
    <row r="305">
      <c r="A305" s="19" t="n"/>
      <c r="F305" s="20" t="n"/>
      <c r="Q305" s="10">
        <f>IF(E305="USD",CONFIG!$B$5,1)</f>
        <v/>
      </c>
      <c r="R305">
        <f>IF(AND(A305&lt;&gt;"",ISNUMBER(A305),B305&lt;&gt;"",C305&lt;&gt;"",OR(E305="USD",E305="CRC"),F305&gt;0,ISNUMBER(Q305),Q305&gt;0),"✓ OK","✗ ERROR: Revisa datos")</f>
        <v/>
      </c>
      <c r="S305" s="6">
        <f>IF(A305&lt;&gt;"",TODAY()-A305,"")</f>
        <v/>
      </c>
      <c r="T305" s="4">
        <f>IF(E305="USD",F305,IF(E305="CRC",F305/CONFIG!$B$5,""))</f>
        <v/>
      </c>
      <c r="U305" s="19">
        <f>IF(A305&lt;&gt;"",A305+30,"")</f>
        <v/>
      </c>
      <c r="V305">
        <f>IF(AND(C305="CxP",S305&gt;60),"Alta",IF(AND(C305="CxP",S305&gt;30),"Media",IF(C305="CxP","Baja","")))</f>
        <v/>
      </c>
      <c r="W305">
        <f>IF(AND(C305="CxC",S305&gt;90),"Alta",IF(AND(C305="CxC",S305&gt;60),"Media",IF(C305="CxC","Baja","")))</f>
        <v/>
      </c>
    </row>
    <row r="306">
      <c r="A306" s="19" t="n"/>
      <c r="F306" s="20" t="n"/>
      <c r="Q306" s="10">
        <f>IF(E306="USD",CONFIG!$B$5,1)</f>
        <v/>
      </c>
      <c r="R306">
        <f>IF(AND(A306&lt;&gt;"",ISNUMBER(A306),B306&lt;&gt;"",C306&lt;&gt;"",OR(E306="USD",E306="CRC"),F306&gt;0,ISNUMBER(Q306),Q306&gt;0),"✓ OK","✗ ERROR: Revisa datos")</f>
        <v/>
      </c>
      <c r="S306" s="6">
        <f>IF(A306&lt;&gt;"",TODAY()-A306,"")</f>
        <v/>
      </c>
      <c r="T306" s="4">
        <f>IF(E306="USD",F306,IF(E306="CRC",F306/CONFIG!$B$5,""))</f>
        <v/>
      </c>
      <c r="U306" s="19">
        <f>IF(A306&lt;&gt;"",A306+30,"")</f>
        <v/>
      </c>
      <c r="V306">
        <f>IF(AND(C306="CxP",S306&gt;60),"Alta",IF(AND(C306="CxP",S306&gt;30),"Media",IF(C306="CxP","Baja","")))</f>
        <v/>
      </c>
      <c r="W306">
        <f>IF(AND(C306="CxC",S306&gt;90),"Alta",IF(AND(C306="CxC",S306&gt;60),"Media",IF(C306="CxC","Baja","")))</f>
        <v/>
      </c>
    </row>
    <row r="307">
      <c r="A307" s="19" t="n"/>
      <c r="F307" s="20" t="n"/>
      <c r="Q307" s="10">
        <f>IF(E307="USD",CONFIG!$B$5,1)</f>
        <v/>
      </c>
      <c r="R307">
        <f>IF(AND(A307&lt;&gt;"",ISNUMBER(A307),B307&lt;&gt;"",C307&lt;&gt;"",OR(E307="USD",E307="CRC"),F307&gt;0,ISNUMBER(Q307),Q307&gt;0),"✓ OK","✗ ERROR: Revisa datos")</f>
        <v/>
      </c>
      <c r="S307" s="6">
        <f>IF(A307&lt;&gt;"",TODAY()-A307,"")</f>
        <v/>
      </c>
      <c r="T307" s="4">
        <f>IF(E307="USD",F307,IF(E307="CRC",F307/CONFIG!$B$5,""))</f>
        <v/>
      </c>
      <c r="U307" s="19">
        <f>IF(A307&lt;&gt;"",A307+30,"")</f>
        <v/>
      </c>
      <c r="V307">
        <f>IF(AND(C307="CxP",S307&gt;60),"Alta",IF(AND(C307="CxP",S307&gt;30),"Media",IF(C307="CxP","Baja","")))</f>
        <v/>
      </c>
      <c r="W307">
        <f>IF(AND(C307="CxC",S307&gt;90),"Alta",IF(AND(C307="CxC",S307&gt;60),"Media",IF(C307="CxC","Baja","")))</f>
        <v/>
      </c>
    </row>
    <row r="308">
      <c r="A308" s="19" t="n"/>
      <c r="F308" s="20" t="n"/>
      <c r="Q308" s="10">
        <f>IF(E308="USD",CONFIG!$B$5,1)</f>
        <v/>
      </c>
      <c r="R308">
        <f>IF(AND(A308&lt;&gt;"",ISNUMBER(A308),B308&lt;&gt;"",C308&lt;&gt;"",OR(E308="USD",E308="CRC"),F308&gt;0,ISNUMBER(Q308),Q308&gt;0),"✓ OK","✗ ERROR: Revisa datos")</f>
        <v/>
      </c>
      <c r="S308" s="6">
        <f>IF(A308&lt;&gt;"",TODAY()-A308,"")</f>
        <v/>
      </c>
      <c r="T308" s="4">
        <f>IF(E308="USD",F308,IF(E308="CRC",F308/CONFIG!$B$5,""))</f>
        <v/>
      </c>
      <c r="U308" s="19">
        <f>IF(A308&lt;&gt;"",A308+30,"")</f>
        <v/>
      </c>
      <c r="V308">
        <f>IF(AND(C308="CxP",S308&gt;60),"Alta",IF(AND(C308="CxP",S308&gt;30),"Media",IF(C308="CxP","Baja","")))</f>
        <v/>
      </c>
      <c r="W308">
        <f>IF(AND(C308="CxC",S308&gt;90),"Alta",IF(AND(C308="CxC",S308&gt;60),"Media",IF(C308="CxC","Baja","")))</f>
        <v/>
      </c>
    </row>
    <row r="309">
      <c r="A309" s="19" t="n"/>
      <c r="F309" s="20" t="n"/>
      <c r="Q309" s="10">
        <f>IF(E309="USD",CONFIG!$B$5,1)</f>
        <v/>
      </c>
      <c r="R309">
        <f>IF(AND(A309&lt;&gt;"",ISNUMBER(A309),B309&lt;&gt;"",C309&lt;&gt;"",OR(E309="USD",E309="CRC"),F309&gt;0,ISNUMBER(Q309),Q309&gt;0),"✓ OK","✗ ERROR: Revisa datos")</f>
        <v/>
      </c>
      <c r="S309" s="6">
        <f>IF(A309&lt;&gt;"",TODAY()-A309,"")</f>
        <v/>
      </c>
      <c r="T309" s="4">
        <f>IF(E309="USD",F309,IF(E309="CRC",F309/CONFIG!$B$5,""))</f>
        <v/>
      </c>
      <c r="U309" s="19">
        <f>IF(A309&lt;&gt;"",A309+30,"")</f>
        <v/>
      </c>
      <c r="V309">
        <f>IF(AND(C309="CxP",S309&gt;60),"Alta",IF(AND(C309="CxP",S309&gt;30),"Media",IF(C309="CxP","Baja","")))</f>
        <v/>
      </c>
      <c r="W309">
        <f>IF(AND(C309="CxC",S309&gt;90),"Alta",IF(AND(C309="CxC",S309&gt;60),"Media",IF(C309="CxC","Baja","")))</f>
        <v/>
      </c>
    </row>
    <row r="310">
      <c r="A310" s="19" t="n"/>
      <c r="F310" s="20" t="n"/>
      <c r="Q310" s="10">
        <f>IF(E310="USD",CONFIG!$B$5,1)</f>
        <v/>
      </c>
      <c r="R310">
        <f>IF(AND(A310&lt;&gt;"",ISNUMBER(A310),B310&lt;&gt;"",C310&lt;&gt;"",OR(E310="USD",E310="CRC"),F310&gt;0,ISNUMBER(Q310),Q310&gt;0),"✓ OK","✗ ERROR: Revisa datos")</f>
        <v/>
      </c>
      <c r="S310" s="6">
        <f>IF(A310&lt;&gt;"",TODAY()-A310,"")</f>
        <v/>
      </c>
      <c r="T310" s="4">
        <f>IF(E310="USD",F310,IF(E310="CRC",F310/CONFIG!$B$5,""))</f>
        <v/>
      </c>
      <c r="U310" s="19">
        <f>IF(A310&lt;&gt;"",A310+30,"")</f>
        <v/>
      </c>
      <c r="V310">
        <f>IF(AND(C310="CxP",S310&gt;60),"Alta",IF(AND(C310="CxP",S310&gt;30),"Media",IF(C310="CxP","Baja","")))</f>
        <v/>
      </c>
      <c r="W310">
        <f>IF(AND(C310="CxC",S310&gt;90),"Alta",IF(AND(C310="CxC",S310&gt;60),"Media",IF(C310="CxC","Baja","")))</f>
        <v/>
      </c>
    </row>
    <row r="311">
      <c r="A311" s="19" t="n"/>
      <c r="F311" s="20" t="n"/>
      <c r="Q311" s="10">
        <f>IF(E311="USD",CONFIG!$B$5,1)</f>
        <v/>
      </c>
      <c r="R311">
        <f>IF(AND(A311&lt;&gt;"",ISNUMBER(A311),B311&lt;&gt;"",C311&lt;&gt;"",OR(E311="USD",E311="CRC"),F311&gt;0,ISNUMBER(Q311),Q311&gt;0),"✓ OK","✗ ERROR: Revisa datos")</f>
        <v/>
      </c>
      <c r="S311" s="6">
        <f>IF(A311&lt;&gt;"",TODAY()-A311,"")</f>
        <v/>
      </c>
      <c r="T311" s="4">
        <f>IF(E311="USD",F311,IF(E311="CRC",F311/CONFIG!$B$5,""))</f>
        <v/>
      </c>
      <c r="U311" s="19">
        <f>IF(A311&lt;&gt;"",A311+30,"")</f>
        <v/>
      </c>
      <c r="V311">
        <f>IF(AND(C311="CxP",S311&gt;60),"Alta",IF(AND(C311="CxP",S311&gt;30),"Media",IF(C311="CxP","Baja","")))</f>
        <v/>
      </c>
      <c r="W311">
        <f>IF(AND(C311="CxC",S311&gt;90),"Alta",IF(AND(C311="CxC",S311&gt;60),"Media",IF(C311="CxC","Baja","")))</f>
        <v/>
      </c>
    </row>
    <row r="312">
      <c r="A312" s="19" t="n"/>
      <c r="F312" s="20" t="n"/>
      <c r="Q312" s="10">
        <f>IF(E312="USD",CONFIG!$B$5,1)</f>
        <v/>
      </c>
      <c r="R312">
        <f>IF(AND(A312&lt;&gt;"",ISNUMBER(A312),B312&lt;&gt;"",C312&lt;&gt;"",OR(E312="USD",E312="CRC"),F312&gt;0,ISNUMBER(Q312),Q312&gt;0),"✓ OK","✗ ERROR: Revisa datos")</f>
        <v/>
      </c>
      <c r="S312" s="6">
        <f>IF(A312&lt;&gt;"",TODAY()-A312,"")</f>
        <v/>
      </c>
      <c r="T312" s="4">
        <f>IF(E312="USD",F312,IF(E312="CRC",F312/CONFIG!$B$5,""))</f>
        <v/>
      </c>
      <c r="U312" s="19">
        <f>IF(A312&lt;&gt;"",A312+30,"")</f>
        <v/>
      </c>
      <c r="V312">
        <f>IF(AND(C312="CxP",S312&gt;60),"Alta",IF(AND(C312="CxP",S312&gt;30),"Media",IF(C312="CxP","Baja","")))</f>
        <v/>
      </c>
      <c r="W312">
        <f>IF(AND(C312="CxC",S312&gt;90),"Alta",IF(AND(C312="CxC",S312&gt;60),"Media",IF(C312="CxC","Baja","")))</f>
        <v/>
      </c>
    </row>
    <row r="313">
      <c r="A313" s="19" t="n"/>
      <c r="F313" s="20" t="n"/>
      <c r="Q313" s="10">
        <f>IF(E313="USD",CONFIG!$B$5,1)</f>
        <v/>
      </c>
      <c r="R313">
        <f>IF(AND(A313&lt;&gt;"",ISNUMBER(A313),B313&lt;&gt;"",C313&lt;&gt;"",OR(E313="USD",E313="CRC"),F313&gt;0,ISNUMBER(Q313),Q313&gt;0),"✓ OK","✗ ERROR: Revisa datos")</f>
        <v/>
      </c>
      <c r="S313" s="6">
        <f>IF(A313&lt;&gt;"",TODAY()-A313,"")</f>
        <v/>
      </c>
      <c r="T313" s="4">
        <f>IF(E313="USD",F313,IF(E313="CRC",F313/CONFIG!$B$5,""))</f>
        <v/>
      </c>
      <c r="U313" s="19">
        <f>IF(A313&lt;&gt;"",A313+30,"")</f>
        <v/>
      </c>
      <c r="V313">
        <f>IF(AND(C313="CxP",S313&gt;60),"Alta",IF(AND(C313="CxP",S313&gt;30),"Media",IF(C313="CxP","Baja","")))</f>
        <v/>
      </c>
      <c r="W313">
        <f>IF(AND(C313="CxC",S313&gt;90),"Alta",IF(AND(C313="CxC",S313&gt;60),"Media",IF(C313="CxC","Baja","")))</f>
        <v/>
      </c>
    </row>
    <row r="314">
      <c r="A314" s="19" t="n"/>
      <c r="F314" s="20" t="n"/>
      <c r="Q314" s="10">
        <f>IF(E314="USD",CONFIG!$B$5,1)</f>
        <v/>
      </c>
      <c r="R314">
        <f>IF(AND(A314&lt;&gt;"",ISNUMBER(A314),B314&lt;&gt;"",C314&lt;&gt;"",OR(E314="USD",E314="CRC"),F314&gt;0,ISNUMBER(Q314),Q314&gt;0),"✓ OK","✗ ERROR: Revisa datos")</f>
        <v/>
      </c>
      <c r="S314" s="6">
        <f>IF(A314&lt;&gt;"",TODAY()-A314,"")</f>
        <v/>
      </c>
      <c r="T314" s="4">
        <f>IF(E314="USD",F314,IF(E314="CRC",F314/CONFIG!$B$5,""))</f>
        <v/>
      </c>
      <c r="U314" s="19">
        <f>IF(A314&lt;&gt;"",A314+30,"")</f>
        <v/>
      </c>
      <c r="V314">
        <f>IF(AND(C314="CxP",S314&gt;60),"Alta",IF(AND(C314="CxP",S314&gt;30),"Media",IF(C314="CxP","Baja","")))</f>
        <v/>
      </c>
      <c r="W314">
        <f>IF(AND(C314="CxC",S314&gt;90),"Alta",IF(AND(C314="CxC",S314&gt;60),"Media",IF(C314="CxC","Baja","")))</f>
        <v/>
      </c>
    </row>
    <row r="315">
      <c r="A315" s="19" t="n"/>
      <c r="F315" s="20" t="n"/>
      <c r="Q315" s="10">
        <f>IF(E315="USD",CONFIG!$B$5,1)</f>
        <v/>
      </c>
      <c r="R315">
        <f>IF(AND(A315&lt;&gt;"",ISNUMBER(A315),B315&lt;&gt;"",C315&lt;&gt;"",OR(E315="USD",E315="CRC"),F315&gt;0,ISNUMBER(Q315),Q315&gt;0),"✓ OK","✗ ERROR: Revisa datos")</f>
        <v/>
      </c>
      <c r="S315" s="6">
        <f>IF(A315&lt;&gt;"",TODAY()-A315,"")</f>
        <v/>
      </c>
      <c r="T315" s="4">
        <f>IF(E315="USD",F315,IF(E315="CRC",F315/CONFIG!$B$5,""))</f>
        <v/>
      </c>
      <c r="U315" s="19">
        <f>IF(A315&lt;&gt;"",A315+30,"")</f>
        <v/>
      </c>
      <c r="V315">
        <f>IF(AND(C315="CxP",S315&gt;60),"Alta",IF(AND(C315="CxP",S315&gt;30),"Media",IF(C315="CxP","Baja","")))</f>
        <v/>
      </c>
      <c r="W315">
        <f>IF(AND(C315="CxC",S315&gt;90),"Alta",IF(AND(C315="CxC",S315&gt;60),"Media",IF(C315="CxC","Baja","")))</f>
        <v/>
      </c>
    </row>
    <row r="316">
      <c r="A316" s="19" t="n"/>
      <c r="F316" s="20" t="n"/>
      <c r="Q316" s="10">
        <f>IF(E316="USD",CONFIG!$B$5,1)</f>
        <v/>
      </c>
      <c r="R316">
        <f>IF(AND(A316&lt;&gt;"",ISNUMBER(A316),B316&lt;&gt;"",C316&lt;&gt;"",OR(E316="USD",E316="CRC"),F316&gt;0,ISNUMBER(Q316),Q316&gt;0),"✓ OK","✗ ERROR: Revisa datos")</f>
        <v/>
      </c>
      <c r="S316" s="6">
        <f>IF(A316&lt;&gt;"",TODAY()-A316,"")</f>
        <v/>
      </c>
      <c r="T316" s="4">
        <f>IF(E316="USD",F316,IF(E316="CRC",F316/CONFIG!$B$5,""))</f>
        <v/>
      </c>
      <c r="U316" s="19">
        <f>IF(A316&lt;&gt;"",A316+30,"")</f>
        <v/>
      </c>
      <c r="V316">
        <f>IF(AND(C316="CxP",S316&gt;60),"Alta",IF(AND(C316="CxP",S316&gt;30),"Media",IF(C316="CxP","Baja","")))</f>
        <v/>
      </c>
      <c r="W316">
        <f>IF(AND(C316="CxC",S316&gt;90),"Alta",IF(AND(C316="CxC",S316&gt;60),"Media",IF(C316="CxC","Baja","")))</f>
        <v/>
      </c>
    </row>
    <row r="317">
      <c r="A317" s="19" t="n"/>
      <c r="F317" s="20" t="n"/>
      <c r="Q317" s="10">
        <f>IF(E317="USD",CONFIG!$B$5,1)</f>
        <v/>
      </c>
      <c r="R317">
        <f>IF(AND(A317&lt;&gt;"",ISNUMBER(A317),B317&lt;&gt;"",C317&lt;&gt;"",OR(E317="USD",E317="CRC"),F317&gt;0,ISNUMBER(Q317),Q317&gt;0),"✓ OK","✗ ERROR: Revisa datos")</f>
        <v/>
      </c>
      <c r="S317" s="6">
        <f>IF(A317&lt;&gt;"",TODAY()-A317,"")</f>
        <v/>
      </c>
      <c r="T317" s="4">
        <f>IF(E317="USD",F317,IF(E317="CRC",F317/CONFIG!$B$5,""))</f>
        <v/>
      </c>
      <c r="U317" s="19">
        <f>IF(A317&lt;&gt;"",A317+30,"")</f>
        <v/>
      </c>
      <c r="V317">
        <f>IF(AND(C317="CxP",S317&gt;60),"Alta",IF(AND(C317="CxP",S317&gt;30),"Media",IF(C317="CxP","Baja","")))</f>
        <v/>
      </c>
      <c r="W317">
        <f>IF(AND(C317="CxC",S317&gt;90),"Alta",IF(AND(C317="CxC",S317&gt;60),"Media",IF(C317="CxC","Baja","")))</f>
        <v/>
      </c>
    </row>
    <row r="318">
      <c r="A318" s="19" t="n"/>
      <c r="F318" s="20" t="n"/>
      <c r="Q318" s="10">
        <f>IF(E318="USD",CONFIG!$B$5,1)</f>
        <v/>
      </c>
      <c r="R318">
        <f>IF(AND(A318&lt;&gt;"",ISNUMBER(A318),B318&lt;&gt;"",C318&lt;&gt;"",OR(E318="USD",E318="CRC"),F318&gt;0,ISNUMBER(Q318),Q318&gt;0),"✓ OK","✗ ERROR: Revisa datos")</f>
        <v/>
      </c>
      <c r="S318" s="6">
        <f>IF(A318&lt;&gt;"",TODAY()-A318,"")</f>
        <v/>
      </c>
      <c r="T318" s="4">
        <f>IF(E318="USD",F318,IF(E318="CRC",F318/CONFIG!$B$5,""))</f>
        <v/>
      </c>
      <c r="U318" s="19">
        <f>IF(A318&lt;&gt;"",A318+30,"")</f>
        <v/>
      </c>
      <c r="V318">
        <f>IF(AND(C318="CxP",S318&gt;60),"Alta",IF(AND(C318="CxP",S318&gt;30),"Media",IF(C318="CxP","Baja","")))</f>
        <v/>
      </c>
      <c r="W318">
        <f>IF(AND(C318="CxC",S318&gt;90),"Alta",IF(AND(C318="CxC",S318&gt;60),"Media",IF(C318="CxC","Baja","")))</f>
        <v/>
      </c>
    </row>
    <row r="319">
      <c r="A319" s="19" t="n"/>
      <c r="F319" s="20" t="n"/>
      <c r="Q319" s="10">
        <f>IF(E319="USD",CONFIG!$B$5,1)</f>
        <v/>
      </c>
      <c r="R319">
        <f>IF(AND(A319&lt;&gt;"",ISNUMBER(A319),B319&lt;&gt;"",C319&lt;&gt;"",OR(E319="USD",E319="CRC"),F319&gt;0,ISNUMBER(Q319),Q319&gt;0),"✓ OK","✗ ERROR: Revisa datos")</f>
        <v/>
      </c>
      <c r="S319" s="6">
        <f>IF(A319&lt;&gt;"",TODAY()-A319,"")</f>
        <v/>
      </c>
      <c r="T319" s="4">
        <f>IF(E319="USD",F319,IF(E319="CRC",F319/CONFIG!$B$5,""))</f>
        <v/>
      </c>
      <c r="U319" s="19">
        <f>IF(A319&lt;&gt;"",A319+30,"")</f>
        <v/>
      </c>
      <c r="V319">
        <f>IF(AND(C319="CxP",S319&gt;60),"Alta",IF(AND(C319="CxP",S319&gt;30),"Media",IF(C319="CxP","Baja","")))</f>
        <v/>
      </c>
      <c r="W319">
        <f>IF(AND(C319="CxC",S319&gt;90),"Alta",IF(AND(C319="CxC",S319&gt;60),"Media",IF(C319="CxC","Baja","")))</f>
        <v/>
      </c>
    </row>
    <row r="320">
      <c r="A320" s="19" t="n"/>
      <c r="F320" s="20" t="n"/>
      <c r="Q320" s="10">
        <f>IF(E320="USD",CONFIG!$B$5,1)</f>
        <v/>
      </c>
      <c r="R320">
        <f>IF(AND(A320&lt;&gt;"",ISNUMBER(A320),B320&lt;&gt;"",C320&lt;&gt;"",OR(E320="USD",E320="CRC"),F320&gt;0,ISNUMBER(Q320),Q320&gt;0),"✓ OK","✗ ERROR: Revisa datos")</f>
        <v/>
      </c>
      <c r="S320" s="6">
        <f>IF(A320&lt;&gt;"",TODAY()-A320,"")</f>
        <v/>
      </c>
      <c r="T320" s="4">
        <f>IF(E320="USD",F320,IF(E320="CRC",F320/CONFIG!$B$5,""))</f>
        <v/>
      </c>
      <c r="U320" s="19">
        <f>IF(A320&lt;&gt;"",A320+30,"")</f>
        <v/>
      </c>
      <c r="V320">
        <f>IF(AND(C320="CxP",S320&gt;60),"Alta",IF(AND(C320="CxP",S320&gt;30),"Media",IF(C320="CxP","Baja","")))</f>
        <v/>
      </c>
      <c r="W320">
        <f>IF(AND(C320="CxC",S320&gt;90),"Alta",IF(AND(C320="CxC",S320&gt;60),"Media",IF(C320="CxC","Baja","")))</f>
        <v/>
      </c>
    </row>
    <row r="321">
      <c r="A321" s="19" t="n"/>
      <c r="F321" s="20" t="n"/>
      <c r="Q321" s="10">
        <f>IF(E321="USD",CONFIG!$B$5,1)</f>
        <v/>
      </c>
      <c r="R321">
        <f>IF(AND(A321&lt;&gt;"",ISNUMBER(A321),B321&lt;&gt;"",C321&lt;&gt;"",OR(E321="USD",E321="CRC"),F321&gt;0,ISNUMBER(Q321),Q321&gt;0),"✓ OK","✗ ERROR: Revisa datos")</f>
        <v/>
      </c>
      <c r="S321" s="6">
        <f>IF(A321&lt;&gt;"",TODAY()-A321,"")</f>
        <v/>
      </c>
      <c r="T321" s="4">
        <f>IF(E321="USD",F321,IF(E321="CRC",F321/CONFIG!$B$5,""))</f>
        <v/>
      </c>
      <c r="U321" s="19">
        <f>IF(A321&lt;&gt;"",A321+30,"")</f>
        <v/>
      </c>
      <c r="V321">
        <f>IF(AND(C321="CxP",S321&gt;60),"Alta",IF(AND(C321="CxP",S321&gt;30),"Media",IF(C321="CxP","Baja","")))</f>
        <v/>
      </c>
      <c r="W321">
        <f>IF(AND(C321="CxC",S321&gt;90),"Alta",IF(AND(C321="CxC",S321&gt;60),"Media",IF(C321="CxC","Baja","")))</f>
        <v/>
      </c>
    </row>
    <row r="322">
      <c r="A322" s="19" t="n"/>
      <c r="F322" s="20" t="n"/>
      <c r="Q322" s="10">
        <f>IF(E322="USD",CONFIG!$B$5,1)</f>
        <v/>
      </c>
      <c r="R322">
        <f>IF(AND(A322&lt;&gt;"",ISNUMBER(A322),B322&lt;&gt;"",C322&lt;&gt;"",OR(E322="USD",E322="CRC"),F322&gt;0,ISNUMBER(Q322),Q322&gt;0),"✓ OK","✗ ERROR: Revisa datos")</f>
        <v/>
      </c>
      <c r="S322" s="6">
        <f>IF(A322&lt;&gt;"",TODAY()-A322,"")</f>
        <v/>
      </c>
      <c r="T322" s="4">
        <f>IF(E322="USD",F322,IF(E322="CRC",F322/CONFIG!$B$5,""))</f>
        <v/>
      </c>
      <c r="U322" s="19">
        <f>IF(A322&lt;&gt;"",A322+30,"")</f>
        <v/>
      </c>
      <c r="V322">
        <f>IF(AND(C322="CxP",S322&gt;60),"Alta",IF(AND(C322="CxP",S322&gt;30),"Media",IF(C322="CxP","Baja","")))</f>
        <v/>
      </c>
      <c r="W322">
        <f>IF(AND(C322="CxC",S322&gt;90),"Alta",IF(AND(C322="CxC",S322&gt;60),"Media",IF(C322="CxC","Baja","")))</f>
        <v/>
      </c>
    </row>
    <row r="323">
      <c r="A323" s="19" t="n"/>
      <c r="F323" s="20" t="n"/>
      <c r="Q323" s="10">
        <f>IF(E323="USD",CONFIG!$B$5,1)</f>
        <v/>
      </c>
      <c r="R323">
        <f>IF(AND(A323&lt;&gt;"",ISNUMBER(A323),B323&lt;&gt;"",C323&lt;&gt;"",OR(E323="USD",E323="CRC"),F323&gt;0,ISNUMBER(Q323),Q323&gt;0),"✓ OK","✗ ERROR: Revisa datos")</f>
        <v/>
      </c>
      <c r="S323" s="6">
        <f>IF(A323&lt;&gt;"",TODAY()-A323,"")</f>
        <v/>
      </c>
      <c r="T323" s="4">
        <f>IF(E323="USD",F323,IF(E323="CRC",F323/CONFIG!$B$5,""))</f>
        <v/>
      </c>
      <c r="U323" s="19">
        <f>IF(A323&lt;&gt;"",A323+30,"")</f>
        <v/>
      </c>
      <c r="V323">
        <f>IF(AND(C323="CxP",S323&gt;60),"Alta",IF(AND(C323="CxP",S323&gt;30),"Media",IF(C323="CxP","Baja","")))</f>
        <v/>
      </c>
      <c r="W323">
        <f>IF(AND(C323="CxC",S323&gt;90),"Alta",IF(AND(C323="CxC",S323&gt;60),"Media",IF(C323="CxC","Baja","")))</f>
        <v/>
      </c>
    </row>
    <row r="324">
      <c r="A324" s="19" t="n"/>
      <c r="F324" s="20" t="n"/>
      <c r="Q324" s="10">
        <f>IF(E324="USD",CONFIG!$B$5,1)</f>
        <v/>
      </c>
      <c r="R324">
        <f>IF(AND(A324&lt;&gt;"",ISNUMBER(A324),B324&lt;&gt;"",C324&lt;&gt;"",OR(E324="USD",E324="CRC"),F324&gt;0,ISNUMBER(Q324),Q324&gt;0),"✓ OK","✗ ERROR: Revisa datos")</f>
        <v/>
      </c>
      <c r="S324" s="6">
        <f>IF(A324&lt;&gt;"",TODAY()-A324,"")</f>
        <v/>
      </c>
      <c r="T324" s="4">
        <f>IF(E324="USD",F324,IF(E324="CRC",F324/CONFIG!$B$5,""))</f>
        <v/>
      </c>
      <c r="U324" s="19">
        <f>IF(A324&lt;&gt;"",A324+30,"")</f>
        <v/>
      </c>
      <c r="V324">
        <f>IF(AND(C324="CxP",S324&gt;60),"Alta",IF(AND(C324="CxP",S324&gt;30),"Media",IF(C324="CxP","Baja","")))</f>
        <v/>
      </c>
      <c r="W324">
        <f>IF(AND(C324="CxC",S324&gt;90),"Alta",IF(AND(C324="CxC",S324&gt;60),"Media",IF(C324="CxC","Baja","")))</f>
        <v/>
      </c>
    </row>
    <row r="325">
      <c r="A325" s="19" t="n"/>
      <c r="F325" s="20" t="n"/>
      <c r="Q325" s="10">
        <f>IF(E325="USD",CONFIG!$B$5,1)</f>
        <v/>
      </c>
      <c r="R325">
        <f>IF(AND(A325&lt;&gt;"",ISNUMBER(A325),B325&lt;&gt;"",C325&lt;&gt;"",OR(E325="USD",E325="CRC"),F325&gt;0,ISNUMBER(Q325),Q325&gt;0),"✓ OK","✗ ERROR: Revisa datos")</f>
        <v/>
      </c>
      <c r="S325" s="6">
        <f>IF(A325&lt;&gt;"",TODAY()-A325,"")</f>
        <v/>
      </c>
      <c r="T325" s="4">
        <f>IF(E325="USD",F325,IF(E325="CRC",F325/CONFIG!$B$5,""))</f>
        <v/>
      </c>
      <c r="U325" s="19">
        <f>IF(A325&lt;&gt;"",A325+30,"")</f>
        <v/>
      </c>
      <c r="V325">
        <f>IF(AND(C325="CxP",S325&gt;60),"Alta",IF(AND(C325="CxP",S325&gt;30),"Media",IF(C325="CxP","Baja","")))</f>
        <v/>
      </c>
      <c r="W325">
        <f>IF(AND(C325="CxC",S325&gt;90),"Alta",IF(AND(C325="CxC",S325&gt;60),"Media",IF(C325="CxC","Baja","")))</f>
        <v/>
      </c>
    </row>
    <row r="326">
      <c r="A326" s="19" t="n"/>
      <c r="F326" s="20" t="n"/>
      <c r="Q326" s="10">
        <f>IF(E326="USD",CONFIG!$B$5,1)</f>
        <v/>
      </c>
      <c r="R326">
        <f>IF(AND(A326&lt;&gt;"",ISNUMBER(A326),B326&lt;&gt;"",C326&lt;&gt;"",OR(E326="USD",E326="CRC"),F326&gt;0,ISNUMBER(Q326),Q326&gt;0),"✓ OK","✗ ERROR: Revisa datos")</f>
        <v/>
      </c>
      <c r="S326" s="6">
        <f>IF(A326&lt;&gt;"",TODAY()-A326,"")</f>
        <v/>
      </c>
      <c r="T326" s="4">
        <f>IF(E326="USD",F326,IF(E326="CRC",F326/CONFIG!$B$5,""))</f>
        <v/>
      </c>
      <c r="U326" s="19">
        <f>IF(A326&lt;&gt;"",A326+30,"")</f>
        <v/>
      </c>
      <c r="V326">
        <f>IF(AND(C326="CxP",S326&gt;60),"Alta",IF(AND(C326="CxP",S326&gt;30),"Media",IF(C326="CxP","Baja","")))</f>
        <v/>
      </c>
      <c r="W326">
        <f>IF(AND(C326="CxC",S326&gt;90),"Alta",IF(AND(C326="CxC",S326&gt;60),"Media",IF(C326="CxC","Baja","")))</f>
        <v/>
      </c>
    </row>
    <row r="327">
      <c r="A327" s="19" t="n"/>
      <c r="F327" s="20" t="n"/>
      <c r="Q327" s="10">
        <f>IF(E327="USD",CONFIG!$B$5,1)</f>
        <v/>
      </c>
      <c r="R327">
        <f>IF(AND(A327&lt;&gt;"",ISNUMBER(A327),B327&lt;&gt;"",C327&lt;&gt;"",OR(E327="USD",E327="CRC"),F327&gt;0,ISNUMBER(Q327),Q327&gt;0),"✓ OK","✗ ERROR: Revisa datos")</f>
        <v/>
      </c>
      <c r="S327" s="6">
        <f>IF(A327&lt;&gt;"",TODAY()-A327,"")</f>
        <v/>
      </c>
      <c r="T327" s="4">
        <f>IF(E327="USD",F327,IF(E327="CRC",F327/CONFIG!$B$5,""))</f>
        <v/>
      </c>
      <c r="U327" s="19">
        <f>IF(A327&lt;&gt;"",A327+30,"")</f>
        <v/>
      </c>
      <c r="V327">
        <f>IF(AND(C327="CxP",S327&gt;60),"Alta",IF(AND(C327="CxP",S327&gt;30),"Media",IF(C327="CxP","Baja","")))</f>
        <v/>
      </c>
      <c r="W327">
        <f>IF(AND(C327="CxC",S327&gt;90),"Alta",IF(AND(C327="CxC",S327&gt;60),"Media",IF(C327="CxC","Baja","")))</f>
        <v/>
      </c>
    </row>
    <row r="328">
      <c r="A328" s="19" t="n"/>
      <c r="F328" s="20" t="n"/>
      <c r="Q328" s="10">
        <f>IF(E328="USD",CONFIG!$B$5,1)</f>
        <v/>
      </c>
      <c r="R328">
        <f>IF(AND(A328&lt;&gt;"",ISNUMBER(A328),B328&lt;&gt;"",C328&lt;&gt;"",OR(E328="USD",E328="CRC"),F328&gt;0,ISNUMBER(Q328),Q328&gt;0),"✓ OK","✗ ERROR: Revisa datos")</f>
        <v/>
      </c>
      <c r="S328" s="6">
        <f>IF(A328&lt;&gt;"",TODAY()-A328,"")</f>
        <v/>
      </c>
      <c r="T328" s="4">
        <f>IF(E328="USD",F328,IF(E328="CRC",F328/CONFIG!$B$5,""))</f>
        <v/>
      </c>
      <c r="U328" s="19">
        <f>IF(A328&lt;&gt;"",A328+30,"")</f>
        <v/>
      </c>
      <c r="V328">
        <f>IF(AND(C328="CxP",S328&gt;60),"Alta",IF(AND(C328="CxP",S328&gt;30),"Media",IF(C328="CxP","Baja","")))</f>
        <v/>
      </c>
      <c r="W328">
        <f>IF(AND(C328="CxC",S328&gt;90),"Alta",IF(AND(C328="CxC",S328&gt;60),"Media",IF(C328="CxC","Baja","")))</f>
        <v/>
      </c>
    </row>
    <row r="329">
      <c r="A329" s="19" t="n"/>
      <c r="F329" s="20" t="n"/>
      <c r="Q329" s="10">
        <f>IF(E329="USD",CONFIG!$B$5,1)</f>
        <v/>
      </c>
      <c r="R329">
        <f>IF(AND(A329&lt;&gt;"",ISNUMBER(A329),B329&lt;&gt;"",C329&lt;&gt;"",OR(E329="USD",E329="CRC"),F329&gt;0,ISNUMBER(Q329),Q329&gt;0),"✓ OK","✗ ERROR: Revisa datos")</f>
        <v/>
      </c>
      <c r="S329" s="6">
        <f>IF(A329&lt;&gt;"",TODAY()-A329,"")</f>
        <v/>
      </c>
      <c r="T329" s="4">
        <f>IF(E329="USD",F329,IF(E329="CRC",F329/CONFIG!$B$5,""))</f>
        <v/>
      </c>
      <c r="U329" s="19">
        <f>IF(A329&lt;&gt;"",A329+30,"")</f>
        <v/>
      </c>
      <c r="V329">
        <f>IF(AND(C329="CxP",S329&gt;60),"Alta",IF(AND(C329="CxP",S329&gt;30),"Media",IF(C329="CxP","Baja","")))</f>
        <v/>
      </c>
      <c r="W329">
        <f>IF(AND(C329="CxC",S329&gt;90),"Alta",IF(AND(C329="CxC",S329&gt;60),"Media",IF(C329="CxC","Baja","")))</f>
        <v/>
      </c>
    </row>
    <row r="330">
      <c r="A330" s="19" t="n"/>
      <c r="F330" s="20" t="n"/>
      <c r="Q330" s="10">
        <f>IF(E330="USD",CONFIG!$B$5,1)</f>
        <v/>
      </c>
      <c r="R330">
        <f>IF(AND(A330&lt;&gt;"",ISNUMBER(A330),B330&lt;&gt;"",C330&lt;&gt;"",OR(E330="USD",E330="CRC"),F330&gt;0,ISNUMBER(Q330),Q330&gt;0),"✓ OK","✗ ERROR: Revisa datos")</f>
        <v/>
      </c>
      <c r="S330" s="6">
        <f>IF(A330&lt;&gt;"",TODAY()-A330,"")</f>
        <v/>
      </c>
      <c r="T330" s="4">
        <f>IF(E330="USD",F330,IF(E330="CRC",F330/CONFIG!$B$5,""))</f>
        <v/>
      </c>
      <c r="U330" s="19">
        <f>IF(A330&lt;&gt;"",A330+30,"")</f>
        <v/>
      </c>
      <c r="V330">
        <f>IF(AND(C330="CxP",S330&gt;60),"Alta",IF(AND(C330="CxP",S330&gt;30),"Media",IF(C330="CxP","Baja","")))</f>
        <v/>
      </c>
      <c r="W330">
        <f>IF(AND(C330="CxC",S330&gt;90),"Alta",IF(AND(C330="CxC",S330&gt;60),"Media",IF(C330="CxC","Baja","")))</f>
        <v/>
      </c>
    </row>
    <row r="331">
      <c r="A331" s="19" t="n"/>
      <c r="F331" s="20" t="n"/>
      <c r="Q331" s="10">
        <f>IF(E331="USD",CONFIG!$B$5,1)</f>
        <v/>
      </c>
      <c r="R331">
        <f>IF(AND(A331&lt;&gt;"",ISNUMBER(A331),B331&lt;&gt;"",C331&lt;&gt;"",OR(E331="USD",E331="CRC"),F331&gt;0,ISNUMBER(Q331),Q331&gt;0),"✓ OK","✗ ERROR: Revisa datos")</f>
        <v/>
      </c>
      <c r="S331" s="6">
        <f>IF(A331&lt;&gt;"",TODAY()-A331,"")</f>
        <v/>
      </c>
      <c r="T331" s="4">
        <f>IF(E331="USD",F331,IF(E331="CRC",F331/CONFIG!$B$5,""))</f>
        <v/>
      </c>
      <c r="U331" s="19">
        <f>IF(A331&lt;&gt;"",A331+30,"")</f>
        <v/>
      </c>
      <c r="V331">
        <f>IF(AND(C331="CxP",S331&gt;60),"Alta",IF(AND(C331="CxP",S331&gt;30),"Media",IF(C331="CxP","Baja","")))</f>
        <v/>
      </c>
      <c r="W331">
        <f>IF(AND(C331="CxC",S331&gt;90),"Alta",IF(AND(C331="CxC",S331&gt;60),"Media",IF(C331="CxC","Baja","")))</f>
        <v/>
      </c>
    </row>
    <row r="332">
      <c r="A332" s="19" t="n"/>
      <c r="F332" s="20" t="n"/>
      <c r="Q332" s="10">
        <f>IF(E332="USD",CONFIG!$B$5,1)</f>
        <v/>
      </c>
      <c r="R332">
        <f>IF(AND(A332&lt;&gt;"",ISNUMBER(A332),B332&lt;&gt;"",C332&lt;&gt;"",OR(E332="USD",E332="CRC"),F332&gt;0,ISNUMBER(Q332),Q332&gt;0),"✓ OK","✗ ERROR: Revisa datos")</f>
        <v/>
      </c>
      <c r="S332" s="6">
        <f>IF(A332&lt;&gt;"",TODAY()-A332,"")</f>
        <v/>
      </c>
      <c r="T332" s="4">
        <f>IF(E332="USD",F332,IF(E332="CRC",F332/CONFIG!$B$5,""))</f>
        <v/>
      </c>
      <c r="U332" s="19">
        <f>IF(A332&lt;&gt;"",A332+30,"")</f>
        <v/>
      </c>
      <c r="V332">
        <f>IF(AND(C332="CxP",S332&gt;60),"Alta",IF(AND(C332="CxP",S332&gt;30),"Media",IF(C332="CxP","Baja","")))</f>
        <v/>
      </c>
      <c r="W332">
        <f>IF(AND(C332="CxC",S332&gt;90),"Alta",IF(AND(C332="CxC",S332&gt;60),"Media",IF(C332="CxC","Baja","")))</f>
        <v/>
      </c>
    </row>
    <row r="333">
      <c r="A333" s="19" t="n"/>
      <c r="F333" s="20" t="n"/>
      <c r="Q333" s="10">
        <f>IF(E333="USD",CONFIG!$B$5,1)</f>
        <v/>
      </c>
      <c r="R333">
        <f>IF(AND(A333&lt;&gt;"",ISNUMBER(A333),B333&lt;&gt;"",C333&lt;&gt;"",OR(E333="USD",E333="CRC"),F333&gt;0,ISNUMBER(Q333),Q333&gt;0),"✓ OK","✗ ERROR: Revisa datos")</f>
        <v/>
      </c>
      <c r="S333" s="6">
        <f>IF(A333&lt;&gt;"",TODAY()-A333,"")</f>
        <v/>
      </c>
      <c r="T333" s="4">
        <f>IF(E333="USD",F333,IF(E333="CRC",F333/CONFIG!$B$5,""))</f>
        <v/>
      </c>
      <c r="U333" s="19">
        <f>IF(A333&lt;&gt;"",A333+30,"")</f>
        <v/>
      </c>
      <c r="V333">
        <f>IF(AND(C333="CxP",S333&gt;60),"Alta",IF(AND(C333="CxP",S333&gt;30),"Media",IF(C333="CxP","Baja","")))</f>
        <v/>
      </c>
      <c r="W333">
        <f>IF(AND(C333="CxC",S333&gt;90),"Alta",IF(AND(C333="CxC",S333&gt;60),"Media",IF(C333="CxC","Baja","")))</f>
        <v/>
      </c>
    </row>
    <row r="334">
      <c r="A334" s="19" t="n"/>
      <c r="F334" s="20" t="n"/>
      <c r="Q334" s="10">
        <f>IF(E334="USD",CONFIG!$B$5,1)</f>
        <v/>
      </c>
      <c r="R334">
        <f>IF(AND(A334&lt;&gt;"",ISNUMBER(A334),B334&lt;&gt;"",C334&lt;&gt;"",OR(E334="USD",E334="CRC"),F334&gt;0,ISNUMBER(Q334),Q334&gt;0),"✓ OK","✗ ERROR: Revisa datos")</f>
        <v/>
      </c>
      <c r="S334" s="6">
        <f>IF(A334&lt;&gt;"",TODAY()-A334,"")</f>
        <v/>
      </c>
      <c r="T334" s="4">
        <f>IF(E334="USD",F334,IF(E334="CRC",F334/CONFIG!$B$5,""))</f>
        <v/>
      </c>
      <c r="U334" s="19">
        <f>IF(A334&lt;&gt;"",A334+30,"")</f>
        <v/>
      </c>
      <c r="V334">
        <f>IF(AND(C334="CxP",S334&gt;60),"Alta",IF(AND(C334="CxP",S334&gt;30),"Media",IF(C334="CxP","Baja","")))</f>
        <v/>
      </c>
      <c r="W334">
        <f>IF(AND(C334="CxC",S334&gt;90),"Alta",IF(AND(C334="CxC",S334&gt;60),"Media",IF(C334="CxC","Baja","")))</f>
        <v/>
      </c>
    </row>
    <row r="335">
      <c r="A335" s="19" t="n"/>
      <c r="F335" s="20" t="n"/>
      <c r="Q335" s="10">
        <f>IF(E335="USD",CONFIG!$B$5,1)</f>
        <v/>
      </c>
      <c r="R335">
        <f>IF(AND(A335&lt;&gt;"",ISNUMBER(A335),B335&lt;&gt;"",C335&lt;&gt;"",OR(E335="USD",E335="CRC"),F335&gt;0,ISNUMBER(Q335),Q335&gt;0),"✓ OK","✗ ERROR: Revisa datos")</f>
        <v/>
      </c>
      <c r="S335" s="6">
        <f>IF(A335&lt;&gt;"",TODAY()-A335,"")</f>
        <v/>
      </c>
      <c r="T335" s="4">
        <f>IF(E335="USD",F335,IF(E335="CRC",F335/CONFIG!$B$5,""))</f>
        <v/>
      </c>
      <c r="U335" s="19">
        <f>IF(A335&lt;&gt;"",A335+30,"")</f>
        <v/>
      </c>
      <c r="V335">
        <f>IF(AND(C335="CxP",S335&gt;60),"Alta",IF(AND(C335="CxP",S335&gt;30),"Media",IF(C335="CxP","Baja","")))</f>
        <v/>
      </c>
      <c r="W335">
        <f>IF(AND(C335="CxC",S335&gt;90),"Alta",IF(AND(C335="CxC",S335&gt;60),"Media",IF(C335="CxC","Baja","")))</f>
        <v/>
      </c>
    </row>
    <row r="336">
      <c r="A336" s="19" t="n"/>
      <c r="F336" s="20" t="n"/>
      <c r="Q336" s="10">
        <f>IF(E336="USD",CONFIG!$B$5,1)</f>
        <v/>
      </c>
      <c r="R336">
        <f>IF(AND(A336&lt;&gt;"",ISNUMBER(A336),B336&lt;&gt;"",C336&lt;&gt;"",OR(E336="USD",E336="CRC"),F336&gt;0,ISNUMBER(Q336),Q336&gt;0),"✓ OK","✗ ERROR: Revisa datos")</f>
        <v/>
      </c>
      <c r="S336" s="6">
        <f>IF(A336&lt;&gt;"",TODAY()-A336,"")</f>
        <v/>
      </c>
      <c r="T336" s="4">
        <f>IF(E336="USD",F336,IF(E336="CRC",F336/CONFIG!$B$5,""))</f>
        <v/>
      </c>
      <c r="U336" s="19">
        <f>IF(A336&lt;&gt;"",A336+30,"")</f>
        <v/>
      </c>
      <c r="V336">
        <f>IF(AND(C336="CxP",S336&gt;60),"Alta",IF(AND(C336="CxP",S336&gt;30),"Media",IF(C336="CxP","Baja","")))</f>
        <v/>
      </c>
      <c r="W336">
        <f>IF(AND(C336="CxC",S336&gt;90),"Alta",IF(AND(C336="CxC",S336&gt;60),"Media",IF(C336="CxC","Baja","")))</f>
        <v/>
      </c>
    </row>
    <row r="337">
      <c r="A337" s="19" t="n"/>
      <c r="F337" s="20" t="n"/>
      <c r="Q337" s="10">
        <f>IF(E337="USD",CONFIG!$B$5,1)</f>
        <v/>
      </c>
      <c r="R337">
        <f>IF(AND(A337&lt;&gt;"",ISNUMBER(A337),B337&lt;&gt;"",C337&lt;&gt;"",OR(E337="USD",E337="CRC"),F337&gt;0,ISNUMBER(Q337),Q337&gt;0),"✓ OK","✗ ERROR: Revisa datos")</f>
        <v/>
      </c>
      <c r="S337" s="6">
        <f>IF(A337&lt;&gt;"",TODAY()-A337,"")</f>
        <v/>
      </c>
      <c r="T337" s="4">
        <f>IF(E337="USD",F337,IF(E337="CRC",F337/CONFIG!$B$5,""))</f>
        <v/>
      </c>
      <c r="U337" s="19">
        <f>IF(A337&lt;&gt;"",A337+30,"")</f>
        <v/>
      </c>
      <c r="V337">
        <f>IF(AND(C337="CxP",S337&gt;60),"Alta",IF(AND(C337="CxP",S337&gt;30),"Media",IF(C337="CxP","Baja","")))</f>
        <v/>
      </c>
      <c r="W337">
        <f>IF(AND(C337="CxC",S337&gt;90),"Alta",IF(AND(C337="CxC",S337&gt;60),"Media",IF(C337="CxC","Baja","")))</f>
        <v/>
      </c>
    </row>
    <row r="338">
      <c r="A338" s="19" t="n"/>
      <c r="F338" s="20" t="n"/>
      <c r="Q338" s="10">
        <f>IF(E338="USD",CONFIG!$B$5,1)</f>
        <v/>
      </c>
      <c r="R338">
        <f>IF(AND(A338&lt;&gt;"",ISNUMBER(A338),B338&lt;&gt;"",C338&lt;&gt;"",OR(E338="USD",E338="CRC"),F338&gt;0,ISNUMBER(Q338),Q338&gt;0),"✓ OK","✗ ERROR: Revisa datos")</f>
        <v/>
      </c>
      <c r="S338" s="6">
        <f>IF(A338&lt;&gt;"",TODAY()-A338,"")</f>
        <v/>
      </c>
      <c r="T338" s="4">
        <f>IF(E338="USD",F338,IF(E338="CRC",F338/CONFIG!$B$5,""))</f>
        <v/>
      </c>
      <c r="U338" s="19">
        <f>IF(A338&lt;&gt;"",A338+30,"")</f>
        <v/>
      </c>
      <c r="V338">
        <f>IF(AND(C338="CxP",S338&gt;60),"Alta",IF(AND(C338="CxP",S338&gt;30),"Media",IF(C338="CxP","Baja","")))</f>
        <v/>
      </c>
      <c r="W338">
        <f>IF(AND(C338="CxC",S338&gt;90),"Alta",IF(AND(C338="CxC",S338&gt;60),"Media",IF(C338="CxC","Baja","")))</f>
        <v/>
      </c>
    </row>
    <row r="339">
      <c r="A339" s="19" t="n"/>
      <c r="F339" s="20" t="n"/>
      <c r="Q339" s="10">
        <f>IF(E339="USD",CONFIG!$B$5,1)</f>
        <v/>
      </c>
      <c r="R339">
        <f>IF(AND(A339&lt;&gt;"",ISNUMBER(A339),B339&lt;&gt;"",C339&lt;&gt;"",OR(E339="USD",E339="CRC"),F339&gt;0,ISNUMBER(Q339),Q339&gt;0),"✓ OK","✗ ERROR: Revisa datos")</f>
        <v/>
      </c>
      <c r="S339" s="6">
        <f>IF(A339&lt;&gt;"",TODAY()-A339,"")</f>
        <v/>
      </c>
      <c r="T339" s="4">
        <f>IF(E339="USD",F339,IF(E339="CRC",F339/CONFIG!$B$5,""))</f>
        <v/>
      </c>
      <c r="U339" s="19">
        <f>IF(A339&lt;&gt;"",A339+30,"")</f>
        <v/>
      </c>
      <c r="V339">
        <f>IF(AND(C339="CxP",S339&gt;60),"Alta",IF(AND(C339="CxP",S339&gt;30),"Media",IF(C339="CxP","Baja","")))</f>
        <v/>
      </c>
      <c r="W339">
        <f>IF(AND(C339="CxC",S339&gt;90),"Alta",IF(AND(C339="CxC",S339&gt;60),"Media",IF(C339="CxC","Baja","")))</f>
        <v/>
      </c>
    </row>
    <row r="340">
      <c r="A340" s="19" t="n"/>
      <c r="F340" s="20" t="n"/>
      <c r="Q340" s="10">
        <f>IF(E340="USD",CONFIG!$B$5,1)</f>
        <v/>
      </c>
      <c r="R340">
        <f>IF(AND(A340&lt;&gt;"",ISNUMBER(A340),B340&lt;&gt;"",C340&lt;&gt;"",OR(E340="USD",E340="CRC"),F340&gt;0,ISNUMBER(Q340),Q340&gt;0),"✓ OK","✗ ERROR: Revisa datos")</f>
        <v/>
      </c>
      <c r="S340" s="6">
        <f>IF(A340&lt;&gt;"",TODAY()-A340,"")</f>
        <v/>
      </c>
      <c r="T340" s="4">
        <f>IF(E340="USD",F340,IF(E340="CRC",F340/CONFIG!$B$5,""))</f>
        <v/>
      </c>
      <c r="U340" s="19">
        <f>IF(A340&lt;&gt;"",A340+30,"")</f>
        <v/>
      </c>
      <c r="V340">
        <f>IF(AND(C340="CxP",S340&gt;60),"Alta",IF(AND(C340="CxP",S340&gt;30),"Media",IF(C340="CxP","Baja","")))</f>
        <v/>
      </c>
      <c r="W340">
        <f>IF(AND(C340="CxC",S340&gt;90),"Alta",IF(AND(C340="CxC",S340&gt;60),"Media",IF(C340="CxC","Baja","")))</f>
        <v/>
      </c>
    </row>
    <row r="341">
      <c r="A341" s="19" t="n"/>
      <c r="F341" s="20" t="n"/>
      <c r="Q341" s="10">
        <f>IF(E341="USD",CONFIG!$B$5,1)</f>
        <v/>
      </c>
      <c r="R341">
        <f>IF(AND(A341&lt;&gt;"",ISNUMBER(A341),B341&lt;&gt;"",C341&lt;&gt;"",OR(E341="USD",E341="CRC"),F341&gt;0,ISNUMBER(Q341),Q341&gt;0),"✓ OK","✗ ERROR: Revisa datos")</f>
        <v/>
      </c>
      <c r="S341" s="6">
        <f>IF(A341&lt;&gt;"",TODAY()-A341,"")</f>
        <v/>
      </c>
      <c r="T341" s="4">
        <f>IF(E341="USD",F341,IF(E341="CRC",F341/CONFIG!$B$5,""))</f>
        <v/>
      </c>
      <c r="U341" s="19">
        <f>IF(A341&lt;&gt;"",A341+30,"")</f>
        <v/>
      </c>
      <c r="V341">
        <f>IF(AND(C341="CxP",S341&gt;60),"Alta",IF(AND(C341="CxP",S341&gt;30),"Media",IF(C341="CxP","Baja","")))</f>
        <v/>
      </c>
      <c r="W341">
        <f>IF(AND(C341="CxC",S341&gt;90),"Alta",IF(AND(C341="CxC",S341&gt;60),"Media",IF(C341="CxC","Baja","")))</f>
        <v/>
      </c>
    </row>
    <row r="342">
      <c r="A342" s="19" t="n"/>
      <c r="F342" s="20" t="n"/>
      <c r="Q342" s="10">
        <f>IF(E342="USD",CONFIG!$B$5,1)</f>
        <v/>
      </c>
      <c r="R342">
        <f>IF(AND(A342&lt;&gt;"",ISNUMBER(A342),B342&lt;&gt;"",C342&lt;&gt;"",OR(E342="USD",E342="CRC"),F342&gt;0,ISNUMBER(Q342),Q342&gt;0),"✓ OK","✗ ERROR: Revisa datos")</f>
        <v/>
      </c>
      <c r="S342" s="6">
        <f>IF(A342&lt;&gt;"",TODAY()-A342,"")</f>
        <v/>
      </c>
      <c r="T342" s="4">
        <f>IF(E342="USD",F342,IF(E342="CRC",F342/CONFIG!$B$5,""))</f>
        <v/>
      </c>
      <c r="U342" s="19">
        <f>IF(A342&lt;&gt;"",A342+30,"")</f>
        <v/>
      </c>
      <c r="V342">
        <f>IF(AND(C342="CxP",S342&gt;60),"Alta",IF(AND(C342="CxP",S342&gt;30),"Media",IF(C342="CxP","Baja","")))</f>
        <v/>
      </c>
      <c r="W342">
        <f>IF(AND(C342="CxC",S342&gt;90),"Alta",IF(AND(C342="CxC",S342&gt;60),"Media",IF(C342="CxC","Baja","")))</f>
        <v/>
      </c>
    </row>
    <row r="343">
      <c r="A343" s="19" t="n"/>
      <c r="F343" s="20" t="n"/>
      <c r="Q343" s="10">
        <f>IF(E343="USD",CONFIG!$B$5,1)</f>
        <v/>
      </c>
      <c r="R343">
        <f>IF(AND(A343&lt;&gt;"",ISNUMBER(A343),B343&lt;&gt;"",C343&lt;&gt;"",OR(E343="USD",E343="CRC"),F343&gt;0,ISNUMBER(Q343),Q343&gt;0),"✓ OK","✗ ERROR: Revisa datos")</f>
        <v/>
      </c>
      <c r="S343" s="6">
        <f>IF(A343&lt;&gt;"",TODAY()-A343,"")</f>
        <v/>
      </c>
      <c r="T343" s="4">
        <f>IF(E343="USD",F343,IF(E343="CRC",F343/CONFIG!$B$5,""))</f>
        <v/>
      </c>
      <c r="U343" s="19">
        <f>IF(A343&lt;&gt;"",A343+30,"")</f>
        <v/>
      </c>
      <c r="V343">
        <f>IF(AND(C343="CxP",S343&gt;60),"Alta",IF(AND(C343="CxP",S343&gt;30),"Media",IF(C343="CxP","Baja","")))</f>
        <v/>
      </c>
      <c r="W343">
        <f>IF(AND(C343="CxC",S343&gt;90),"Alta",IF(AND(C343="CxC",S343&gt;60),"Media",IF(C343="CxC","Baja","")))</f>
        <v/>
      </c>
    </row>
    <row r="344">
      <c r="A344" s="19" t="n"/>
      <c r="F344" s="20" t="n"/>
      <c r="Q344" s="10">
        <f>IF(E344="USD",CONFIG!$B$5,1)</f>
        <v/>
      </c>
      <c r="R344">
        <f>IF(AND(A344&lt;&gt;"",ISNUMBER(A344),B344&lt;&gt;"",C344&lt;&gt;"",OR(E344="USD",E344="CRC"),F344&gt;0,ISNUMBER(Q344),Q344&gt;0),"✓ OK","✗ ERROR: Revisa datos")</f>
        <v/>
      </c>
      <c r="S344" s="6">
        <f>IF(A344&lt;&gt;"",TODAY()-A344,"")</f>
        <v/>
      </c>
      <c r="T344" s="4">
        <f>IF(E344="USD",F344,IF(E344="CRC",F344/CONFIG!$B$5,""))</f>
        <v/>
      </c>
      <c r="U344" s="19">
        <f>IF(A344&lt;&gt;"",A344+30,"")</f>
        <v/>
      </c>
      <c r="V344">
        <f>IF(AND(C344="CxP",S344&gt;60),"Alta",IF(AND(C344="CxP",S344&gt;30),"Media",IF(C344="CxP","Baja","")))</f>
        <v/>
      </c>
      <c r="W344">
        <f>IF(AND(C344="CxC",S344&gt;90),"Alta",IF(AND(C344="CxC",S344&gt;60),"Media",IF(C344="CxC","Baja","")))</f>
        <v/>
      </c>
    </row>
    <row r="345">
      <c r="A345" s="19" t="n"/>
      <c r="F345" s="20" t="n"/>
      <c r="Q345" s="10">
        <f>IF(E345="USD",CONFIG!$B$5,1)</f>
        <v/>
      </c>
      <c r="R345">
        <f>IF(AND(A345&lt;&gt;"",ISNUMBER(A345),B345&lt;&gt;"",C345&lt;&gt;"",OR(E345="USD",E345="CRC"),F345&gt;0,ISNUMBER(Q345),Q345&gt;0),"✓ OK","✗ ERROR: Revisa datos")</f>
        <v/>
      </c>
      <c r="S345" s="6">
        <f>IF(A345&lt;&gt;"",TODAY()-A345,"")</f>
        <v/>
      </c>
      <c r="T345" s="4">
        <f>IF(E345="USD",F345,IF(E345="CRC",F345/CONFIG!$B$5,""))</f>
        <v/>
      </c>
      <c r="U345" s="19">
        <f>IF(A345&lt;&gt;"",A345+30,"")</f>
        <v/>
      </c>
      <c r="V345">
        <f>IF(AND(C345="CxP",S345&gt;60),"Alta",IF(AND(C345="CxP",S345&gt;30),"Media",IF(C345="CxP","Baja","")))</f>
        <v/>
      </c>
      <c r="W345">
        <f>IF(AND(C345="CxC",S345&gt;90),"Alta",IF(AND(C345="CxC",S345&gt;60),"Media",IF(C345="CxC","Baja","")))</f>
        <v/>
      </c>
    </row>
    <row r="346">
      <c r="A346" s="19" t="n"/>
      <c r="F346" s="20" t="n"/>
      <c r="Q346" s="10">
        <f>IF(E346="USD",CONFIG!$B$5,1)</f>
        <v/>
      </c>
      <c r="R346">
        <f>IF(AND(A346&lt;&gt;"",ISNUMBER(A346),B346&lt;&gt;"",C346&lt;&gt;"",OR(E346="USD",E346="CRC"),F346&gt;0,ISNUMBER(Q346),Q346&gt;0),"✓ OK","✗ ERROR: Revisa datos")</f>
        <v/>
      </c>
      <c r="S346" s="6">
        <f>IF(A346&lt;&gt;"",TODAY()-A346,"")</f>
        <v/>
      </c>
      <c r="T346" s="4">
        <f>IF(E346="USD",F346,IF(E346="CRC",F346/CONFIG!$B$5,""))</f>
        <v/>
      </c>
      <c r="U346" s="19">
        <f>IF(A346&lt;&gt;"",A346+30,"")</f>
        <v/>
      </c>
      <c r="V346">
        <f>IF(AND(C346="CxP",S346&gt;60),"Alta",IF(AND(C346="CxP",S346&gt;30),"Media",IF(C346="CxP","Baja","")))</f>
        <v/>
      </c>
      <c r="W346">
        <f>IF(AND(C346="CxC",S346&gt;90),"Alta",IF(AND(C346="CxC",S346&gt;60),"Media",IF(C346="CxC","Baja","")))</f>
        <v/>
      </c>
    </row>
    <row r="347">
      <c r="A347" s="19" t="n"/>
      <c r="F347" s="20" t="n"/>
      <c r="Q347" s="10">
        <f>IF(E347="USD",CONFIG!$B$5,1)</f>
        <v/>
      </c>
      <c r="R347">
        <f>IF(AND(A347&lt;&gt;"",ISNUMBER(A347),B347&lt;&gt;"",C347&lt;&gt;"",OR(E347="USD",E347="CRC"),F347&gt;0,ISNUMBER(Q347),Q347&gt;0),"✓ OK","✗ ERROR: Revisa datos")</f>
        <v/>
      </c>
      <c r="S347" s="6">
        <f>IF(A347&lt;&gt;"",TODAY()-A347,"")</f>
        <v/>
      </c>
      <c r="T347" s="4">
        <f>IF(E347="USD",F347,IF(E347="CRC",F347/CONFIG!$B$5,""))</f>
        <v/>
      </c>
      <c r="U347" s="19">
        <f>IF(A347&lt;&gt;"",A347+30,"")</f>
        <v/>
      </c>
      <c r="V347">
        <f>IF(AND(C347="CxP",S347&gt;60),"Alta",IF(AND(C347="CxP",S347&gt;30),"Media",IF(C347="CxP","Baja","")))</f>
        <v/>
      </c>
      <c r="W347">
        <f>IF(AND(C347="CxC",S347&gt;90),"Alta",IF(AND(C347="CxC",S347&gt;60),"Media",IF(C347="CxC","Baja","")))</f>
        <v/>
      </c>
    </row>
    <row r="348">
      <c r="A348" s="19" t="n"/>
      <c r="F348" s="20" t="n"/>
      <c r="Q348" s="10">
        <f>IF(E348="USD",CONFIG!$B$5,1)</f>
        <v/>
      </c>
      <c r="R348">
        <f>IF(AND(A348&lt;&gt;"",ISNUMBER(A348),B348&lt;&gt;"",C348&lt;&gt;"",OR(E348="USD",E348="CRC"),F348&gt;0,ISNUMBER(Q348),Q348&gt;0),"✓ OK","✗ ERROR: Revisa datos")</f>
        <v/>
      </c>
      <c r="S348" s="6">
        <f>IF(A348&lt;&gt;"",TODAY()-A348,"")</f>
        <v/>
      </c>
      <c r="T348" s="4">
        <f>IF(E348="USD",F348,IF(E348="CRC",F348/CONFIG!$B$5,""))</f>
        <v/>
      </c>
      <c r="U348" s="19">
        <f>IF(A348&lt;&gt;"",A348+30,"")</f>
        <v/>
      </c>
      <c r="V348">
        <f>IF(AND(C348="CxP",S348&gt;60),"Alta",IF(AND(C348="CxP",S348&gt;30),"Media",IF(C348="CxP","Baja","")))</f>
        <v/>
      </c>
      <c r="W348">
        <f>IF(AND(C348="CxC",S348&gt;90),"Alta",IF(AND(C348="CxC",S348&gt;60),"Media",IF(C348="CxC","Baja","")))</f>
        <v/>
      </c>
    </row>
    <row r="349">
      <c r="A349" s="19" t="n"/>
      <c r="F349" s="20" t="n"/>
      <c r="Q349" s="10">
        <f>IF(E349="USD",CONFIG!$B$5,1)</f>
        <v/>
      </c>
      <c r="R349">
        <f>IF(AND(A349&lt;&gt;"",ISNUMBER(A349),B349&lt;&gt;"",C349&lt;&gt;"",OR(E349="USD",E349="CRC"),F349&gt;0,ISNUMBER(Q349),Q349&gt;0),"✓ OK","✗ ERROR: Revisa datos")</f>
        <v/>
      </c>
      <c r="S349" s="6">
        <f>IF(A349&lt;&gt;"",TODAY()-A349,"")</f>
        <v/>
      </c>
      <c r="T349" s="4">
        <f>IF(E349="USD",F349,IF(E349="CRC",F349/CONFIG!$B$5,""))</f>
        <v/>
      </c>
      <c r="U349" s="19">
        <f>IF(A349&lt;&gt;"",A349+30,"")</f>
        <v/>
      </c>
      <c r="V349">
        <f>IF(AND(C349="CxP",S349&gt;60),"Alta",IF(AND(C349="CxP",S349&gt;30),"Media",IF(C349="CxP","Baja","")))</f>
        <v/>
      </c>
      <c r="W349">
        <f>IF(AND(C349="CxC",S349&gt;90),"Alta",IF(AND(C349="CxC",S349&gt;60),"Media",IF(C349="CxC","Baja","")))</f>
        <v/>
      </c>
    </row>
    <row r="350">
      <c r="A350" s="19" t="n"/>
      <c r="F350" s="20" t="n"/>
      <c r="Q350" s="10">
        <f>IF(E350="USD",CONFIG!$B$5,1)</f>
        <v/>
      </c>
      <c r="R350">
        <f>IF(AND(A350&lt;&gt;"",ISNUMBER(A350),B350&lt;&gt;"",C350&lt;&gt;"",OR(E350="USD",E350="CRC"),F350&gt;0,ISNUMBER(Q350),Q350&gt;0),"✓ OK","✗ ERROR: Revisa datos")</f>
        <v/>
      </c>
      <c r="S350" s="6">
        <f>IF(A350&lt;&gt;"",TODAY()-A350,"")</f>
        <v/>
      </c>
      <c r="T350" s="4">
        <f>IF(E350="USD",F350,IF(E350="CRC",F350/CONFIG!$B$5,""))</f>
        <v/>
      </c>
      <c r="U350" s="19">
        <f>IF(A350&lt;&gt;"",A350+30,"")</f>
        <v/>
      </c>
      <c r="V350">
        <f>IF(AND(C350="CxP",S350&gt;60),"Alta",IF(AND(C350="CxP",S350&gt;30),"Media",IF(C350="CxP","Baja","")))</f>
        <v/>
      </c>
      <c r="W350">
        <f>IF(AND(C350="CxC",S350&gt;90),"Alta",IF(AND(C350="CxC",S350&gt;60),"Media",IF(C350="CxC","Baja","")))</f>
        <v/>
      </c>
    </row>
    <row r="351">
      <c r="A351" s="19" t="n"/>
      <c r="F351" s="20" t="n"/>
      <c r="Q351" s="10">
        <f>IF(E351="USD",CONFIG!$B$5,1)</f>
        <v/>
      </c>
      <c r="R351">
        <f>IF(AND(A351&lt;&gt;"",ISNUMBER(A351),B351&lt;&gt;"",C351&lt;&gt;"",OR(E351="USD",E351="CRC"),F351&gt;0,ISNUMBER(Q351),Q351&gt;0),"✓ OK","✗ ERROR: Revisa datos")</f>
        <v/>
      </c>
      <c r="S351" s="6">
        <f>IF(A351&lt;&gt;"",TODAY()-A351,"")</f>
        <v/>
      </c>
      <c r="T351" s="4">
        <f>IF(E351="USD",F351,IF(E351="CRC",F351/CONFIG!$B$5,""))</f>
        <v/>
      </c>
      <c r="U351" s="19">
        <f>IF(A351&lt;&gt;"",A351+30,"")</f>
        <v/>
      </c>
      <c r="V351">
        <f>IF(AND(C351="CxP",S351&gt;60),"Alta",IF(AND(C351="CxP",S351&gt;30),"Media",IF(C351="CxP","Baja","")))</f>
        <v/>
      </c>
      <c r="W351">
        <f>IF(AND(C351="CxC",S351&gt;90),"Alta",IF(AND(C351="CxC",S351&gt;60),"Media",IF(C351="CxC","Baja","")))</f>
        <v/>
      </c>
    </row>
    <row r="352">
      <c r="A352" s="19" t="n"/>
      <c r="F352" s="20" t="n"/>
      <c r="Q352" s="10">
        <f>IF(E352="USD",CONFIG!$B$5,1)</f>
        <v/>
      </c>
      <c r="R352">
        <f>IF(AND(A352&lt;&gt;"",ISNUMBER(A352),B352&lt;&gt;"",C352&lt;&gt;"",OR(E352="USD",E352="CRC"),F352&gt;0,ISNUMBER(Q352),Q352&gt;0),"✓ OK","✗ ERROR: Revisa datos")</f>
        <v/>
      </c>
      <c r="S352" s="6">
        <f>IF(A352&lt;&gt;"",TODAY()-A352,"")</f>
        <v/>
      </c>
      <c r="T352" s="4">
        <f>IF(E352="USD",F352,IF(E352="CRC",F352/CONFIG!$B$5,""))</f>
        <v/>
      </c>
      <c r="U352" s="19">
        <f>IF(A352&lt;&gt;"",A352+30,"")</f>
        <v/>
      </c>
      <c r="V352">
        <f>IF(AND(C352="CxP",S352&gt;60),"Alta",IF(AND(C352="CxP",S352&gt;30),"Media",IF(C352="CxP","Baja","")))</f>
        <v/>
      </c>
      <c r="W352">
        <f>IF(AND(C352="CxC",S352&gt;90),"Alta",IF(AND(C352="CxC",S352&gt;60),"Media",IF(C352="CxC","Baja","")))</f>
        <v/>
      </c>
    </row>
    <row r="353">
      <c r="A353" s="19" t="n"/>
      <c r="F353" s="20" t="n"/>
      <c r="Q353" s="10">
        <f>IF(E353="USD",CONFIG!$B$5,1)</f>
        <v/>
      </c>
      <c r="R353">
        <f>IF(AND(A353&lt;&gt;"",ISNUMBER(A353),B353&lt;&gt;"",C353&lt;&gt;"",OR(E353="USD",E353="CRC"),F353&gt;0,ISNUMBER(Q353),Q353&gt;0),"✓ OK","✗ ERROR: Revisa datos")</f>
        <v/>
      </c>
      <c r="S353" s="6">
        <f>IF(A353&lt;&gt;"",TODAY()-A353,"")</f>
        <v/>
      </c>
      <c r="T353" s="4">
        <f>IF(E353="USD",F353,IF(E353="CRC",F353/CONFIG!$B$5,""))</f>
        <v/>
      </c>
      <c r="U353" s="19">
        <f>IF(A353&lt;&gt;"",A353+30,"")</f>
        <v/>
      </c>
      <c r="V353">
        <f>IF(AND(C353="CxP",S353&gt;60),"Alta",IF(AND(C353="CxP",S353&gt;30),"Media",IF(C353="CxP","Baja","")))</f>
        <v/>
      </c>
      <c r="W353">
        <f>IF(AND(C353="CxC",S353&gt;90),"Alta",IF(AND(C353="CxC",S353&gt;60),"Media",IF(C353="CxC","Baja","")))</f>
        <v/>
      </c>
    </row>
    <row r="354">
      <c r="A354" s="19" t="n"/>
      <c r="F354" s="20" t="n"/>
      <c r="Q354" s="10">
        <f>IF(E354="USD",CONFIG!$B$5,1)</f>
        <v/>
      </c>
      <c r="R354">
        <f>IF(AND(A354&lt;&gt;"",ISNUMBER(A354),B354&lt;&gt;"",C354&lt;&gt;"",OR(E354="USD",E354="CRC"),F354&gt;0,ISNUMBER(Q354),Q354&gt;0),"✓ OK","✗ ERROR: Revisa datos")</f>
        <v/>
      </c>
      <c r="S354" s="6">
        <f>IF(A354&lt;&gt;"",TODAY()-A354,"")</f>
        <v/>
      </c>
      <c r="T354" s="4">
        <f>IF(E354="USD",F354,IF(E354="CRC",F354/CONFIG!$B$5,""))</f>
        <v/>
      </c>
      <c r="U354" s="19">
        <f>IF(A354&lt;&gt;"",A354+30,"")</f>
        <v/>
      </c>
      <c r="V354">
        <f>IF(AND(C354="CxP",S354&gt;60),"Alta",IF(AND(C354="CxP",S354&gt;30),"Media",IF(C354="CxP","Baja","")))</f>
        <v/>
      </c>
      <c r="W354">
        <f>IF(AND(C354="CxC",S354&gt;90),"Alta",IF(AND(C354="CxC",S354&gt;60),"Media",IF(C354="CxC","Baja","")))</f>
        <v/>
      </c>
    </row>
    <row r="355">
      <c r="A355" s="19" t="n"/>
      <c r="F355" s="20" t="n"/>
      <c r="Q355" s="10">
        <f>IF(E355="USD",CONFIG!$B$5,1)</f>
        <v/>
      </c>
      <c r="R355">
        <f>IF(AND(A355&lt;&gt;"",ISNUMBER(A355),B355&lt;&gt;"",C355&lt;&gt;"",OR(E355="USD",E355="CRC"),F355&gt;0,ISNUMBER(Q355),Q355&gt;0),"✓ OK","✗ ERROR: Revisa datos")</f>
        <v/>
      </c>
      <c r="S355" s="6">
        <f>IF(A355&lt;&gt;"",TODAY()-A355,"")</f>
        <v/>
      </c>
      <c r="T355" s="4">
        <f>IF(E355="USD",F355,IF(E355="CRC",F355/CONFIG!$B$5,""))</f>
        <v/>
      </c>
      <c r="U355" s="19">
        <f>IF(A355&lt;&gt;"",A355+30,"")</f>
        <v/>
      </c>
      <c r="V355">
        <f>IF(AND(C355="CxP",S355&gt;60),"Alta",IF(AND(C355="CxP",S355&gt;30),"Media",IF(C355="CxP","Baja","")))</f>
        <v/>
      </c>
      <c r="W355">
        <f>IF(AND(C355="CxC",S355&gt;90),"Alta",IF(AND(C355="CxC",S355&gt;60),"Media",IF(C355="CxC","Baja","")))</f>
        <v/>
      </c>
    </row>
    <row r="356">
      <c r="A356" s="19" t="n"/>
      <c r="F356" s="20" t="n"/>
      <c r="Q356" s="10">
        <f>IF(E356="USD",CONFIG!$B$5,1)</f>
        <v/>
      </c>
      <c r="R356">
        <f>IF(AND(A356&lt;&gt;"",ISNUMBER(A356),B356&lt;&gt;"",C356&lt;&gt;"",OR(E356="USD",E356="CRC"),F356&gt;0,ISNUMBER(Q356),Q356&gt;0),"✓ OK","✗ ERROR: Revisa datos")</f>
        <v/>
      </c>
      <c r="S356" s="6">
        <f>IF(A356&lt;&gt;"",TODAY()-A356,"")</f>
        <v/>
      </c>
      <c r="T356" s="4">
        <f>IF(E356="USD",F356,IF(E356="CRC",F356/CONFIG!$B$5,""))</f>
        <v/>
      </c>
      <c r="U356" s="19">
        <f>IF(A356&lt;&gt;"",A356+30,"")</f>
        <v/>
      </c>
      <c r="V356">
        <f>IF(AND(C356="CxP",S356&gt;60),"Alta",IF(AND(C356="CxP",S356&gt;30),"Media",IF(C356="CxP","Baja","")))</f>
        <v/>
      </c>
      <c r="W356">
        <f>IF(AND(C356="CxC",S356&gt;90),"Alta",IF(AND(C356="CxC",S356&gt;60),"Media",IF(C356="CxC","Baja","")))</f>
        <v/>
      </c>
    </row>
    <row r="357">
      <c r="A357" s="19" t="n"/>
      <c r="F357" s="20" t="n"/>
      <c r="Q357" s="10">
        <f>IF(E357="USD",CONFIG!$B$5,1)</f>
        <v/>
      </c>
      <c r="R357">
        <f>IF(AND(A357&lt;&gt;"",ISNUMBER(A357),B357&lt;&gt;"",C357&lt;&gt;"",OR(E357="USD",E357="CRC"),F357&gt;0,ISNUMBER(Q357),Q357&gt;0),"✓ OK","✗ ERROR: Revisa datos")</f>
        <v/>
      </c>
      <c r="S357" s="6">
        <f>IF(A357&lt;&gt;"",TODAY()-A357,"")</f>
        <v/>
      </c>
      <c r="T357" s="4">
        <f>IF(E357="USD",F357,IF(E357="CRC",F357/CONFIG!$B$5,""))</f>
        <v/>
      </c>
      <c r="U357" s="19">
        <f>IF(A357&lt;&gt;"",A357+30,"")</f>
        <v/>
      </c>
      <c r="V357">
        <f>IF(AND(C357="CxP",S357&gt;60),"Alta",IF(AND(C357="CxP",S357&gt;30),"Media",IF(C357="CxP","Baja","")))</f>
        <v/>
      </c>
      <c r="W357">
        <f>IF(AND(C357="CxC",S357&gt;90),"Alta",IF(AND(C357="CxC",S357&gt;60),"Media",IF(C357="CxC","Baja","")))</f>
        <v/>
      </c>
    </row>
    <row r="358">
      <c r="A358" s="19" t="n"/>
      <c r="F358" s="20" t="n"/>
      <c r="Q358" s="10">
        <f>IF(E358="USD",CONFIG!$B$5,1)</f>
        <v/>
      </c>
      <c r="R358">
        <f>IF(AND(A358&lt;&gt;"",ISNUMBER(A358),B358&lt;&gt;"",C358&lt;&gt;"",OR(E358="USD",E358="CRC"),F358&gt;0,ISNUMBER(Q358),Q358&gt;0),"✓ OK","✗ ERROR: Revisa datos")</f>
        <v/>
      </c>
      <c r="S358" s="6">
        <f>IF(A358&lt;&gt;"",TODAY()-A358,"")</f>
        <v/>
      </c>
      <c r="T358" s="4">
        <f>IF(E358="USD",F358,IF(E358="CRC",F358/CONFIG!$B$5,""))</f>
        <v/>
      </c>
      <c r="U358" s="19">
        <f>IF(A358&lt;&gt;"",A358+30,"")</f>
        <v/>
      </c>
      <c r="V358">
        <f>IF(AND(C358="CxP",S358&gt;60),"Alta",IF(AND(C358="CxP",S358&gt;30),"Media",IF(C358="CxP","Baja","")))</f>
        <v/>
      </c>
      <c r="W358">
        <f>IF(AND(C358="CxC",S358&gt;90),"Alta",IF(AND(C358="CxC",S358&gt;60),"Media",IF(C358="CxC","Baja","")))</f>
        <v/>
      </c>
    </row>
    <row r="359">
      <c r="A359" s="19" t="n"/>
      <c r="F359" s="20" t="n"/>
      <c r="Q359" s="10">
        <f>IF(E359="USD",CONFIG!$B$5,1)</f>
        <v/>
      </c>
      <c r="R359">
        <f>IF(AND(A359&lt;&gt;"",ISNUMBER(A359),B359&lt;&gt;"",C359&lt;&gt;"",OR(E359="USD",E359="CRC"),F359&gt;0,ISNUMBER(Q359),Q359&gt;0),"✓ OK","✗ ERROR: Revisa datos")</f>
        <v/>
      </c>
      <c r="S359" s="6">
        <f>IF(A359&lt;&gt;"",TODAY()-A359,"")</f>
        <v/>
      </c>
      <c r="T359" s="4">
        <f>IF(E359="USD",F359,IF(E359="CRC",F359/CONFIG!$B$5,""))</f>
        <v/>
      </c>
      <c r="U359" s="19">
        <f>IF(A359&lt;&gt;"",A359+30,"")</f>
        <v/>
      </c>
      <c r="V359">
        <f>IF(AND(C359="CxP",S359&gt;60),"Alta",IF(AND(C359="CxP",S359&gt;30),"Media",IF(C359="CxP","Baja","")))</f>
        <v/>
      </c>
      <c r="W359">
        <f>IF(AND(C359="CxC",S359&gt;90),"Alta",IF(AND(C359="CxC",S359&gt;60),"Media",IF(C359="CxC","Baja","")))</f>
        <v/>
      </c>
    </row>
    <row r="360">
      <c r="A360" s="19" t="n"/>
      <c r="F360" s="20" t="n"/>
      <c r="Q360" s="10">
        <f>IF(E360="USD",CONFIG!$B$5,1)</f>
        <v/>
      </c>
      <c r="R360">
        <f>IF(AND(A360&lt;&gt;"",ISNUMBER(A360),B360&lt;&gt;"",C360&lt;&gt;"",OR(E360="USD",E360="CRC"),F360&gt;0,ISNUMBER(Q360),Q360&gt;0),"✓ OK","✗ ERROR: Revisa datos")</f>
        <v/>
      </c>
      <c r="S360" s="6">
        <f>IF(A360&lt;&gt;"",TODAY()-A360,"")</f>
        <v/>
      </c>
      <c r="T360" s="4">
        <f>IF(E360="USD",F360,IF(E360="CRC",F360/CONFIG!$B$5,""))</f>
        <v/>
      </c>
      <c r="U360" s="19">
        <f>IF(A360&lt;&gt;"",A360+30,"")</f>
        <v/>
      </c>
      <c r="V360">
        <f>IF(AND(C360="CxP",S360&gt;60),"Alta",IF(AND(C360="CxP",S360&gt;30),"Media",IF(C360="CxP","Baja","")))</f>
        <v/>
      </c>
      <c r="W360">
        <f>IF(AND(C360="CxC",S360&gt;90),"Alta",IF(AND(C360="CxC",S360&gt;60),"Media",IF(C360="CxC","Baja","")))</f>
        <v/>
      </c>
    </row>
    <row r="361">
      <c r="A361" s="19" t="n"/>
      <c r="F361" s="20" t="n"/>
      <c r="Q361" s="10">
        <f>IF(E361="USD",CONFIG!$B$5,1)</f>
        <v/>
      </c>
      <c r="R361">
        <f>IF(AND(A361&lt;&gt;"",ISNUMBER(A361),B361&lt;&gt;"",C361&lt;&gt;"",OR(E361="USD",E361="CRC"),F361&gt;0,ISNUMBER(Q361),Q361&gt;0),"✓ OK","✗ ERROR: Revisa datos")</f>
        <v/>
      </c>
      <c r="S361" s="6">
        <f>IF(A361&lt;&gt;"",TODAY()-A361,"")</f>
        <v/>
      </c>
      <c r="T361" s="4">
        <f>IF(E361="USD",F361,IF(E361="CRC",F361/CONFIG!$B$5,""))</f>
        <v/>
      </c>
      <c r="U361" s="19">
        <f>IF(A361&lt;&gt;"",A361+30,"")</f>
        <v/>
      </c>
      <c r="V361">
        <f>IF(AND(C361="CxP",S361&gt;60),"Alta",IF(AND(C361="CxP",S361&gt;30),"Media",IF(C361="CxP","Baja","")))</f>
        <v/>
      </c>
      <c r="W361">
        <f>IF(AND(C361="CxC",S361&gt;90),"Alta",IF(AND(C361="CxC",S361&gt;60),"Media",IF(C361="CxC","Baja","")))</f>
        <v/>
      </c>
    </row>
    <row r="362">
      <c r="A362" s="19" t="n"/>
      <c r="F362" s="20" t="n"/>
      <c r="Q362" s="10">
        <f>IF(E362="USD",CONFIG!$B$5,1)</f>
        <v/>
      </c>
      <c r="R362">
        <f>IF(AND(A362&lt;&gt;"",ISNUMBER(A362),B362&lt;&gt;"",C362&lt;&gt;"",OR(E362="USD",E362="CRC"),F362&gt;0,ISNUMBER(Q362),Q362&gt;0),"✓ OK","✗ ERROR: Revisa datos")</f>
        <v/>
      </c>
      <c r="S362" s="6">
        <f>IF(A362&lt;&gt;"",TODAY()-A362,"")</f>
        <v/>
      </c>
      <c r="T362" s="4">
        <f>IF(E362="USD",F362,IF(E362="CRC",F362/CONFIG!$B$5,""))</f>
        <v/>
      </c>
      <c r="U362" s="19">
        <f>IF(A362&lt;&gt;"",A362+30,"")</f>
        <v/>
      </c>
      <c r="V362">
        <f>IF(AND(C362="CxP",S362&gt;60),"Alta",IF(AND(C362="CxP",S362&gt;30),"Media",IF(C362="CxP","Baja","")))</f>
        <v/>
      </c>
      <c r="W362">
        <f>IF(AND(C362="CxC",S362&gt;90),"Alta",IF(AND(C362="CxC",S362&gt;60),"Media",IF(C362="CxC","Baja","")))</f>
        <v/>
      </c>
    </row>
    <row r="363">
      <c r="A363" s="19" t="n"/>
      <c r="F363" s="20" t="n"/>
      <c r="Q363" s="10">
        <f>IF(E363="USD",CONFIG!$B$5,1)</f>
        <v/>
      </c>
      <c r="R363">
        <f>IF(AND(A363&lt;&gt;"",ISNUMBER(A363),B363&lt;&gt;"",C363&lt;&gt;"",OR(E363="USD",E363="CRC"),F363&gt;0,ISNUMBER(Q363),Q363&gt;0),"✓ OK","✗ ERROR: Revisa datos")</f>
        <v/>
      </c>
      <c r="S363" s="6">
        <f>IF(A363&lt;&gt;"",TODAY()-A363,"")</f>
        <v/>
      </c>
      <c r="T363" s="4">
        <f>IF(E363="USD",F363,IF(E363="CRC",F363/CONFIG!$B$5,""))</f>
        <v/>
      </c>
      <c r="U363" s="19">
        <f>IF(A363&lt;&gt;"",A363+30,"")</f>
        <v/>
      </c>
      <c r="V363">
        <f>IF(AND(C363="CxP",S363&gt;60),"Alta",IF(AND(C363="CxP",S363&gt;30),"Media",IF(C363="CxP","Baja","")))</f>
        <v/>
      </c>
      <c r="W363">
        <f>IF(AND(C363="CxC",S363&gt;90),"Alta",IF(AND(C363="CxC",S363&gt;60),"Media",IF(C363="CxC","Baja","")))</f>
        <v/>
      </c>
    </row>
    <row r="364">
      <c r="A364" s="19" t="n"/>
      <c r="F364" s="20" t="n"/>
      <c r="Q364" s="10">
        <f>IF(E364="USD",CONFIG!$B$5,1)</f>
        <v/>
      </c>
      <c r="R364">
        <f>IF(AND(A364&lt;&gt;"",ISNUMBER(A364),B364&lt;&gt;"",C364&lt;&gt;"",OR(E364="USD",E364="CRC"),F364&gt;0,ISNUMBER(Q364),Q364&gt;0),"✓ OK","✗ ERROR: Revisa datos")</f>
        <v/>
      </c>
      <c r="S364" s="6">
        <f>IF(A364&lt;&gt;"",TODAY()-A364,"")</f>
        <v/>
      </c>
      <c r="T364" s="4">
        <f>IF(E364="USD",F364,IF(E364="CRC",F364/CONFIG!$B$5,""))</f>
        <v/>
      </c>
      <c r="U364" s="19">
        <f>IF(A364&lt;&gt;"",A364+30,"")</f>
        <v/>
      </c>
      <c r="V364">
        <f>IF(AND(C364="CxP",S364&gt;60),"Alta",IF(AND(C364="CxP",S364&gt;30),"Media",IF(C364="CxP","Baja","")))</f>
        <v/>
      </c>
      <c r="W364">
        <f>IF(AND(C364="CxC",S364&gt;90),"Alta",IF(AND(C364="CxC",S364&gt;60),"Media",IF(C364="CxC","Baja","")))</f>
        <v/>
      </c>
    </row>
    <row r="365">
      <c r="A365" s="19" t="n"/>
      <c r="F365" s="20" t="n"/>
      <c r="Q365" s="10">
        <f>IF(E365="USD",CONFIG!$B$5,1)</f>
        <v/>
      </c>
      <c r="R365">
        <f>IF(AND(A365&lt;&gt;"",ISNUMBER(A365),B365&lt;&gt;"",C365&lt;&gt;"",OR(E365="USD",E365="CRC"),F365&gt;0,ISNUMBER(Q365),Q365&gt;0),"✓ OK","✗ ERROR: Revisa datos")</f>
        <v/>
      </c>
      <c r="S365" s="6">
        <f>IF(A365&lt;&gt;"",TODAY()-A365,"")</f>
        <v/>
      </c>
      <c r="T365" s="4">
        <f>IF(E365="USD",F365,IF(E365="CRC",F365/CONFIG!$B$5,""))</f>
        <v/>
      </c>
      <c r="U365" s="19">
        <f>IF(A365&lt;&gt;"",A365+30,"")</f>
        <v/>
      </c>
      <c r="V365">
        <f>IF(AND(C365="CxP",S365&gt;60),"Alta",IF(AND(C365="CxP",S365&gt;30),"Media",IF(C365="CxP","Baja","")))</f>
        <v/>
      </c>
      <c r="W365">
        <f>IF(AND(C365="CxC",S365&gt;90),"Alta",IF(AND(C365="CxC",S365&gt;60),"Media",IF(C365="CxC","Baja","")))</f>
        <v/>
      </c>
    </row>
    <row r="366">
      <c r="A366" s="19" t="n"/>
      <c r="F366" s="20" t="n"/>
      <c r="Q366" s="10">
        <f>IF(E366="USD",CONFIG!$B$5,1)</f>
        <v/>
      </c>
      <c r="R366">
        <f>IF(AND(A366&lt;&gt;"",ISNUMBER(A366),B366&lt;&gt;"",C366&lt;&gt;"",OR(E366="USD",E366="CRC"),F366&gt;0,ISNUMBER(Q366),Q366&gt;0),"✓ OK","✗ ERROR: Revisa datos")</f>
        <v/>
      </c>
      <c r="S366" s="6">
        <f>IF(A366&lt;&gt;"",TODAY()-A366,"")</f>
        <v/>
      </c>
      <c r="T366" s="4">
        <f>IF(E366="USD",F366,IF(E366="CRC",F366/CONFIG!$B$5,""))</f>
        <v/>
      </c>
      <c r="U366" s="19">
        <f>IF(A366&lt;&gt;"",A366+30,"")</f>
        <v/>
      </c>
      <c r="V366">
        <f>IF(AND(C366="CxP",S366&gt;60),"Alta",IF(AND(C366="CxP",S366&gt;30),"Media",IF(C366="CxP","Baja","")))</f>
        <v/>
      </c>
      <c r="W366">
        <f>IF(AND(C366="CxC",S366&gt;90),"Alta",IF(AND(C366="CxC",S366&gt;60),"Media",IF(C366="CxC","Baja","")))</f>
        <v/>
      </c>
    </row>
    <row r="367">
      <c r="A367" s="19" t="n"/>
      <c r="F367" s="20" t="n"/>
      <c r="Q367" s="10">
        <f>IF(E367="USD",CONFIG!$B$5,1)</f>
        <v/>
      </c>
      <c r="R367">
        <f>IF(AND(A367&lt;&gt;"",ISNUMBER(A367),B367&lt;&gt;"",C367&lt;&gt;"",OR(E367="USD",E367="CRC"),F367&gt;0,ISNUMBER(Q367),Q367&gt;0),"✓ OK","✗ ERROR: Revisa datos")</f>
        <v/>
      </c>
      <c r="S367" s="6">
        <f>IF(A367&lt;&gt;"",TODAY()-A367,"")</f>
        <v/>
      </c>
      <c r="T367" s="4">
        <f>IF(E367="USD",F367,IF(E367="CRC",F367/CONFIG!$B$5,""))</f>
        <v/>
      </c>
      <c r="U367" s="19">
        <f>IF(A367&lt;&gt;"",A367+30,"")</f>
        <v/>
      </c>
      <c r="V367">
        <f>IF(AND(C367="CxP",S367&gt;60),"Alta",IF(AND(C367="CxP",S367&gt;30),"Media",IF(C367="CxP","Baja","")))</f>
        <v/>
      </c>
      <c r="W367">
        <f>IF(AND(C367="CxC",S367&gt;90),"Alta",IF(AND(C367="CxC",S367&gt;60),"Media",IF(C367="CxC","Baja","")))</f>
        <v/>
      </c>
    </row>
    <row r="368">
      <c r="A368" s="19" t="n"/>
      <c r="F368" s="20" t="n"/>
      <c r="Q368" s="10">
        <f>IF(E368="USD",CONFIG!$B$5,1)</f>
        <v/>
      </c>
      <c r="R368">
        <f>IF(AND(A368&lt;&gt;"",ISNUMBER(A368),B368&lt;&gt;"",C368&lt;&gt;"",OR(E368="USD",E368="CRC"),F368&gt;0,ISNUMBER(Q368),Q368&gt;0),"✓ OK","✗ ERROR: Revisa datos")</f>
        <v/>
      </c>
      <c r="S368" s="6">
        <f>IF(A368&lt;&gt;"",TODAY()-A368,"")</f>
        <v/>
      </c>
      <c r="T368" s="4">
        <f>IF(E368="USD",F368,IF(E368="CRC",F368/CONFIG!$B$5,""))</f>
        <v/>
      </c>
      <c r="U368" s="19">
        <f>IF(A368&lt;&gt;"",A368+30,"")</f>
        <v/>
      </c>
      <c r="V368">
        <f>IF(AND(C368="CxP",S368&gt;60),"Alta",IF(AND(C368="CxP",S368&gt;30),"Media",IF(C368="CxP","Baja","")))</f>
        <v/>
      </c>
      <c r="W368">
        <f>IF(AND(C368="CxC",S368&gt;90),"Alta",IF(AND(C368="CxC",S368&gt;60),"Media",IF(C368="CxC","Baja","")))</f>
        <v/>
      </c>
    </row>
    <row r="369">
      <c r="A369" s="19" t="n"/>
      <c r="F369" s="20" t="n"/>
      <c r="Q369" s="10">
        <f>IF(E369="USD",CONFIG!$B$5,1)</f>
        <v/>
      </c>
      <c r="R369">
        <f>IF(AND(A369&lt;&gt;"",ISNUMBER(A369),B369&lt;&gt;"",C369&lt;&gt;"",OR(E369="USD",E369="CRC"),F369&gt;0,ISNUMBER(Q369),Q369&gt;0),"✓ OK","✗ ERROR: Revisa datos")</f>
        <v/>
      </c>
      <c r="S369" s="6">
        <f>IF(A369&lt;&gt;"",TODAY()-A369,"")</f>
        <v/>
      </c>
      <c r="T369" s="4">
        <f>IF(E369="USD",F369,IF(E369="CRC",F369/CONFIG!$B$5,""))</f>
        <v/>
      </c>
      <c r="U369" s="19">
        <f>IF(A369&lt;&gt;"",A369+30,"")</f>
        <v/>
      </c>
      <c r="V369">
        <f>IF(AND(C369="CxP",S369&gt;60),"Alta",IF(AND(C369="CxP",S369&gt;30),"Media",IF(C369="CxP","Baja","")))</f>
        <v/>
      </c>
      <c r="W369">
        <f>IF(AND(C369="CxC",S369&gt;90),"Alta",IF(AND(C369="CxC",S369&gt;60),"Media",IF(C369="CxC","Baja","")))</f>
        <v/>
      </c>
    </row>
    <row r="370">
      <c r="A370" s="19" t="n"/>
      <c r="F370" s="20" t="n"/>
      <c r="Q370" s="10">
        <f>IF(E370="USD",CONFIG!$B$5,1)</f>
        <v/>
      </c>
      <c r="R370">
        <f>IF(AND(A370&lt;&gt;"",ISNUMBER(A370),B370&lt;&gt;"",C370&lt;&gt;"",OR(E370="USD",E370="CRC"),F370&gt;0,ISNUMBER(Q370),Q370&gt;0),"✓ OK","✗ ERROR: Revisa datos")</f>
        <v/>
      </c>
      <c r="S370" s="6">
        <f>IF(A370&lt;&gt;"",TODAY()-A370,"")</f>
        <v/>
      </c>
      <c r="T370" s="4">
        <f>IF(E370="USD",F370,IF(E370="CRC",F370/CONFIG!$B$5,""))</f>
        <v/>
      </c>
      <c r="U370" s="19">
        <f>IF(A370&lt;&gt;"",A370+30,"")</f>
        <v/>
      </c>
      <c r="V370">
        <f>IF(AND(C370="CxP",S370&gt;60),"Alta",IF(AND(C370="CxP",S370&gt;30),"Media",IF(C370="CxP","Baja","")))</f>
        <v/>
      </c>
      <c r="W370">
        <f>IF(AND(C370="CxC",S370&gt;90),"Alta",IF(AND(C370="CxC",S370&gt;60),"Media",IF(C370="CxC","Baja","")))</f>
        <v/>
      </c>
    </row>
    <row r="371">
      <c r="A371" s="19" t="n"/>
      <c r="F371" s="20" t="n"/>
      <c r="Q371" s="10">
        <f>IF(E371="USD",CONFIG!$B$5,1)</f>
        <v/>
      </c>
      <c r="R371">
        <f>IF(AND(A371&lt;&gt;"",ISNUMBER(A371),B371&lt;&gt;"",C371&lt;&gt;"",OR(E371="USD",E371="CRC"),F371&gt;0,ISNUMBER(Q371),Q371&gt;0),"✓ OK","✗ ERROR: Revisa datos")</f>
        <v/>
      </c>
      <c r="S371" s="6">
        <f>IF(A371&lt;&gt;"",TODAY()-A371,"")</f>
        <v/>
      </c>
      <c r="T371" s="4">
        <f>IF(E371="USD",F371,IF(E371="CRC",F371/CONFIG!$B$5,""))</f>
        <v/>
      </c>
      <c r="U371" s="19">
        <f>IF(A371&lt;&gt;"",A371+30,"")</f>
        <v/>
      </c>
      <c r="V371">
        <f>IF(AND(C371="CxP",S371&gt;60),"Alta",IF(AND(C371="CxP",S371&gt;30),"Media",IF(C371="CxP","Baja","")))</f>
        <v/>
      </c>
      <c r="W371">
        <f>IF(AND(C371="CxC",S371&gt;90),"Alta",IF(AND(C371="CxC",S371&gt;60),"Media",IF(C371="CxC","Baja","")))</f>
        <v/>
      </c>
    </row>
    <row r="372">
      <c r="A372" s="19" t="n"/>
      <c r="F372" s="20" t="n"/>
      <c r="Q372" s="10">
        <f>IF(E372="USD",CONFIG!$B$5,1)</f>
        <v/>
      </c>
      <c r="R372">
        <f>IF(AND(A372&lt;&gt;"",ISNUMBER(A372),B372&lt;&gt;"",C372&lt;&gt;"",OR(E372="USD",E372="CRC"),F372&gt;0,ISNUMBER(Q372),Q372&gt;0),"✓ OK","✗ ERROR: Revisa datos")</f>
        <v/>
      </c>
      <c r="S372" s="6">
        <f>IF(A372&lt;&gt;"",TODAY()-A372,"")</f>
        <v/>
      </c>
      <c r="T372" s="4">
        <f>IF(E372="USD",F372,IF(E372="CRC",F372/CONFIG!$B$5,""))</f>
        <v/>
      </c>
      <c r="U372" s="19">
        <f>IF(A372&lt;&gt;"",A372+30,"")</f>
        <v/>
      </c>
      <c r="V372">
        <f>IF(AND(C372="CxP",S372&gt;60),"Alta",IF(AND(C372="CxP",S372&gt;30),"Media",IF(C372="CxP","Baja","")))</f>
        <v/>
      </c>
      <c r="W372">
        <f>IF(AND(C372="CxC",S372&gt;90),"Alta",IF(AND(C372="CxC",S372&gt;60),"Media",IF(C372="CxC","Baja","")))</f>
        <v/>
      </c>
    </row>
    <row r="373">
      <c r="A373" s="19" t="n"/>
      <c r="F373" s="20" t="n"/>
      <c r="Q373" s="10">
        <f>IF(E373="USD",CONFIG!$B$5,1)</f>
        <v/>
      </c>
      <c r="R373">
        <f>IF(AND(A373&lt;&gt;"",ISNUMBER(A373),B373&lt;&gt;"",C373&lt;&gt;"",OR(E373="USD",E373="CRC"),F373&gt;0,ISNUMBER(Q373),Q373&gt;0),"✓ OK","✗ ERROR: Revisa datos")</f>
        <v/>
      </c>
      <c r="S373" s="6">
        <f>IF(A373&lt;&gt;"",TODAY()-A373,"")</f>
        <v/>
      </c>
      <c r="T373" s="4">
        <f>IF(E373="USD",F373,IF(E373="CRC",F373/CONFIG!$B$5,""))</f>
        <v/>
      </c>
      <c r="U373" s="19">
        <f>IF(A373&lt;&gt;"",A373+30,"")</f>
        <v/>
      </c>
      <c r="V373">
        <f>IF(AND(C373="CxP",S373&gt;60),"Alta",IF(AND(C373="CxP",S373&gt;30),"Media",IF(C373="CxP","Baja","")))</f>
        <v/>
      </c>
      <c r="W373">
        <f>IF(AND(C373="CxC",S373&gt;90),"Alta",IF(AND(C373="CxC",S373&gt;60),"Media",IF(C373="CxC","Baja","")))</f>
        <v/>
      </c>
    </row>
    <row r="374">
      <c r="A374" s="19" t="n"/>
      <c r="F374" s="20" t="n"/>
      <c r="Q374" s="10">
        <f>IF(E374="USD",CONFIG!$B$5,1)</f>
        <v/>
      </c>
      <c r="R374">
        <f>IF(AND(A374&lt;&gt;"",ISNUMBER(A374),B374&lt;&gt;"",C374&lt;&gt;"",OR(E374="USD",E374="CRC"),F374&gt;0,ISNUMBER(Q374),Q374&gt;0),"✓ OK","✗ ERROR: Revisa datos")</f>
        <v/>
      </c>
      <c r="S374" s="6">
        <f>IF(A374&lt;&gt;"",TODAY()-A374,"")</f>
        <v/>
      </c>
      <c r="T374" s="4">
        <f>IF(E374="USD",F374,IF(E374="CRC",F374/CONFIG!$B$5,""))</f>
        <v/>
      </c>
      <c r="U374" s="19">
        <f>IF(A374&lt;&gt;"",A374+30,"")</f>
        <v/>
      </c>
      <c r="V374">
        <f>IF(AND(C374="CxP",S374&gt;60),"Alta",IF(AND(C374="CxP",S374&gt;30),"Media",IF(C374="CxP","Baja","")))</f>
        <v/>
      </c>
      <c r="W374">
        <f>IF(AND(C374="CxC",S374&gt;90),"Alta",IF(AND(C374="CxC",S374&gt;60),"Media",IF(C374="CxC","Baja","")))</f>
        <v/>
      </c>
    </row>
    <row r="375">
      <c r="A375" s="19" t="n"/>
      <c r="F375" s="20" t="n"/>
      <c r="Q375" s="10">
        <f>IF(E375="USD",CONFIG!$B$5,1)</f>
        <v/>
      </c>
      <c r="R375">
        <f>IF(AND(A375&lt;&gt;"",ISNUMBER(A375),B375&lt;&gt;"",C375&lt;&gt;"",OR(E375="USD",E375="CRC"),F375&gt;0,ISNUMBER(Q375),Q375&gt;0),"✓ OK","✗ ERROR: Revisa datos")</f>
        <v/>
      </c>
      <c r="S375" s="6">
        <f>IF(A375&lt;&gt;"",TODAY()-A375,"")</f>
        <v/>
      </c>
      <c r="T375" s="4">
        <f>IF(E375="USD",F375,IF(E375="CRC",F375/CONFIG!$B$5,""))</f>
        <v/>
      </c>
      <c r="U375" s="19">
        <f>IF(A375&lt;&gt;"",A375+30,"")</f>
        <v/>
      </c>
      <c r="V375">
        <f>IF(AND(C375="CxP",S375&gt;60),"Alta",IF(AND(C375="CxP",S375&gt;30),"Media",IF(C375="CxP","Baja","")))</f>
        <v/>
      </c>
      <c r="W375">
        <f>IF(AND(C375="CxC",S375&gt;90),"Alta",IF(AND(C375="CxC",S375&gt;60),"Media",IF(C375="CxC","Baja","")))</f>
        <v/>
      </c>
    </row>
    <row r="376">
      <c r="A376" s="19" t="n"/>
      <c r="F376" s="20" t="n"/>
      <c r="Q376" s="10">
        <f>IF(E376="USD",CONFIG!$B$5,1)</f>
        <v/>
      </c>
      <c r="R376">
        <f>IF(AND(A376&lt;&gt;"",ISNUMBER(A376),B376&lt;&gt;"",C376&lt;&gt;"",OR(E376="USD",E376="CRC"),F376&gt;0,ISNUMBER(Q376),Q376&gt;0),"✓ OK","✗ ERROR: Revisa datos")</f>
        <v/>
      </c>
      <c r="S376" s="6">
        <f>IF(A376&lt;&gt;"",TODAY()-A376,"")</f>
        <v/>
      </c>
      <c r="T376" s="4">
        <f>IF(E376="USD",F376,IF(E376="CRC",F376/CONFIG!$B$5,""))</f>
        <v/>
      </c>
      <c r="U376" s="19">
        <f>IF(A376&lt;&gt;"",A376+30,"")</f>
        <v/>
      </c>
      <c r="V376">
        <f>IF(AND(C376="CxP",S376&gt;60),"Alta",IF(AND(C376="CxP",S376&gt;30),"Media",IF(C376="CxP","Baja","")))</f>
        <v/>
      </c>
      <c r="W376">
        <f>IF(AND(C376="CxC",S376&gt;90),"Alta",IF(AND(C376="CxC",S376&gt;60),"Media",IF(C376="CxC","Baja","")))</f>
        <v/>
      </c>
    </row>
    <row r="377">
      <c r="A377" s="19" t="n"/>
      <c r="F377" s="20" t="n"/>
      <c r="Q377" s="10">
        <f>IF(E377="USD",CONFIG!$B$5,1)</f>
        <v/>
      </c>
      <c r="R377">
        <f>IF(AND(A377&lt;&gt;"",ISNUMBER(A377),B377&lt;&gt;"",C377&lt;&gt;"",OR(E377="USD",E377="CRC"),F377&gt;0,ISNUMBER(Q377),Q377&gt;0),"✓ OK","✗ ERROR: Revisa datos")</f>
        <v/>
      </c>
      <c r="S377" s="6">
        <f>IF(A377&lt;&gt;"",TODAY()-A377,"")</f>
        <v/>
      </c>
      <c r="T377" s="4">
        <f>IF(E377="USD",F377,IF(E377="CRC",F377/CONFIG!$B$5,""))</f>
        <v/>
      </c>
      <c r="U377" s="19">
        <f>IF(A377&lt;&gt;"",A377+30,"")</f>
        <v/>
      </c>
      <c r="V377">
        <f>IF(AND(C377="CxP",S377&gt;60),"Alta",IF(AND(C377="CxP",S377&gt;30),"Media",IF(C377="CxP","Baja","")))</f>
        <v/>
      </c>
      <c r="W377">
        <f>IF(AND(C377="CxC",S377&gt;90),"Alta",IF(AND(C377="CxC",S377&gt;60),"Media",IF(C377="CxC","Baja","")))</f>
        <v/>
      </c>
    </row>
    <row r="378">
      <c r="A378" s="19" t="n"/>
      <c r="F378" s="20" t="n"/>
      <c r="Q378" s="10">
        <f>IF(E378="USD",CONFIG!$B$5,1)</f>
        <v/>
      </c>
      <c r="R378">
        <f>IF(AND(A378&lt;&gt;"",ISNUMBER(A378),B378&lt;&gt;"",C378&lt;&gt;"",OR(E378="USD",E378="CRC"),F378&gt;0,ISNUMBER(Q378),Q378&gt;0),"✓ OK","✗ ERROR: Revisa datos")</f>
        <v/>
      </c>
      <c r="S378" s="6">
        <f>IF(A378&lt;&gt;"",TODAY()-A378,"")</f>
        <v/>
      </c>
      <c r="T378" s="4">
        <f>IF(E378="USD",F378,IF(E378="CRC",F378/CONFIG!$B$5,""))</f>
        <v/>
      </c>
      <c r="U378" s="19">
        <f>IF(A378&lt;&gt;"",A378+30,"")</f>
        <v/>
      </c>
      <c r="V378">
        <f>IF(AND(C378="CxP",S378&gt;60),"Alta",IF(AND(C378="CxP",S378&gt;30),"Media",IF(C378="CxP","Baja","")))</f>
        <v/>
      </c>
      <c r="W378">
        <f>IF(AND(C378="CxC",S378&gt;90),"Alta",IF(AND(C378="CxC",S378&gt;60),"Media",IF(C378="CxC","Baja","")))</f>
        <v/>
      </c>
    </row>
    <row r="379">
      <c r="A379" s="19" t="n"/>
      <c r="F379" s="20" t="n"/>
      <c r="Q379" s="10">
        <f>IF(E379="USD",CONFIG!$B$5,1)</f>
        <v/>
      </c>
      <c r="R379">
        <f>IF(AND(A379&lt;&gt;"",ISNUMBER(A379),B379&lt;&gt;"",C379&lt;&gt;"",OR(E379="USD",E379="CRC"),F379&gt;0,ISNUMBER(Q379),Q379&gt;0),"✓ OK","✗ ERROR: Revisa datos")</f>
        <v/>
      </c>
      <c r="S379" s="6">
        <f>IF(A379&lt;&gt;"",TODAY()-A379,"")</f>
        <v/>
      </c>
      <c r="T379" s="4">
        <f>IF(E379="USD",F379,IF(E379="CRC",F379/CONFIG!$B$5,""))</f>
        <v/>
      </c>
      <c r="U379" s="19">
        <f>IF(A379&lt;&gt;"",A379+30,"")</f>
        <v/>
      </c>
      <c r="V379">
        <f>IF(AND(C379="CxP",S379&gt;60),"Alta",IF(AND(C379="CxP",S379&gt;30),"Media",IF(C379="CxP","Baja","")))</f>
        <v/>
      </c>
      <c r="W379">
        <f>IF(AND(C379="CxC",S379&gt;90),"Alta",IF(AND(C379="CxC",S379&gt;60),"Media",IF(C379="CxC","Baja","")))</f>
        <v/>
      </c>
    </row>
    <row r="380">
      <c r="A380" s="19" t="n"/>
      <c r="F380" s="20" t="n"/>
      <c r="Q380" s="10">
        <f>IF(E380="USD",CONFIG!$B$5,1)</f>
        <v/>
      </c>
      <c r="R380">
        <f>IF(AND(A380&lt;&gt;"",ISNUMBER(A380),B380&lt;&gt;"",C380&lt;&gt;"",OR(E380="USD",E380="CRC"),F380&gt;0,ISNUMBER(Q380),Q380&gt;0),"✓ OK","✗ ERROR: Revisa datos")</f>
        <v/>
      </c>
      <c r="S380" s="6">
        <f>IF(A380&lt;&gt;"",TODAY()-A380,"")</f>
        <v/>
      </c>
      <c r="T380" s="4">
        <f>IF(E380="USD",F380,IF(E380="CRC",F380/CONFIG!$B$5,""))</f>
        <v/>
      </c>
      <c r="U380" s="19">
        <f>IF(A380&lt;&gt;"",A380+30,"")</f>
        <v/>
      </c>
      <c r="V380">
        <f>IF(AND(C380="CxP",S380&gt;60),"Alta",IF(AND(C380="CxP",S380&gt;30),"Media",IF(C380="CxP","Baja","")))</f>
        <v/>
      </c>
      <c r="W380">
        <f>IF(AND(C380="CxC",S380&gt;90),"Alta",IF(AND(C380="CxC",S380&gt;60),"Media",IF(C380="CxC","Baja","")))</f>
        <v/>
      </c>
    </row>
    <row r="381">
      <c r="A381" s="19" t="n"/>
      <c r="F381" s="20" t="n"/>
      <c r="Q381" s="10">
        <f>IF(E381="USD",CONFIG!$B$5,1)</f>
        <v/>
      </c>
      <c r="R381">
        <f>IF(AND(A381&lt;&gt;"",ISNUMBER(A381),B381&lt;&gt;"",C381&lt;&gt;"",OR(E381="USD",E381="CRC"),F381&gt;0,ISNUMBER(Q381),Q381&gt;0),"✓ OK","✗ ERROR: Revisa datos")</f>
        <v/>
      </c>
      <c r="S381" s="6">
        <f>IF(A381&lt;&gt;"",TODAY()-A381,"")</f>
        <v/>
      </c>
      <c r="T381" s="4">
        <f>IF(E381="USD",F381,IF(E381="CRC",F381/CONFIG!$B$5,""))</f>
        <v/>
      </c>
      <c r="U381" s="19">
        <f>IF(A381&lt;&gt;"",A381+30,"")</f>
        <v/>
      </c>
      <c r="V381">
        <f>IF(AND(C381="CxP",S381&gt;60),"Alta",IF(AND(C381="CxP",S381&gt;30),"Media",IF(C381="CxP","Baja","")))</f>
        <v/>
      </c>
      <c r="W381">
        <f>IF(AND(C381="CxC",S381&gt;90),"Alta",IF(AND(C381="CxC",S381&gt;60),"Media",IF(C381="CxC","Baja","")))</f>
        <v/>
      </c>
    </row>
    <row r="382">
      <c r="A382" s="19" t="n"/>
      <c r="F382" s="20" t="n"/>
      <c r="Q382" s="10">
        <f>IF(E382="USD",CONFIG!$B$5,1)</f>
        <v/>
      </c>
      <c r="R382">
        <f>IF(AND(A382&lt;&gt;"",ISNUMBER(A382),B382&lt;&gt;"",C382&lt;&gt;"",OR(E382="USD",E382="CRC"),F382&gt;0,ISNUMBER(Q382),Q382&gt;0),"✓ OK","✗ ERROR: Revisa datos")</f>
        <v/>
      </c>
      <c r="S382" s="6">
        <f>IF(A382&lt;&gt;"",TODAY()-A382,"")</f>
        <v/>
      </c>
      <c r="T382" s="4">
        <f>IF(E382="USD",F382,IF(E382="CRC",F382/CONFIG!$B$5,""))</f>
        <v/>
      </c>
      <c r="U382" s="19">
        <f>IF(A382&lt;&gt;"",A382+30,"")</f>
        <v/>
      </c>
      <c r="V382">
        <f>IF(AND(C382="CxP",S382&gt;60),"Alta",IF(AND(C382="CxP",S382&gt;30),"Media",IF(C382="CxP","Baja","")))</f>
        <v/>
      </c>
      <c r="W382">
        <f>IF(AND(C382="CxC",S382&gt;90),"Alta",IF(AND(C382="CxC",S382&gt;60),"Media",IF(C382="CxC","Baja","")))</f>
        <v/>
      </c>
    </row>
    <row r="383">
      <c r="A383" s="19" t="n"/>
      <c r="F383" s="20" t="n"/>
      <c r="Q383" s="10">
        <f>IF(E383="USD",CONFIG!$B$5,1)</f>
        <v/>
      </c>
      <c r="R383">
        <f>IF(AND(A383&lt;&gt;"",ISNUMBER(A383),B383&lt;&gt;"",C383&lt;&gt;"",OR(E383="USD",E383="CRC"),F383&gt;0,ISNUMBER(Q383),Q383&gt;0),"✓ OK","✗ ERROR: Revisa datos")</f>
        <v/>
      </c>
      <c r="S383" s="6">
        <f>IF(A383&lt;&gt;"",TODAY()-A383,"")</f>
        <v/>
      </c>
      <c r="T383" s="4">
        <f>IF(E383="USD",F383,IF(E383="CRC",F383/CONFIG!$B$5,""))</f>
        <v/>
      </c>
      <c r="U383" s="19">
        <f>IF(A383&lt;&gt;"",A383+30,"")</f>
        <v/>
      </c>
      <c r="V383">
        <f>IF(AND(C383="CxP",S383&gt;60),"Alta",IF(AND(C383="CxP",S383&gt;30),"Media",IF(C383="CxP","Baja","")))</f>
        <v/>
      </c>
      <c r="W383">
        <f>IF(AND(C383="CxC",S383&gt;90),"Alta",IF(AND(C383="CxC",S383&gt;60),"Media",IF(C383="CxC","Baja","")))</f>
        <v/>
      </c>
    </row>
    <row r="384">
      <c r="A384" s="19" t="n"/>
      <c r="F384" s="20" t="n"/>
      <c r="Q384" s="10">
        <f>IF(E384="USD",CONFIG!$B$5,1)</f>
        <v/>
      </c>
      <c r="R384">
        <f>IF(AND(A384&lt;&gt;"",ISNUMBER(A384),B384&lt;&gt;"",C384&lt;&gt;"",OR(E384="USD",E384="CRC"),F384&gt;0,ISNUMBER(Q384),Q384&gt;0),"✓ OK","✗ ERROR: Revisa datos")</f>
        <v/>
      </c>
      <c r="S384" s="6">
        <f>IF(A384&lt;&gt;"",TODAY()-A384,"")</f>
        <v/>
      </c>
      <c r="T384" s="4">
        <f>IF(E384="USD",F384,IF(E384="CRC",F384/CONFIG!$B$5,""))</f>
        <v/>
      </c>
      <c r="U384" s="19">
        <f>IF(A384&lt;&gt;"",A384+30,"")</f>
        <v/>
      </c>
      <c r="V384">
        <f>IF(AND(C384="CxP",S384&gt;60),"Alta",IF(AND(C384="CxP",S384&gt;30),"Media",IF(C384="CxP","Baja","")))</f>
        <v/>
      </c>
      <c r="W384">
        <f>IF(AND(C384="CxC",S384&gt;90),"Alta",IF(AND(C384="CxC",S384&gt;60),"Media",IF(C384="CxC","Baja","")))</f>
        <v/>
      </c>
    </row>
    <row r="385">
      <c r="A385" s="19" t="n"/>
      <c r="F385" s="20" t="n"/>
      <c r="Q385" s="10">
        <f>IF(E385="USD",CONFIG!$B$5,1)</f>
        <v/>
      </c>
      <c r="R385">
        <f>IF(AND(A385&lt;&gt;"",ISNUMBER(A385),B385&lt;&gt;"",C385&lt;&gt;"",OR(E385="USD",E385="CRC"),F385&gt;0,ISNUMBER(Q385),Q385&gt;0),"✓ OK","✗ ERROR: Revisa datos")</f>
        <v/>
      </c>
      <c r="S385" s="6">
        <f>IF(A385&lt;&gt;"",TODAY()-A385,"")</f>
        <v/>
      </c>
      <c r="T385" s="4">
        <f>IF(E385="USD",F385,IF(E385="CRC",F385/CONFIG!$B$5,""))</f>
        <v/>
      </c>
      <c r="U385" s="19">
        <f>IF(A385&lt;&gt;"",A385+30,"")</f>
        <v/>
      </c>
      <c r="V385">
        <f>IF(AND(C385="CxP",S385&gt;60),"Alta",IF(AND(C385="CxP",S385&gt;30),"Media",IF(C385="CxP","Baja","")))</f>
        <v/>
      </c>
      <c r="W385">
        <f>IF(AND(C385="CxC",S385&gt;90),"Alta",IF(AND(C385="CxC",S385&gt;60),"Media",IF(C385="CxC","Baja","")))</f>
        <v/>
      </c>
    </row>
    <row r="386">
      <c r="A386" s="19" t="n"/>
      <c r="F386" s="20" t="n"/>
      <c r="Q386" s="10">
        <f>IF(E386="USD",CONFIG!$B$5,1)</f>
        <v/>
      </c>
      <c r="R386">
        <f>IF(AND(A386&lt;&gt;"",ISNUMBER(A386),B386&lt;&gt;"",C386&lt;&gt;"",OR(E386="USD",E386="CRC"),F386&gt;0,ISNUMBER(Q386),Q386&gt;0),"✓ OK","✗ ERROR: Revisa datos")</f>
        <v/>
      </c>
      <c r="S386" s="6">
        <f>IF(A386&lt;&gt;"",TODAY()-A386,"")</f>
        <v/>
      </c>
      <c r="T386" s="4">
        <f>IF(E386="USD",F386,IF(E386="CRC",F386/CONFIG!$B$5,""))</f>
        <v/>
      </c>
      <c r="U386" s="19">
        <f>IF(A386&lt;&gt;"",A386+30,"")</f>
        <v/>
      </c>
      <c r="V386">
        <f>IF(AND(C386="CxP",S386&gt;60),"Alta",IF(AND(C386="CxP",S386&gt;30),"Media",IF(C386="CxP","Baja","")))</f>
        <v/>
      </c>
      <c r="W386">
        <f>IF(AND(C386="CxC",S386&gt;90),"Alta",IF(AND(C386="CxC",S386&gt;60),"Media",IF(C386="CxC","Baja","")))</f>
        <v/>
      </c>
    </row>
    <row r="387">
      <c r="A387" s="19" t="n"/>
      <c r="F387" s="20" t="n"/>
      <c r="Q387" s="10">
        <f>IF(E387="USD",CONFIG!$B$5,1)</f>
        <v/>
      </c>
      <c r="R387">
        <f>IF(AND(A387&lt;&gt;"",ISNUMBER(A387),B387&lt;&gt;"",C387&lt;&gt;"",OR(E387="USD",E387="CRC"),F387&gt;0,ISNUMBER(Q387),Q387&gt;0),"✓ OK","✗ ERROR: Revisa datos")</f>
        <v/>
      </c>
      <c r="S387" s="6">
        <f>IF(A387&lt;&gt;"",TODAY()-A387,"")</f>
        <v/>
      </c>
      <c r="T387" s="4">
        <f>IF(E387="USD",F387,IF(E387="CRC",F387/CONFIG!$B$5,""))</f>
        <v/>
      </c>
      <c r="U387" s="19">
        <f>IF(A387&lt;&gt;"",A387+30,"")</f>
        <v/>
      </c>
      <c r="V387">
        <f>IF(AND(C387="CxP",S387&gt;60),"Alta",IF(AND(C387="CxP",S387&gt;30),"Media",IF(C387="CxP","Baja","")))</f>
        <v/>
      </c>
      <c r="W387">
        <f>IF(AND(C387="CxC",S387&gt;90),"Alta",IF(AND(C387="CxC",S387&gt;60),"Media",IF(C387="CxC","Baja","")))</f>
        <v/>
      </c>
    </row>
    <row r="388">
      <c r="A388" s="19" t="n"/>
      <c r="F388" s="20" t="n"/>
      <c r="Q388" s="10">
        <f>IF(E388="USD",CONFIG!$B$5,1)</f>
        <v/>
      </c>
      <c r="R388">
        <f>IF(AND(A388&lt;&gt;"",ISNUMBER(A388),B388&lt;&gt;"",C388&lt;&gt;"",OR(E388="USD",E388="CRC"),F388&gt;0,ISNUMBER(Q388),Q388&gt;0),"✓ OK","✗ ERROR: Revisa datos")</f>
        <v/>
      </c>
      <c r="S388" s="6">
        <f>IF(A388&lt;&gt;"",TODAY()-A388,"")</f>
        <v/>
      </c>
      <c r="T388" s="4">
        <f>IF(E388="USD",F388,IF(E388="CRC",F388/CONFIG!$B$5,""))</f>
        <v/>
      </c>
      <c r="U388" s="19">
        <f>IF(A388&lt;&gt;"",A388+30,"")</f>
        <v/>
      </c>
      <c r="V388">
        <f>IF(AND(C388="CxP",S388&gt;60),"Alta",IF(AND(C388="CxP",S388&gt;30),"Media",IF(C388="CxP","Baja","")))</f>
        <v/>
      </c>
      <c r="W388">
        <f>IF(AND(C388="CxC",S388&gt;90),"Alta",IF(AND(C388="CxC",S388&gt;60),"Media",IF(C388="CxC","Baja","")))</f>
        <v/>
      </c>
    </row>
    <row r="389">
      <c r="A389" s="19" t="n"/>
      <c r="F389" s="20" t="n"/>
      <c r="Q389" s="10">
        <f>IF(E389="USD",CONFIG!$B$5,1)</f>
        <v/>
      </c>
      <c r="R389">
        <f>IF(AND(A389&lt;&gt;"",ISNUMBER(A389),B389&lt;&gt;"",C389&lt;&gt;"",OR(E389="USD",E389="CRC"),F389&gt;0,ISNUMBER(Q389),Q389&gt;0),"✓ OK","✗ ERROR: Revisa datos")</f>
        <v/>
      </c>
      <c r="S389" s="6">
        <f>IF(A389&lt;&gt;"",TODAY()-A389,"")</f>
        <v/>
      </c>
      <c r="T389" s="4">
        <f>IF(E389="USD",F389,IF(E389="CRC",F389/CONFIG!$B$5,""))</f>
        <v/>
      </c>
      <c r="U389" s="19">
        <f>IF(A389&lt;&gt;"",A389+30,"")</f>
        <v/>
      </c>
      <c r="V389">
        <f>IF(AND(C389="CxP",S389&gt;60),"Alta",IF(AND(C389="CxP",S389&gt;30),"Media",IF(C389="CxP","Baja","")))</f>
        <v/>
      </c>
      <c r="W389">
        <f>IF(AND(C389="CxC",S389&gt;90),"Alta",IF(AND(C389="CxC",S389&gt;60),"Media",IF(C389="CxC","Baja","")))</f>
        <v/>
      </c>
    </row>
    <row r="390">
      <c r="A390" s="19" t="n"/>
      <c r="F390" s="20" t="n"/>
      <c r="Q390" s="10">
        <f>IF(E390="USD",CONFIG!$B$5,1)</f>
        <v/>
      </c>
      <c r="R390">
        <f>IF(AND(A390&lt;&gt;"",ISNUMBER(A390),B390&lt;&gt;"",C390&lt;&gt;"",OR(E390="USD",E390="CRC"),F390&gt;0,ISNUMBER(Q390),Q390&gt;0),"✓ OK","✗ ERROR: Revisa datos")</f>
        <v/>
      </c>
      <c r="S390" s="6">
        <f>IF(A390&lt;&gt;"",TODAY()-A390,"")</f>
        <v/>
      </c>
      <c r="T390" s="4">
        <f>IF(E390="USD",F390,IF(E390="CRC",F390/CONFIG!$B$5,""))</f>
        <v/>
      </c>
      <c r="U390" s="19">
        <f>IF(A390&lt;&gt;"",A390+30,"")</f>
        <v/>
      </c>
      <c r="V390">
        <f>IF(AND(C390="CxP",S390&gt;60),"Alta",IF(AND(C390="CxP",S390&gt;30),"Media",IF(C390="CxP","Baja","")))</f>
        <v/>
      </c>
      <c r="W390">
        <f>IF(AND(C390="CxC",S390&gt;90),"Alta",IF(AND(C390="CxC",S390&gt;60),"Media",IF(C390="CxC","Baja","")))</f>
        <v/>
      </c>
    </row>
    <row r="391">
      <c r="A391" s="19" t="n"/>
      <c r="F391" s="20" t="n"/>
      <c r="Q391" s="10">
        <f>IF(E391="USD",CONFIG!$B$5,1)</f>
        <v/>
      </c>
      <c r="R391">
        <f>IF(AND(A391&lt;&gt;"",ISNUMBER(A391),B391&lt;&gt;"",C391&lt;&gt;"",OR(E391="USD",E391="CRC"),F391&gt;0,ISNUMBER(Q391),Q391&gt;0),"✓ OK","✗ ERROR: Revisa datos")</f>
        <v/>
      </c>
      <c r="S391" s="6">
        <f>IF(A391&lt;&gt;"",TODAY()-A391,"")</f>
        <v/>
      </c>
      <c r="T391" s="4">
        <f>IF(E391="USD",F391,IF(E391="CRC",F391/CONFIG!$B$5,""))</f>
        <v/>
      </c>
      <c r="U391" s="19">
        <f>IF(A391&lt;&gt;"",A391+30,"")</f>
        <v/>
      </c>
      <c r="V391">
        <f>IF(AND(C391="CxP",S391&gt;60),"Alta",IF(AND(C391="CxP",S391&gt;30),"Media",IF(C391="CxP","Baja","")))</f>
        <v/>
      </c>
      <c r="W391">
        <f>IF(AND(C391="CxC",S391&gt;90),"Alta",IF(AND(C391="CxC",S391&gt;60),"Media",IF(C391="CxC","Baja","")))</f>
        <v/>
      </c>
    </row>
    <row r="392">
      <c r="A392" s="19" t="n"/>
      <c r="F392" s="20" t="n"/>
      <c r="Q392" s="10">
        <f>IF(E392="USD",CONFIG!$B$5,1)</f>
        <v/>
      </c>
      <c r="R392">
        <f>IF(AND(A392&lt;&gt;"",ISNUMBER(A392),B392&lt;&gt;"",C392&lt;&gt;"",OR(E392="USD",E392="CRC"),F392&gt;0,ISNUMBER(Q392),Q392&gt;0),"✓ OK","✗ ERROR: Revisa datos")</f>
        <v/>
      </c>
      <c r="S392" s="6">
        <f>IF(A392&lt;&gt;"",TODAY()-A392,"")</f>
        <v/>
      </c>
      <c r="T392" s="4">
        <f>IF(E392="USD",F392,IF(E392="CRC",F392/CONFIG!$B$5,""))</f>
        <v/>
      </c>
      <c r="U392" s="19">
        <f>IF(A392&lt;&gt;"",A392+30,"")</f>
        <v/>
      </c>
      <c r="V392">
        <f>IF(AND(C392="CxP",S392&gt;60),"Alta",IF(AND(C392="CxP",S392&gt;30),"Media",IF(C392="CxP","Baja","")))</f>
        <v/>
      </c>
      <c r="W392">
        <f>IF(AND(C392="CxC",S392&gt;90),"Alta",IF(AND(C392="CxC",S392&gt;60),"Media",IF(C392="CxC","Baja","")))</f>
        <v/>
      </c>
    </row>
    <row r="393">
      <c r="A393" s="19" t="n"/>
      <c r="F393" s="20" t="n"/>
      <c r="Q393" s="10">
        <f>IF(E393="USD",CONFIG!$B$5,1)</f>
        <v/>
      </c>
      <c r="R393">
        <f>IF(AND(A393&lt;&gt;"",ISNUMBER(A393),B393&lt;&gt;"",C393&lt;&gt;"",OR(E393="USD",E393="CRC"),F393&gt;0,ISNUMBER(Q393),Q393&gt;0),"✓ OK","✗ ERROR: Revisa datos")</f>
        <v/>
      </c>
      <c r="S393" s="6">
        <f>IF(A393&lt;&gt;"",TODAY()-A393,"")</f>
        <v/>
      </c>
      <c r="T393" s="4">
        <f>IF(E393="USD",F393,IF(E393="CRC",F393/CONFIG!$B$5,""))</f>
        <v/>
      </c>
      <c r="U393" s="19">
        <f>IF(A393&lt;&gt;"",A393+30,"")</f>
        <v/>
      </c>
      <c r="V393">
        <f>IF(AND(C393="CxP",S393&gt;60),"Alta",IF(AND(C393="CxP",S393&gt;30),"Media",IF(C393="CxP","Baja","")))</f>
        <v/>
      </c>
      <c r="W393">
        <f>IF(AND(C393="CxC",S393&gt;90),"Alta",IF(AND(C393="CxC",S393&gt;60),"Media",IF(C393="CxC","Baja","")))</f>
        <v/>
      </c>
    </row>
    <row r="394">
      <c r="A394" s="19" t="n"/>
      <c r="F394" s="20" t="n"/>
      <c r="Q394" s="10">
        <f>IF(E394="USD",CONFIG!$B$5,1)</f>
        <v/>
      </c>
      <c r="R394">
        <f>IF(AND(A394&lt;&gt;"",ISNUMBER(A394),B394&lt;&gt;"",C394&lt;&gt;"",OR(E394="USD",E394="CRC"),F394&gt;0,ISNUMBER(Q394),Q394&gt;0),"✓ OK","✗ ERROR: Revisa datos")</f>
        <v/>
      </c>
      <c r="S394" s="6">
        <f>IF(A394&lt;&gt;"",TODAY()-A394,"")</f>
        <v/>
      </c>
      <c r="T394" s="4">
        <f>IF(E394="USD",F394,IF(E394="CRC",F394/CONFIG!$B$5,""))</f>
        <v/>
      </c>
      <c r="U394" s="19">
        <f>IF(A394&lt;&gt;"",A394+30,"")</f>
        <v/>
      </c>
      <c r="V394">
        <f>IF(AND(C394="CxP",S394&gt;60),"Alta",IF(AND(C394="CxP",S394&gt;30),"Media",IF(C394="CxP","Baja","")))</f>
        <v/>
      </c>
      <c r="W394">
        <f>IF(AND(C394="CxC",S394&gt;90),"Alta",IF(AND(C394="CxC",S394&gt;60),"Media",IF(C394="CxC","Baja","")))</f>
        <v/>
      </c>
    </row>
    <row r="395">
      <c r="A395" s="19" t="n"/>
      <c r="F395" s="20" t="n"/>
      <c r="Q395" s="10">
        <f>IF(E395="USD",CONFIG!$B$5,1)</f>
        <v/>
      </c>
      <c r="R395">
        <f>IF(AND(A395&lt;&gt;"",ISNUMBER(A395),B395&lt;&gt;"",C395&lt;&gt;"",OR(E395="USD",E395="CRC"),F395&gt;0,ISNUMBER(Q395),Q395&gt;0),"✓ OK","✗ ERROR: Revisa datos")</f>
        <v/>
      </c>
      <c r="S395" s="6">
        <f>IF(A395&lt;&gt;"",TODAY()-A395,"")</f>
        <v/>
      </c>
      <c r="T395" s="4">
        <f>IF(E395="USD",F395,IF(E395="CRC",F395/CONFIG!$B$5,""))</f>
        <v/>
      </c>
      <c r="U395" s="19">
        <f>IF(A395&lt;&gt;"",A395+30,"")</f>
        <v/>
      </c>
      <c r="V395">
        <f>IF(AND(C395="CxP",S395&gt;60),"Alta",IF(AND(C395="CxP",S395&gt;30),"Media",IF(C395="CxP","Baja","")))</f>
        <v/>
      </c>
      <c r="W395">
        <f>IF(AND(C395="CxC",S395&gt;90),"Alta",IF(AND(C395="CxC",S395&gt;60),"Media",IF(C395="CxC","Baja","")))</f>
        <v/>
      </c>
    </row>
    <row r="396">
      <c r="A396" s="19" t="n"/>
      <c r="F396" s="20" t="n"/>
      <c r="Q396" s="10">
        <f>IF(E396="USD",CONFIG!$B$5,1)</f>
        <v/>
      </c>
      <c r="R396">
        <f>IF(AND(A396&lt;&gt;"",ISNUMBER(A396),B396&lt;&gt;"",C396&lt;&gt;"",OR(E396="USD",E396="CRC"),F396&gt;0,ISNUMBER(Q396),Q396&gt;0),"✓ OK","✗ ERROR: Revisa datos")</f>
        <v/>
      </c>
      <c r="S396" s="6">
        <f>IF(A396&lt;&gt;"",TODAY()-A396,"")</f>
        <v/>
      </c>
      <c r="T396" s="4">
        <f>IF(E396="USD",F396,IF(E396="CRC",F396/CONFIG!$B$5,""))</f>
        <v/>
      </c>
      <c r="U396" s="19">
        <f>IF(A396&lt;&gt;"",A396+30,"")</f>
        <v/>
      </c>
      <c r="V396">
        <f>IF(AND(C396="CxP",S396&gt;60),"Alta",IF(AND(C396="CxP",S396&gt;30),"Media",IF(C396="CxP","Baja","")))</f>
        <v/>
      </c>
      <c r="W396">
        <f>IF(AND(C396="CxC",S396&gt;90),"Alta",IF(AND(C396="CxC",S396&gt;60),"Media",IF(C396="CxC","Baja","")))</f>
        <v/>
      </c>
    </row>
    <row r="397">
      <c r="A397" s="19" t="n"/>
      <c r="F397" s="20" t="n"/>
      <c r="Q397" s="10">
        <f>IF(E397="USD",CONFIG!$B$5,1)</f>
        <v/>
      </c>
      <c r="R397">
        <f>IF(AND(A397&lt;&gt;"",ISNUMBER(A397),B397&lt;&gt;"",C397&lt;&gt;"",OR(E397="USD",E397="CRC"),F397&gt;0,ISNUMBER(Q397),Q397&gt;0),"✓ OK","✗ ERROR: Revisa datos")</f>
        <v/>
      </c>
      <c r="S397" s="6">
        <f>IF(A397&lt;&gt;"",TODAY()-A397,"")</f>
        <v/>
      </c>
      <c r="T397" s="4">
        <f>IF(E397="USD",F397,IF(E397="CRC",F397/CONFIG!$B$5,""))</f>
        <v/>
      </c>
      <c r="U397" s="19">
        <f>IF(A397&lt;&gt;"",A397+30,"")</f>
        <v/>
      </c>
      <c r="V397">
        <f>IF(AND(C397="CxP",S397&gt;60),"Alta",IF(AND(C397="CxP",S397&gt;30),"Media",IF(C397="CxP","Baja","")))</f>
        <v/>
      </c>
      <c r="W397">
        <f>IF(AND(C397="CxC",S397&gt;90),"Alta",IF(AND(C397="CxC",S397&gt;60),"Media",IF(C397="CxC","Baja","")))</f>
        <v/>
      </c>
    </row>
    <row r="398">
      <c r="A398" s="19" t="n"/>
      <c r="F398" s="20" t="n"/>
      <c r="Q398" s="10">
        <f>IF(E398="USD",CONFIG!$B$5,1)</f>
        <v/>
      </c>
      <c r="R398">
        <f>IF(AND(A398&lt;&gt;"",ISNUMBER(A398),B398&lt;&gt;"",C398&lt;&gt;"",OR(E398="USD",E398="CRC"),F398&gt;0,ISNUMBER(Q398),Q398&gt;0),"✓ OK","✗ ERROR: Revisa datos")</f>
        <v/>
      </c>
      <c r="S398" s="6">
        <f>IF(A398&lt;&gt;"",TODAY()-A398,"")</f>
        <v/>
      </c>
      <c r="T398" s="4">
        <f>IF(E398="USD",F398,IF(E398="CRC",F398/CONFIG!$B$5,""))</f>
        <v/>
      </c>
      <c r="U398" s="19">
        <f>IF(A398&lt;&gt;"",A398+30,"")</f>
        <v/>
      </c>
      <c r="V398">
        <f>IF(AND(C398="CxP",S398&gt;60),"Alta",IF(AND(C398="CxP",S398&gt;30),"Media",IF(C398="CxP","Baja","")))</f>
        <v/>
      </c>
      <c r="W398">
        <f>IF(AND(C398="CxC",S398&gt;90),"Alta",IF(AND(C398="CxC",S398&gt;60),"Media",IF(C398="CxC","Baja","")))</f>
        <v/>
      </c>
    </row>
    <row r="399">
      <c r="A399" s="19" t="n"/>
      <c r="F399" s="20" t="n"/>
      <c r="Q399" s="10">
        <f>IF(E399="USD",CONFIG!$B$5,1)</f>
        <v/>
      </c>
      <c r="R399">
        <f>IF(AND(A399&lt;&gt;"",ISNUMBER(A399),B399&lt;&gt;"",C399&lt;&gt;"",OR(E399="USD",E399="CRC"),F399&gt;0,ISNUMBER(Q399),Q399&gt;0),"✓ OK","✗ ERROR: Revisa datos")</f>
        <v/>
      </c>
      <c r="S399" s="6">
        <f>IF(A399&lt;&gt;"",TODAY()-A399,"")</f>
        <v/>
      </c>
      <c r="T399" s="4">
        <f>IF(E399="USD",F399,IF(E399="CRC",F399/CONFIG!$B$5,""))</f>
        <v/>
      </c>
      <c r="U399" s="19">
        <f>IF(A399&lt;&gt;"",A399+30,"")</f>
        <v/>
      </c>
      <c r="V399">
        <f>IF(AND(C399="CxP",S399&gt;60),"Alta",IF(AND(C399="CxP",S399&gt;30),"Media",IF(C399="CxP","Baja","")))</f>
        <v/>
      </c>
      <c r="W399">
        <f>IF(AND(C399="CxC",S399&gt;90),"Alta",IF(AND(C399="CxC",S399&gt;60),"Media",IF(C399="CxC","Baja","")))</f>
        <v/>
      </c>
    </row>
    <row r="400">
      <c r="A400" s="19" t="n"/>
      <c r="F400" s="20" t="n"/>
      <c r="Q400" s="10">
        <f>IF(E400="USD",CONFIG!$B$5,1)</f>
        <v/>
      </c>
      <c r="R400">
        <f>IF(AND(A400&lt;&gt;"",ISNUMBER(A400),B400&lt;&gt;"",C400&lt;&gt;"",OR(E400="USD",E400="CRC"),F400&gt;0,ISNUMBER(Q400),Q400&gt;0),"✓ OK","✗ ERROR: Revisa datos")</f>
        <v/>
      </c>
      <c r="S400" s="6">
        <f>IF(A400&lt;&gt;"",TODAY()-A400,"")</f>
        <v/>
      </c>
      <c r="T400" s="4">
        <f>IF(E400="USD",F400,IF(E400="CRC",F400/CONFIG!$B$5,""))</f>
        <v/>
      </c>
      <c r="U400" s="19">
        <f>IF(A400&lt;&gt;"",A400+30,"")</f>
        <v/>
      </c>
      <c r="V400">
        <f>IF(AND(C400="CxP",S400&gt;60),"Alta",IF(AND(C400="CxP",S400&gt;30),"Media",IF(C400="CxP","Baja","")))</f>
        <v/>
      </c>
      <c r="W400">
        <f>IF(AND(C400="CxC",S400&gt;90),"Alta",IF(AND(C400="CxC",S400&gt;60),"Media",IF(C400="CxC","Baja","")))</f>
        <v/>
      </c>
    </row>
    <row r="401">
      <c r="A401" s="19" t="n"/>
      <c r="F401" s="20" t="n"/>
      <c r="Q401" s="10">
        <f>IF(E401="USD",CONFIG!$B$5,1)</f>
        <v/>
      </c>
      <c r="R401">
        <f>IF(AND(A401&lt;&gt;"",ISNUMBER(A401),B401&lt;&gt;"",C401&lt;&gt;"",OR(E401="USD",E401="CRC"),F401&gt;0,ISNUMBER(Q401),Q401&gt;0),"✓ OK","✗ ERROR: Revisa datos")</f>
        <v/>
      </c>
      <c r="S401" s="6">
        <f>IF(A401&lt;&gt;"",TODAY()-A401,"")</f>
        <v/>
      </c>
      <c r="T401" s="4">
        <f>IF(E401="USD",F401,IF(E401="CRC",F401/CONFIG!$B$5,""))</f>
        <v/>
      </c>
      <c r="U401" s="19">
        <f>IF(A401&lt;&gt;"",A401+30,"")</f>
        <v/>
      </c>
      <c r="V401">
        <f>IF(AND(C401="CxP",S401&gt;60),"Alta",IF(AND(C401="CxP",S401&gt;30),"Media",IF(C401="CxP","Baja","")))</f>
        <v/>
      </c>
      <c r="W401">
        <f>IF(AND(C401="CxC",S401&gt;90),"Alta",IF(AND(C401="CxC",S401&gt;60),"Media",IF(C401="CxC","Baja","")))</f>
        <v/>
      </c>
    </row>
    <row r="402">
      <c r="A402" s="19" t="n"/>
      <c r="F402" s="20" t="n"/>
      <c r="Q402" s="10">
        <f>IF(E402="USD",CONFIG!$B$5,1)</f>
        <v/>
      </c>
      <c r="R402">
        <f>IF(AND(A402&lt;&gt;"",ISNUMBER(A402),B402&lt;&gt;"",C402&lt;&gt;"",OR(E402="USD",E402="CRC"),F402&gt;0,ISNUMBER(Q402),Q402&gt;0),"✓ OK","✗ ERROR: Revisa datos")</f>
        <v/>
      </c>
      <c r="S402" s="6">
        <f>IF(A402&lt;&gt;"",TODAY()-A402,"")</f>
        <v/>
      </c>
      <c r="T402" s="4">
        <f>IF(E402="USD",F402,IF(E402="CRC",F402/CONFIG!$B$5,""))</f>
        <v/>
      </c>
      <c r="U402" s="19">
        <f>IF(A402&lt;&gt;"",A402+30,"")</f>
        <v/>
      </c>
      <c r="V402">
        <f>IF(AND(C402="CxP",S402&gt;60),"Alta",IF(AND(C402="CxP",S402&gt;30),"Media",IF(C402="CxP","Baja","")))</f>
        <v/>
      </c>
      <c r="W402">
        <f>IF(AND(C402="CxC",S402&gt;90),"Alta",IF(AND(C402="CxC",S402&gt;60),"Media",IF(C402="CxC","Baja","")))</f>
        <v/>
      </c>
    </row>
    <row r="403">
      <c r="A403" s="19" t="n"/>
      <c r="F403" s="20" t="n"/>
      <c r="Q403" s="10">
        <f>IF(E403="USD",CONFIG!$B$5,1)</f>
        <v/>
      </c>
      <c r="R403">
        <f>IF(AND(A403&lt;&gt;"",ISNUMBER(A403),B403&lt;&gt;"",C403&lt;&gt;"",OR(E403="USD",E403="CRC"),F403&gt;0,ISNUMBER(Q403),Q403&gt;0),"✓ OK","✗ ERROR: Revisa datos")</f>
        <v/>
      </c>
      <c r="S403" s="6">
        <f>IF(A403&lt;&gt;"",TODAY()-A403,"")</f>
        <v/>
      </c>
      <c r="T403" s="4">
        <f>IF(E403="USD",F403,IF(E403="CRC",F403/CONFIG!$B$5,""))</f>
        <v/>
      </c>
      <c r="U403" s="19">
        <f>IF(A403&lt;&gt;"",A403+30,"")</f>
        <v/>
      </c>
      <c r="V403">
        <f>IF(AND(C403="CxP",S403&gt;60),"Alta",IF(AND(C403="CxP",S403&gt;30),"Media",IF(C403="CxP","Baja","")))</f>
        <v/>
      </c>
      <c r="W403">
        <f>IF(AND(C403="CxC",S403&gt;90),"Alta",IF(AND(C403="CxC",S403&gt;60),"Media",IF(C403="CxC","Baja","")))</f>
        <v/>
      </c>
    </row>
    <row r="404">
      <c r="A404" s="19" t="n"/>
      <c r="F404" s="20" t="n"/>
      <c r="Q404" s="10">
        <f>IF(E404="USD",CONFIG!$B$5,1)</f>
        <v/>
      </c>
      <c r="R404">
        <f>IF(AND(A404&lt;&gt;"",ISNUMBER(A404),B404&lt;&gt;"",C404&lt;&gt;"",OR(E404="USD",E404="CRC"),F404&gt;0,ISNUMBER(Q404),Q404&gt;0),"✓ OK","✗ ERROR: Revisa datos")</f>
        <v/>
      </c>
      <c r="S404" s="6">
        <f>IF(A404&lt;&gt;"",TODAY()-A404,"")</f>
        <v/>
      </c>
      <c r="T404" s="4">
        <f>IF(E404="USD",F404,IF(E404="CRC",F404/CONFIG!$B$5,""))</f>
        <v/>
      </c>
      <c r="U404" s="19">
        <f>IF(A404&lt;&gt;"",A404+30,"")</f>
        <v/>
      </c>
      <c r="V404">
        <f>IF(AND(C404="CxP",S404&gt;60),"Alta",IF(AND(C404="CxP",S404&gt;30),"Media",IF(C404="CxP","Baja","")))</f>
        <v/>
      </c>
      <c r="W404">
        <f>IF(AND(C404="CxC",S404&gt;90),"Alta",IF(AND(C404="CxC",S404&gt;60),"Media",IF(C404="CxC","Baja","")))</f>
        <v/>
      </c>
    </row>
    <row r="405">
      <c r="A405" s="19" t="n"/>
      <c r="F405" s="20" t="n"/>
      <c r="Q405" s="10">
        <f>IF(E405="USD",CONFIG!$B$5,1)</f>
        <v/>
      </c>
      <c r="R405">
        <f>IF(AND(A405&lt;&gt;"",ISNUMBER(A405),B405&lt;&gt;"",C405&lt;&gt;"",OR(E405="USD",E405="CRC"),F405&gt;0,ISNUMBER(Q405),Q405&gt;0),"✓ OK","✗ ERROR: Revisa datos")</f>
        <v/>
      </c>
      <c r="S405" s="6">
        <f>IF(A405&lt;&gt;"",TODAY()-A405,"")</f>
        <v/>
      </c>
      <c r="T405" s="4">
        <f>IF(E405="USD",F405,IF(E405="CRC",F405/CONFIG!$B$5,""))</f>
        <v/>
      </c>
      <c r="U405" s="19">
        <f>IF(A405&lt;&gt;"",A405+30,"")</f>
        <v/>
      </c>
      <c r="V405">
        <f>IF(AND(C405="CxP",S405&gt;60),"Alta",IF(AND(C405="CxP",S405&gt;30),"Media",IF(C405="CxP","Baja","")))</f>
        <v/>
      </c>
      <c r="W405">
        <f>IF(AND(C405="CxC",S405&gt;90),"Alta",IF(AND(C405="CxC",S405&gt;60),"Media",IF(C405="CxC","Baja","")))</f>
        <v/>
      </c>
    </row>
    <row r="406">
      <c r="A406" s="19" t="n"/>
      <c r="F406" s="20" t="n"/>
      <c r="Q406" s="10">
        <f>IF(E406="USD",CONFIG!$B$5,1)</f>
        <v/>
      </c>
      <c r="R406">
        <f>IF(AND(A406&lt;&gt;"",ISNUMBER(A406),B406&lt;&gt;"",C406&lt;&gt;"",OR(E406="USD",E406="CRC"),F406&gt;0,ISNUMBER(Q406),Q406&gt;0),"✓ OK","✗ ERROR: Revisa datos")</f>
        <v/>
      </c>
      <c r="S406" s="6">
        <f>IF(A406&lt;&gt;"",TODAY()-A406,"")</f>
        <v/>
      </c>
      <c r="T406" s="4">
        <f>IF(E406="USD",F406,IF(E406="CRC",F406/CONFIG!$B$5,""))</f>
        <v/>
      </c>
      <c r="U406" s="19">
        <f>IF(A406&lt;&gt;"",A406+30,"")</f>
        <v/>
      </c>
      <c r="V406">
        <f>IF(AND(C406="CxP",S406&gt;60),"Alta",IF(AND(C406="CxP",S406&gt;30),"Media",IF(C406="CxP","Baja","")))</f>
        <v/>
      </c>
      <c r="W406">
        <f>IF(AND(C406="CxC",S406&gt;90),"Alta",IF(AND(C406="CxC",S406&gt;60),"Media",IF(C406="CxC","Baja","")))</f>
        <v/>
      </c>
    </row>
    <row r="407">
      <c r="A407" s="19" t="n"/>
      <c r="F407" s="20" t="n"/>
      <c r="Q407" s="10">
        <f>IF(E407="USD",CONFIG!$B$5,1)</f>
        <v/>
      </c>
      <c r="R407">
        <f>IF(AND(A407&lt;&gt;"",ISNUMBER(A407),B407&lt;&gt;"",C407&lt;&gt;"",OR(E407="USD",E407="CRC"),F407&gt;0,ISNUMBER(Q407),Q407&gt;0),"✓ OK","✗ ERROR: Revisa datos")</f>
        <v/>
      </c>
      <c r="S407" s="6">
        <f>IF(A407&lt;&gt;"",TODAY()-A407,"")</f>
        <v/>
      </c>
      <c r="T407" s="4">
        <f>IF(E407="USD",F407,IF(E407="CRC",F407/CONFIG!$B$5,""))</f>
        <v/>
      </c>
      <c r="U407" s="19">
        <f>IF(A407&lt;&gt;"",A407+30,"")</f>
        <v/>
      </c>
      <c r="V407">
        <f>IF(AND(C407="CxP",S407&gt;60),"Alta",IF(AND(C407="CxP",S407&gt;30),"Media",IF(C407="CxP","Baja","")))</f>
        <v/>
      </c>
      <c r="W407">
        <f>IF(AND(C407="CxC",S407&gt;90),"Alta",IF(AND(C407="CxC",S407&gt;60),"Media",IF(C407="CxC","Baja","")))</f>
        <v/>
      </c>
    </row>
    <row r="408">
      <c r="A408" s="19" t="n"/>
      <c r="F408" s="20" t="n"/>
      <c r="Q408" s="10">
        <f>IF(E408="USD",CONFIG!$B$5,1)</f>
        <v/>
      </c>
      <c r="R408">
        <f>IF(AND(A408&lt;&gt;"",ISNUMBER(A408),B408&lt;&gt;"",C408&lt;&gt;"",OR(E408="USD",E408="CRC"),F408&gt;0,ISNUMBER(Q408),Q408&gt;0),"✓ OK","✗ ERROR: Revisa datos")</f>
        <v/>
      </c>
      <c r="S408" s="6">
        <f>IF(A408&lt;&gt;"",TODAY()-A408,"")</f>
        <v/>
      </c>
      <c r="T408" s="4">
        <f>IF(E408="USD",F408,IF(E408="CRC",F408/CONFIG!$B$5,""))</f>
        <v/>
      </c>
      <c r="U408" s="19">
        <f>IF(A408&lt;&gt;"",A408+30,"")</f>
        <v/>
      </c>
      <c r="V408">
        <f>IF(AND(C408="CxP",S408&gt;60),"Alta",IF(AND(C408="CxP",S408&gt;30),"Media",IF(C408="CxP","Baja","")))</f>
        <v/>
      </c>
      <c r="W408">
        <f>IF(AND(C408="CxC",S408&gt;90),"Alta",IF(AND(C408="CxC",S408&gt;60),"Media",IF(C408="CxC","Baja","")))</f>
        <v/>
      </c>
    </row>
    <row r="409">
      <c r="A409" s="19" t="n"/>
      <c r="F409" s="20" t="n"/>
      <c r="Q409" s="10">
        <f>IF(E409="USD",CONFIG!$B$5,1)</f>
        <v/>
      </c>
      <c r="R409">
        <f>IF(AND(A409&lt;&gt;"",ISNUMBER(A409),B409&lt;&gt;"",C409&lt;&gt;"",OR(E409="USD",E409="CRC"),F409&gt;0,ISNUMBER(Q409),Q409&gt;0),"✓ OK","✗ ERROR: Revisa datos")</f>
        <v/>
      </c>
      <c r="S409" s="6">
        <f>IF(A409&lt;&gt;"",TODAY()-A409,"")</f>
        <v/>
      </c>
      <c r="T409" s="4">
        <f>IF(E409="USD",F409,IF(E409="CRC",F409/CONFIG!$B$5,""))</f>
        <v/>
      </c>
      <c r="U409" s="19">
        <f>IF(A409&lt;&gt;"",A409+30,"")</f>
        <v/>
      </c>
      <c r="V409">
        <f>IF(AND(C409="CxP",S409&gt;60),"Alta",IF(AND(C409="CxP",S409&gt;30),"Media",IF(C409="CxP","Baja","")))</f>
        <v/>
      </c>
      <c r="W409">
        <f>IF(AND(C409="CxC",S409&gt;90),"Alta",IF(AND(C409="CxC",S409&gt;60),"Media",IF(C409="CxC","Baja","")))</f>
        <v/>
      </c>
    </row>
    <row r="410">
      <c r="A410" s="19" t="n"/>
      <c r="F410" s="20" t="n"/>
      <c r="Q410" s="10">
        <f>IF(E410="USD",CONFIG!$B$5,1)</f>
        <v/>
      </c>
      <c r="R410">
        <f>IF(AND(A410&lt;&gt;"",ISNUMBER(A410),B410&lt;&gt;"",C410&lt;&gt;"",OR(E410="USD",E410="CRC"),F410&gt;0,ISNUMBER(Q410),Q410&gt;0),"✓ OK","✗ ERROR: Revisa datos")</f>
        <v/>
      </c>
      <c r="S410" s="6">
        <f>IF(A410&lt;&gt;"",TODAY()-A410,"")</f>
        <v/>
      </c>
      <c r="T410" s="4">
        <f>IF(E410="USD",F410,IF(E410="CRC",F410/CONFIG!$B$5,""))</f>
        <v/>
      </c>
      <c r="U410" s="19">
        <f>IF(A410&lt;&gt;"",A410+30,"")</f>
        <v/>
      </c>
      <c r="V410">
        <f>IF(AND(C410="CxP",S410&gt;60),"Alta",IF(AND(C410="CxP",S410&gt;30),"Media",IF(C410="CxP","Baja","")))</f>
        <v/>
      </c>
      <c r="W410">
        <f>IF(AND(C410="CxC",S410&gt;90),"Alta",IF(AND(C410="CxC",S410&gt;60),"Media",IF(C410="CxC","Baja","")))</f>
        <v/>
      </c>
    </row>
    <row r="411">
      <c r="A411" s="19" t="n"/>
      <c r="F411" s="20" t="n"/>
      <c r="Q411" s="10">
        <f>IF(E411="USD",CONFIG!$B$5,1)</f>
        <v/>
      </c>
      <c r="R411">
        <f>IF(AND(A411&lt;&gt;"",ISNUMBER(A411),B411&lt;&gt;"",C411&lt;&gt;"",OR(E411="USD",E411="CRC"),F411&gt;0,ISNUMBER(Q411),Q411&gt;0),"✓ OK","✗ ERROR: Revisa datos")</f>
        <v/>
      </c>
      <c r="S411" s="6">
        <f>IF(A411&lt;&gt;"",TODAY()-A411,"")</f>
        <v/>
      </c>
      <c r="T411" s="4">
        <f>IF(E411="USD",F411,IF(E411="CRC",F411/CONFIG!$B$5,""))</f>
        <v/>
      </c>
      <c r="U411" s="19">
        <f>IF(A411&lt;&gt;"",A411+30,"")</f>
        <v/>
      </c>
      <c r="V411">
        <f>IF(AND(C411="CxP",S411&gt;60),"Alta",IF(AND(C411="CxP",S411&gt;30),"Media",IF(C411="CxP","Baja","")))</f>
        <v/>
      </c>
      <c r="W411">
        <f>IF(AND(C411="CxC",S411&gt;90),"Alta",IF(AND(C411="CxC",S411&gt;60),"Media",IF(C411="CxC","Baja","")))</f>
        <v/>
      </c>
    </row>
    <row r="412">
      <c r="A412" s="19" t="n"/>
      <c r="F412" s="20" t="n"/>
      <c r="Q412" s="10">
        <f>IF(E412="USD",CONFIG!$B$5,1)</f>
        <v/>
      </c>
      <c r="R412">
        <f>IF(AND(A412&lt;&gt;"",ISNUMBER(A412),B412&lt;&gt;"",C412&lt;&gt;"",OR(E412="USD",E412="CRC"),F412&gt;0,ISNUMBER(Q412),Q412&gt;0),"✓ OK","✗ ERROR: Revisa datos")</f>
        <v/>
      </c>
      <c r="S412" s="6">
        <f>IF(A412&lt;&gt;"",TODAY()-A412,"")</f>
        <v/>
      </c>
      <c r="T412" s="4">
        <f>IF(E412="USD",F412,IF(E412="CRC",F412/CONFIG!$B$5,""))</f>
        <v/>
      </c>
      <c r="U412" s="19">
        <f>IF(A412&lt;&gt;"",A412+30,"")</f>
        <v/>
      </c>
      <c r="V412">
        <f>IF(AND(C412="CxP",S412&gt;60),"Alta",IF(AND(C412="CxP",S412&gt;30),"Media",IF(C412="CxP","Baja","")))</f>
        <v/>
      </c>
      <c r="W412">
        <f>IF(AND(C412="CxC",S412&gt;90),"Alta",IF(AND(C412="CxC",S412&gt;60),"Media",IF(C412="CxC","Baja","")))</f>
        <v/>
      </c>
    </row>
    <row r="413">
      <c r="A413" s="19" t="n"/>
      <c r="F413" s="20" t="n"/>
      <c r="Q413" s="10">
        <f>IF(E413="USD",CONFIG!$B$5,1)</f>
        <v/>
      </c>
      <c r="R413">
        <f>IF(AND(A413&lt;&gt;"",ISNUMBER(A413),B413&lt;&gt;"",C413&lt;&gt;"",OR(E413="USD",E413="CRC"),F413&gt;0,ISNUMBER(Q413),Q413&gt;0),"✓ OK","✗ ERROR: Revisa datos")</f>
        <v/>
      </c>
      <c r="S413" s="6">
        <f>IF(A413&lt;&gt;"",TODAY()-A413,"")</f>
        <v/>
      </c>
      <c r="T413" s="4">
        <f>IF(E413="USD",F413,IF(E413="CRC",F413/CONFIG!$B$5,""))</f>
        <v/>
      </c>
      <c r="U413" s="19">
        <f>IF(A413&lt;&gt;"",A413+30,"")</f>
        <v/>
      </c>
      <c r="V413">
        <f>IF(AND(C413="CxP",S413&gt;60),"Alta",IF(AND(C413="CxP",S413&gt;30),"Media",IF(C413="CxP","Baja","")))</f>
        <v/>
      </c>
      <c r="W413">
        <f>IF(AND(C413="CxC",S413&gt;90),"Alta",IF(AND(C413="CxC",S413&gt;60),"Media",IF(C413="CxC","Baja","")))</f>
        <v/>
      </c>
    </row>
    <row r="414">
      <c r="A414" s="19" t="n"/>
      <c r="F414" s="20" t="n"/>
      <c r="Q414" s="10">
        <f>IF(E414="USD",CONFIG!$B$5,1)</f>
        <v/>
      </c>
      <c r="R414">
        <f>IF(AND(A414&lt;&gt;"",ISNUMBER(A414),B414&lt;&gt;"",C414&lt;&gt;"",OR(E414="USD",E414="CRC"),F414&gt;0,ISNUMBER(Q414),Q414&gt;0),"✓ OK","✗ ERROR: Revisa datos")</f>
        <v/>
      </c>
      <c r="S414" s="6">
        <f>IF(A414&lt;&gt;"",TODAY()-A414,"")</f>
        <v/>
      </c>
      <c r="T414" s="4">
        <f>IF(E414="USD",F414,IF(E414="CRC",F414/CONFIG!$B$5,""))</f>
        <v/>
      </c>
      <c r="U414" s="19">
        <f>IF(A414&lt;&gt;"",A414+30,"")</f>
        <v/>
      </c>
      <c r="V414">
        <f>IF(AND(C414="CxP",S414&gt;60),"Alta",IF(AND(C414="CxP",S414&gt;30),"Media",IF(C414="CxP","Baja","")))</f>
        <v/>
      </c>
      <c r="W414">
        <f>IF(AND(C414="CxC",S414&gt;90),"Alta",IF(AND(C414="CxC",S414&gt;60),"Media",IF(C414="CxC","Baja","")))</f>
        <v/>
      </c>
    </row>
    <row r="415">
      <c r="A415" s="19" t="n"/>
      <c r="F415" s="20" t="n"/>
      <c r="Q415" s="10">
        <f>IF(E415="USD",CONFIG!$B$5,1)</f>
        <v/>
      </c>
      <c r="R415">
        <f>IF(AND(A415&lt;&gt;"",ISNUMBER(A415),B415&lt;&gt;"",C415&lt;&gt;"",OR(E415="USD",E415="CRC"),F415&gt;0,ISNUMBER(Q415),Q415&gt;0),"✓ OK","✗ ERROR: Revisa datos")</f>
        <v/>
      </c>
      <c r="S415" s="6">
        <f>IF(A415&lt;&gt;"",TODAY()-A415,"")</f>
        <v/>
      </c>
      <c r="T415" s="4">
        <f>IF(E415="USD",F415,IF(E415="CRC",F415/CONFIG!$B$5,""))</f>
        <v/>
      </c>
      <c r="U415" s="19">
        <f>IF(A415&lt;&gt;"",A415+30,"")</f>
        <v/>
      </c>
      <c r="V415">
        <f>IF(AND(C415="CxP",S415&gt;60),"Alta",IF(AND(C415="CxP",S415&gt;30),"Media",IF(C415="CxP","Baja","")))</f>
        <v/>
      </c>
      <c r="W415">
        <f>IF(AND(C415="CxC",S415&gt;90),"Alta",IF(AND(C415="CxC",S415&gt;60),"Media",IF(C415="CxC","Baja","")))</f>
        <v/>
      </c>
    </row>
    <row r="416">
      <c r="A416" s="19" t="n"/>
      <c r="F416" s="20" t="n"/>
      <c r="Q416" s="10">
        <f>IF(E416="USD",CONFIG!$B$5,1)</f>
        <v/>
      </c>
      <c r="R416">
        <f>IF(AND(A416&lt;&gt;"",ISNUMBER(A416),B416&lt;&gt;"",C416&lt;&gt;"",OR(E416="USD",E416="CRC"),F416&gt;0,ISNUMBER(Q416),Q416&gt;0),"✓ OK","✗ ERROR: Revisa datos")</f>
        <v/>
      </c>
      <c r="S416" s="6">
        <f>IF(A416&lt;&gt;"",TODAY()-A416,"")</f>
        <v/>
      </c>
      <c r="T416" s="4">
        <f>IF(E416="USD",F416,IF(E416="CRC",F416/CONFIG!$B$5,""))</f>
        <v/>
      </c>
      <c r="U416" s="19">
        <f>IF(A416&lt;&gt;"",A416+30,"")</f>
        <v/>
      </c>
      <c r="V416">
        <f>IF(AND(C416="CxP",S416&gt;60),"Alta",IF(AND(C416="CxP",S416&gt;30),"Media",IF(C416="CxP","Baja","")))</f>
        <v/>
      </c>
      <c r="W416">
        <f>IF(AND(C416="CxC",S416&gt;90),"Alta",IF(AND(C416="CxC",S416&gt;60),"Media",IF(C416="CxC","Baja","")))</f>
        <v/>
      </c>
    </row>
    <row r="417">
      <c r="A417" s="19" t="n"/>
      <c r="F417" s="20" t="n"/>
      <c r="Q417" s="10">
        <f>IF(E417="USD",CONFIG!$B$5,1)</f>
        <v/>
      </c>
      <c r="R417">
        <f>IF(AND(A417&lt;&gt;"",ISNUMBER(A417),B417&lt;&gt;"",C417&lt;&gt;"",OR(E417="USD",E417="CRC"),F417&gt;0,ISNUMBER(Q417),Q417&gt;0),"✓ OK","✗ ERROR: Revisa datos")</f>
        <v/>
      </c>
      <c r="S417" s="6">
        <f>IF(A417&lt;&gt;"",TODAY()-A417,"")</f>
        <v/>
      </c>
      <c r="T417" s="4">
        <f>IF(E417="USD",F417,IF(E417="CRC",F417/CONFIG!$B$5,""))</f>
        <v/>
      </c>
      <c r="U417" s="19">
        <f>IF(A417&lt;&gt;"",A417+30,"")</f>
        <v/>
      </c>
      <c r="V417">
        <f>IF(AND(C417="CxP",S417&gt;60),"Alta",IF(AND(C417="CxP",S417&gt;30),"Media",IF(C417="CxP","Baja","")))</f>
        <v/>
      </c>
      <c r="W417">
        <f>IF(AND(C417="CxC",S417&gt;90),"Alta",IF(AND(C417="CxC",S417&gt;60),"Media",IF(C417="CxC","Baja","")))</f>
        <v/>
      </c>
    </row>
    <row r="418">
      <c r="A418" s="19" t="n"/>
      <c r="F418" s="20" t="n"/>
      <c r="Q418" s="10">
        <f>IF(E418="USD",CONFIG!$B$5,1)</f>
        <v/>
      </c>
      <c r="R418">
        <f>IF(AND(A418&lt;&gt;"",ISNUMBER(A418),B418&lt;&gt;"",C418&lt;&gt;"",OR(E418="USD",E418="CRC"),F418&gt;0,ISNUMBER(Q418),Q418&gt;0),"✓ OK","✗ ERROR: Revisa datos")</f>
        <v/>
      </c>
      <c r="S418" s="6">
        <f>IF(A418&lt;&gt;"",TODAY()-A418,"")</f>
        <v/>
      </c>
      <c r="T418" s="4">
        <f>IF(E418="USD",F418,IF(E418="CRC",F418/CONFIG!$B$5,""))</f>
        <v/>
      </c>
      <c r="U418" s="19">
        <f>IF(A418&lt;&gt;"",A418+30,"")</f>
        <v/>
      </c>
      <c r="V418">
        <f>IF(AND(C418="CxP",S418&gt;60),"Alta",IF(AND(C418="CxP",S418&gt;30),"Media",IF(C418="CxP","Baja","")))</f>
        <v/>
      </c>
      <c r="W418">
        <f>IF(AND(C418="CxC",S418&gt;90),"Alta",IF(AND(C418="CxC",S418&gt;60),"Media",IF(C418="CxC","Baja","")))</f>
        <v/>
      </c>
    </row>
    <row r="419">
      <c r="A419" s="19" t="n"/>
      <c r="F419" s="20" t="n"/>
      <c r="Q419" s="10">
        <f>IF(E419="USD",CONFIG!$B$5,1)</f>
        <v/>
      </c>
      <c r="R419">
        <f>IF(AND(A419&lt;&gt;"",ISNUMBER(A419),B419&lt;&gt;"",C419&lt;&gt;"",OR(E419="USD",E419="CRC"),F419&gt;0,ISNUMBER(Q419),Q419&gt;0),"✓ OK","✗ ERROR: Revisa datos")</f>
        <v/>
      </c>
      <c r="S419" s="6">
        <f>IF(A419&lt;&gt;"",TODAY()-A419,"")</f>
        <v/>
      </c>
      <c r="T419" s="4">
        <f>IF(E419="USD",F419,IF(E419="CRC",F419/CONFIG!$B$5,""))</f>
        <v/>
      </c>
      <c r="U419" s="19">
        <f>IF(A419&lt;&gt;"",A419+30,"")</f>
        <v/>
      </c>
      <c r="V419">
        <f>IF(AND(C419="CxP",S419&gt;60),"Alta",IF(AND(C419="CxP",S419&gt;30),"Media",IF(C419="CxP","Baja","")))</f>
        <v/>
      </c>
      <c r="W419">
        <f>IF(AND(C419="CxC",S419&gt;90),"Alta",IF(AND(C419="CxC",S419&gt;60),"Media",IF(C419="CxC","Baja","")))</f>
        <v/>
      </c>
    </row>
    <row r="420">
      <c r="A420" s="19" t="n"/>
      <c r="F420" s="20" t="n"/>
      <c r="Q420" s="10">
        <f>IF(E420="USD",CONFIG!$B$5,1)</f>
        <v/>
      </c>
      <c r="R420">
        <f>IF(AND(A420&lt;&gt;"",ISNUMBER(A420),B420&lt;&gt;"",C420&lt;&gt;"",OR(E420="USD",E420="CRC"),F420&gt;0,ISNUMBER(Q420),Q420&gt;0),"✓ OK","✗ ERROR: Revisa datos")</f>
        <v/>
      </c>
      <c r="S420" s="6">
        <f>IF(A420&lt;&gt;"",TODAY()-A420,"")</f>
        <v/>
      </c>
      <c r="T420" s="4">
        <f>IF(E420="USD",F420,IF(E420="CRC",F420/CONFIG!$B$5,""))</f>
        <v/>
      </c>
      <c r="U420" s="19">
        <f>IF(A420&lt;&gt;"",A420+30,"")</f>
        <v/>
      </c>
      <c r="V420">
        <f>IF(AND(C420="CxP",S420&gt;60),"Alta",IF(AND(C420="CxP",S420&gt;30),"Media",IF(C420="CxP","Baja","")))</f>
        <v/>
      </c>
      <c r="W420">
        <f>IF(AND(C420="CxC",S420&gt;90),"Alta",IF(AND(C420="CxC",S420&gt;60),"Media",IF(C420="CxC","Baja","")))</f>
        <v/>
      </c>
    </row>
    <row r="421">
      <c r="A421" s="19" t="n"/>
      <c r="F421" s="20" t="n"/>
      <c r="Q421" s="10">
        <f>IF(E421="USD",CONFIG!$B$5,1)</f>
        <v/>
      </c>
      <c r="R421">
        <f>IF(AND(A421&lt;&gt;"",ISNUMBER(A421),B421&lt;&gt;"",C421&lt;&gt;"",OR(E421="USD",E421="CRC"),F421&gt;0,ISNUMBER(Q421),Q421&gt;0),"✓ OK","✗ ERROR: Revisa datos")</f>
        <v/>
      </c>
      <c r="S421" s="6">
        <f>IF(A421&lt;&gt;"",TODAY()-A421,"")</f>
        <v/>
      </c>
      <c r="T421" s="4">
        <f>IF(E421="USD",F421,IF(E421="CRC",F421/CONFIG!$B$5,""))</f>
        <v/>
      </c>
      <c r="U421" s="19">
        <f>IF(A421&lt;&gt;"",A421+30,"")</f>
        <v/>
      </c>
      <c r="V421">
        <f>IF(AND(C421="CxP",S421&gt;60),"Alta",IF(AND(C421="CxP",S421&gt;30),"Media",IF(C421="CxP","Baja","")))</f>
        <v/>
      </c>
      <c r="W421">
        <f>IF(AND(C421="CxC",S421&gt;90),"Alta",IF(AND(C421="CxC",S421&gt;60),"Media",IF(C421="CxC","Baja","")))</f>
        <v/>
      </c>
    </row>
    <row r="422">
      <c r="A422" s="19" t="n"/>
      <c r="F422" s="20" t="n"/>
      <c r="Q422" s="10">
        <f>IF(E422="USD",CONFIG!$B$5,1)</f>
        <v/>
      </c>
      <c r="R422">
        <f>IF(AND(A422&lt;&gt;"",ISNUMBER(A422),B422&lt;&gt;"",C422&lt;&gt;"",OR(E422="USD",E422="CRC"),F422&gt;0,ISNUMBER(Q422),Q422&gt;0),"✓ OK","✗ ERROR: Revisa datos")</f>
        <v/>
      </c>
      <c r="S422" s="6">
        <f>IF(A422&lt;&gt;"",TODAY()-A422,"")</f>
        <v/>
      </c>
      <c r="T422" s="4">
        <f>IF(E422="USD",F422,IF(E422="CRC",F422/CONFIG!$B$5,""))</f>
        <v/>
      </c>
      <c r="U422" s="19">
        <f>IF(A422&lt;&gt;"",A422+30,"")</f>
        <v/>
      </c>
      <c r="V422">
        <f>IF(AND(C422="CxP",S422&gt;60),"Alta",IF(AND(C422="CxP",S422&gt;30),"Media",IF(C422="CxP","Baja","")))</f>
        <v/>
      </c>
      <c r="W422">
        <f>IF(AND(C422="CxC",S422&gt;90),"Alta",IF(AND(C422="CxC",S422&gt;60),"Media",IF(C422="CxC","Baja","")))</f>
        <v/>
      </c>
    </row>
    <row r="423">
      <c r="A423" s="19" t="n"/>
      <c r="F423" s="20" t="n"/>
      <c r="Q423" s="10">
        <f>IF(E423="USD",CONFIG!$B$5,1)</f>
        <v/>
      </c>
      <c r="R423">
        <f>IF(AND(A423&lt;&gt;"",ISNUMBER(A423),B423&lt;&gt;"",C423&lt;&gt;"",OR(E423="USD",E423="CRC"),F423&gt;0,ISNUMBER(Q423),Q423&gt;0),"✓ OK","✗ ERROR: Revisa datos")</f>
        <v/>
      </c>
      <c r="S423" s="6">
        <f>IF(A423&lt;&gt;"",TODAY()-A423,"")</f>
        <v/>
      </c>
      <c r="T423" s="4">
        <f>IF(E423="USD",F423,IF(E423="CRC",F423/CONFIG!$B$5,""))</f>
        <v/>
      </c>
      <c r="U423" s="19">
        <f>IF(A423&lt;&gt;"",A423+30,"")</f>
        <v/>
      </c>
      <c r="V423">
        <f>IF(AND(C423="CxP",S423&gt;60),"Alta",IF(AND(C423="CxP",S423&gt;30),"Media",IF(C423="CxP","Baja","")))</f>
        <v/>
      </c>
      <c r="W423">
        <f>IF(AND(C423="CxC",S423&gt;90),"Alta",IF(AND(C423="CxC",S423&gt;60),"Media",IF(C423="CxC","Baja","")))</f>
        <v/>
      </c>
    </row>
    <row r="424">
      <c r="A424" s="19" t="n"/>
      <c r="F424" s="20" t="n"/>
      <c r="Q424" s="10">
        <f>IF(E424="USD",CONFIG!$B$5,1)</f>
        <v/>
      </c>
      <c r="R424">
        <f>IF(AND(A424&lt;&gt;"",ISNUMBER(A424),B424&lt;&gt;"",C424&lt;&gt;"",OR(E424="USD",E424="CRC"),F424&gt;0,ISNUMBER(Q424),Q424&gt;0),"✓ OK","✗ ERROR: Revisa datos")</f>
        <v/>
      </c>
      <c r="S424" s="6">
        <f>IF(A424&lt;&gt;"",TODAY()-A424,"")</f>
        <v/>
      </c>
      <c r="T424" s="4">
        <f>IF(E424="USD",F424,IF(E424="CRC",F424/CONFIG!$B$5,""))</f>
        <v/>
      </c>
      <c r="U424" s="19">
        <f>IF(A424&lt;&gt;"",A424+30,"")</f>
        <v/>
      </c>
      <c r="V424">
        <f>IF(AND(C424="CxP",S424&gt;60),"Alta",IF(AND(C424="CxP",S424&gt;30),"Media",IF(C424="CxP","Baja","")))</f>
        <v/>
      </c>
      <c r="W424">
        <f>IF(AND(C424="CxC",S424&gt;90),"Alta",IF(AND(C424="CxC",S424&gt;60),"Media",IF(C424="CxC","Baja","")))</f>
        <v/>
      </c>
    </row>
    <row r="425">
      <c r="A425" s="19" t="n"/>
      <c r="F425" s="20" t="n"/>
      <c r="Q425" s="10">
        <f>IF(E425="USD",CONFIG!$B$5,1)</f>
        <v/>
      </c>
      <c r="R425">
        <f>IF(AND(A425&lt;&gt;"",ISNUMBER(A425),B425&lt;&gt;"",C425&lt;&gt;"",OR(E425="USD",E425="CRC"),F425&gt;0,ISNUMBER(Q425),Q425&gt;0),"✓ OK","✗ ERROR: Revisa datos")</f>
        <v/>
      </c>
      <c r="S425" s="6">
        <f>IF(A425&lt;&gt;"",TODAY()-A425,"")</f>
        <v/>
      </c>
      <c r="T425" s="4">
        <f>IF(E425="USD",F425,IF(E425="CRC",F425/CONFIG!$B$5,""))</f>
        <v/>
      </c>
      <c r="U425" s="19">
        <f>IF(A425&lt;&gt;"",A425+30,"")</f>
        <v/>
      </c>
      <c r="V425">
        <f>IF(AND(C425="CxP",S425&gt;60),"Alta",IF(AND(C425="CxP",S425&gt;30),"Media",IF(C425="CxP","Baja","")))</f>
        <v/>
      </c>
      <c r="W425">
        <f>IF(AND(C425="CxC",S425&gt;90),"Alta",IF(AND(C425="CxC",S425&gt;60),"Media",IF(C425="CxC","Baja","")))</f>
        <v/>
      </c>
    </row>
    <row r="426">
      <c r="A426" s="19" t="n"/>
      <c r="F426" s="20" t="n"/>
      <c r="Q426" s="10">
        <f>IF(E426="USD",CONFIG!$B$5,1)</f>
        <v/>
      </c>
      <c r="R426">
        <f>IF(AND(A426&lt;&gt;"",ISNUMBER(A426),B426&lt;&gt;"",C426&lt;&gt;"",OR(E426="USD",E426="CRC"),F426&gt;0,ISNUMBER(Q426),Q426&gt;0),"✓ OK","✗ ERROR: Revisa datos")</f>
        <v/>
      </c>
      <c r="S426" s="6">
        <f>IF(A426&lt;&gt;"",TODAY()-A426,"")</f>
        <v/>
      </c>
      <c r="T426" s="4">
        <f>IF(E426="USD",F426,IF(E426="CRC",F426/CONFIG!$B$5,""))</f>
        <v/>
      </c>
      <c r="U426" s="19">
        <f>IF(A426&lt;&gt;"",A426+30,"")</f>
        <v/>
      </c>
      <c r="V426">
        <f>IF(AND(C426="CxP",S426&gt;60),"Alta",IF(AND(C426="CxP",S426&gt;30),"Media",IF(C426="CxP","Baja","")))</f>
        <v/>
      </c>
      <c r="W426">
        <f>IF(AND(C426="CxC",S426&gt;90),"Alta",IF(AND(C426="CxC",S426&gt;60),"Media",IF(C426="CxC","Baja","")))</f>
        <v/>
      </c>
    </row>
    <row r="427">
      <c r="A427" s="19" t="n"/>
      <c r="F427" s="20" t="n"/>
      <c r="Q427" s="10">
        <f>IF(E427="USD",CONFIG!$B$5,1)</f>
        <v/>
      </c>
      <c r="R427">
        <f>IF(AND(A427&lt;&gt;"",ISNUMBER(A427),B427&lt;&gt;"",C427&lt;&gt;"",OR(E427="USD",E427="CRC"),F427&gt;0,ISNUMBER(Q427),Q427&gt;0),"✓ OK","✗ ERROR: Revisa datos")</f>
        <v/>
      </c>
      <c r="S427" s="6">
        <f>IF(A427&lt;&gt;"",TODAY()-A427,"")</f>
        <v/>
      </c>
      <c r="T427" s="4">
        <f>IF(E427="USD",F427,IF(E427="CRC",F427/CONFIG!$B$5,""))</f>
        <v/>
      </c>
      <c r="U427" s="19">
        <f>IF(A427&lt;&gt;"",A427+30,"")</f>
        <v/>
      </c>
      <c r="V427">
        <f>IF(AND(C427="CxP",S427&gt;60),"Alta",IF(AND(C427="CxP",S427&gt;30),"Media",IF(C427="CxP","Baja","")))</f>
        <v/>
      </c>
      <c r="W427">
        <f>IF(AND(C427="CxC",S427&gt;90),"Alta",IF(AND(C427="CxC",S427&gt;60),"Media",IF(C427="CxC","Baja","")))</f>
        <v/>
      </c>
    </row>
    <row r="428">
      <c r="A428" s="19" t="n"/>
      <c r="F428" s="20" t="n"/>
      <c r="Q428" s="10">
        <f>IF(E428="USD",CONFIG!$B$5,1)</f>
        <v/>
      </c>
      <c r="R428">
        <f>IF(AND(A428&lt;&gt;"",ISNUMBER(A428),B428&lt;&gt;"",C428&lt;&gt;"",OR(E428="USD",E428="CRC"),F428&gt;0,ISNUMBER(Q428),Q428&gt;0),"✓ OK","✗ ERROR: Revisa datos")</f>
        <v/>
      </c>
      <c r="S428" s="6">
        <f>IF(A428&lt;&gt;"",TODAY()-A428,"")</f>
        <v/>
      </c>
      <c r="T428" s="4">
        <f>IF(E428="USD",F428,IF(E428="CRC",F428/CONFIG!$B$5,""))</f>
        <v/>
      </c>
      <c r="U428" s="19">
        <f>IF(A428&lt;&gt;"",A428+30,"")</f>
        <v/>
      </c>
      <c r="V428">
        <f>IF(AND(C428="CxP",S428&gt;60),"Alta",IF(AND(C428="CxP",S428&gt;30),"Media",IF(C428="CxP","Baja","")))</f>
        <v/>
      </c>
      <c r="W428">
        <f>IF(AND(C428="CxC",S428&gt;90),"Alta",IF(AND(C428="CxC",S428&gt;60),"Media",IF(C428="CxC","Baja","")))</f>
        <v/>
      </c>
    </row>
    <row r="429">
      <c r="A429" s="19" t="n"/>
      <c r="F429" s="20" t="n"/>
      <c r="Q429" s="10">
        <f>IF(E429="USD",CONFIG!$B$5,1)</f>
        <v/>
      </c>
      <c r="R429">
        <f>IF(AND(A429&lt;&gt;"",ISNUMBER(A429),B429&lt;&gt;"",C429&lt;&gt;"",OR(E429="USD",E429="CRC"),F429&gt;0,ISNUMBER(Q429),Q429&gt;0),"✓ OK","✗ ERROR: Revisa datos")</f>
        <v/>
      </c>
      <c r="S429" s="6">
        <f>IF(A429&lt;&gt;"",TODAY()-A429,"")</f>
        <v/>
      </c>
      <c r="T429" s="4">
        <f>IF(E429="USD",F429,IF(E429="CRC",F429/CONFIG!$B$5,""))</f>
        <v/>
      </c>
      <c r="U429" s="19">
        <f>IF(A429&lt;&gt;"",A429+30,"")</f>
        <v/>
      </c>
      <c r="V429">
        <f>IF(AND(C429="CxP",S429&gt;60),"Alta",IF(AND(C429="CxP",S429&gt;30),"Media",IF(C429="CxP","Baja","")))</f>
        <v/>
      </c>
      <c r="W429">
        <f>IF(AND(C429="CxC",S429&gt;90),"Alta",IF(AND(C429="CxC",S429&gt;60),"Media",IF(C429="CxC","Baja","")))</f>
        <v/>
      </c>
    </row>
    <row r="430">
      <c r="A430" s="19" t="n"/>
      <c r="F430" s="20" t="n"/>
      <c r="Q430" s="10">
        <f>IF(E430="USD",CONFIG!$B$5,1)</f>
        <v/>
      </c>
      <c r="R430">
        <f>IF(AND(A430&lt;&gt;"",ISNUMBER(A430),B430&lt;&gt;"",C430&lt;&gt;"",OR(E430="USD",E430="CRC"),F430&gt;0,ISNUMBER(Q430),Q430&gt;0),"✓ OK","✗ ERROR: Revisa datos")</f>
        <v/>
      </c>
      <c r="S430" s="6">
        <f>IF(A430&lt;&gt;"",TODAY()-A430,"")</f>
        <v/>
      </c>
      <c r="T430" s="4">
        <f>IF(E430="USD",F430,IF(E430="CRC",F430/CONFIG!$B$5,""))</f>
        <v/>
      </c>
      <c r="U430" s="19">
        <f>IF(A430&lt;&gt;"",A430+30,"")</f>
        <v/>
      </c>
      <c r="V430">
        <f>IF(AND(C430="CxP",S430&gt;60),"Alta",IF(AND(C430="CxP",S430&gt;30),"Media",IF(C430="CxP","Baja","")))</f>
        <v/>
      </c>
      <c r="W430">
        <f>IF(AND(C430="CxC",S430&gt;90),"Alta",IF(AND(C430="CxC",S430&gt;60),"Media",IF(C430="CxC","Baja","")))</f>
        <v/>
      </c>
    </row>
    <row r="431">
      <c r="A431" s="19" t="n"/>
      <c r="F431" s="20" t="n"/>
      <c r="Q431" s="10">
        <f>IF(E431="USD",CONFIG!$B$5,1)</f>
        <v/>
      </c>
      <c r="R431">
        <f>IF(AND(A431&lt;&gt;"",ISNUMBER(A431),B431&lt;&gt;"",C431&lt;&gt;"",OR(E431="USD",E431="CRC"),F431&gt;0,ISNUMBER(Q431),Q431&gt;0),"✓ OK","✗ ERROR: Revisa datos")</f>
        <v/>
      </c>
      <c r="S431" s="6">
        <f>IF(A431&lt;&gt;"",TODAY()-A431,"")</f>
        <v/>
      </c>
      <c r="T431" s="4">
        <f>IF(E431="USD",F431,IF(E431="CRC",F431/CONFIG!$B$5,""))</f>
        <v/>
      </c>
      <c r="U431" s="19">
        <f>IF(A431&lt;&gt;"",A431+30,"")</f>
        <v/>
      </c>
      <c r="V431">
        <f>IF(AND(C431="CxP",S431&gt;60),"Alta",IF(AND(C431="CxP",S431&gt;30),"Media",IF(C431="CxP","Baja","")))</f>
        <v/>
      </c>
      <c r="W431">
        <f>IF(AND(C431="CxC",S431&gt;90),"Alta",IF(AND(C431="CxC",S431&gt;60),"Media",IF(C431="CxC","Baja","")))</f>
        <v/>
      </c>
    </row>
    <row r="432">
      <c r="A432" s="19" t="n"/>
      <c r="F432" s="20" t="n"/>
      <c r="Q432" s="10">
        <f>IF(E432="USD",CONFIG!$B$5,1)</f>
        <v/>
      </c>
      <c r="R432">
        <f>IF(AND(A432&lt;&gt;"",ISNUMBER(A432),B432&lt;&gt;"",C432&lt;&gt;"",OR(E432="USD",E432="CRC"),F432&gt;0,ISNUMBER(Q432),Q432&gt;0),"✓ OK","✗ ERROR: Revisa datos")</f>
        <v/>
      </c>
      <c r="S432" s="6">
        <f>IF(A432&lt;&gt;"",TODAY()-A432,"")</f>
        <v/>
      </c>
      <c r="T432" s="4">
        <f>IF(E432="USD",F432,IF(E432="CRC",F432/CONFIG!$B$5,""))</f>
        <v/>
      </c>
      <c r="U432" s="19">
        <f>IF(A432&lt;&gt;"",A432+30,"")</f>
        <v/>
      </c>
      <c r="V432">
        <f>IF(AND(C432="CxP",S432&gt;60),"Alta",IF(AND(C432="CxP",S432&gt;30),"Media",IF(C432="CxP","Baja","")))</f>
        <v/>
      </c>
      <c r="W432">
        <f>IF(AND(C432="CxC",S432&gt;90),"Alta",IF(AND(C432="CxC",S432&gt;60),"Media",IF(C432="CxC","Baja","")))</f>
        <v/>
      </c>
    </row>
    <row r="433">
      <c r="A433" s="19" t="n"/>
      <c r="F433" s="20" t="n"/>
      <c r="Q433" s="10">
        <f>IF(E433="USD",CONFIG!$B$5,1)</f>
        <v/>
      </c>
      <c r="R433">
        <f>IF(AND(A433&lt;&gt;"",ISNUMBER(A433),B433&lt;&gt;"",C433&lt;&gt;"",OR(E433="USD",E433="CRC"),F433&gt;0,ISNUMBER(Q433),Q433&gt;0),"✓ OK","✗ ERROR: Revisa datos")</f>
        <v/>
      </c>
      <c r="S433" s="6">
        <f>IF(A433&lt;&gt;"",TODAY()-A433,"")</f>
        <v/>
      </c>
      <c r="T433" s="4">
        <f>IF(E433="USD",F433,IF(E433="CRC",F433/CONFIG!$B$5,""))</f>
        <v/>
      </c>
      <c r="U433" s="19">
        <f>IF(A433&lt;&gt;"",A433+30,"")</f>
        <v/>
      </c>
      <c r="V433">
        <f>IF(AND(C433="CxP",S433&gt;60),"Alta",IF(AND(C433="CxP",S433&gt;30),"Media",IF(C433="CxP","Baja","")))</f>
        <v/>
      </c>
      <c r="W433">
        <f>IF(AND(C433="CxC",S433&gt;90),"Alta",IF(AND(C433="CxC",S433&gt;60),"Media",IF(C433="CxC","Baja","")))</f>
        <v/>
      </c>
    </row>
    <row r="434">
      <c r="A434" s="19" t="n"/>
      <c r="F434" s="20" t="n"/>
      <c r="Q434" s="10">
        <f>IF(E434="USD",CONFIG!$B$5,1)</f>
        <v/>
      </c>
      <c r="R434">
        <f>IF(AND(A434&lt;&gt;"",ISNUMBER(A434),B434&lt;&gt;"",C434&lt;&gt;"",OR(E434="USD",E434="CRC"),F434&gt;0,ISNUMBER(Q434),Q434&gt;0),"✓ OK","✗ ERROR: Revisa datos")</f>
        <v/>
      </c>
      <c r="S434" s="6">
        <f>IF(A434&lt;&gt;"",TODAY()-A434,"")</f>
        <v/>
      </c>
      <c r="T434" s="4">
        <f>IF(E434="USD",F434,IF(E434="CRC",F434/CONFIG!$B$5,""))</f>
        <v/>
      </c>
      <c r="U434" s="19">
        <f>IF(A434&lt;&gt;"",A434+30,"")</f>
        <v/>
      </c>
      <c r="V434">
        <f>IF(AND(C434="CxP",S434&gt;60),"Alta",IF(AND(C434="CxP",S434&gt;30),"Media",IF(C434="CxP","Baja","")))</f>
        <v/>
      </c>
      <c r="W434">
        <f>IF(AND(C434="CxC",S434&gt;90),"Alta",IF(AND(C434="CxC",S434&gt;60),"Media",IF(C434="CxC","Baja","")))</f>
        <v/>
      </c>
    </row>
    <row r="435">
      <c r="A435" s="19" t="n"/>
      <c r="F435" s="20" t="n"/>
      <c r="Q435" s="10">
        <f>IF(E435="USD",CONFIG!$B$5,1)</f>
        <v/>
      </c>
      <c r="R435">
        <f>IF(AND(A435&lt;&gt;"",ISNUMBER(A435),B435&lt;&gt;"",C435&lt;&gt;"",OR(E435="USD",E435="CRC"),F435&gt;0,ISNUMBER(Q435),Q435&gt;0),"✓ OK","✗ ERROR: Revisa datos")</f>
        <v/>
      </c>
      <c r="S435" s="6">
        <f>IF(A435&lt;&gt;"",TODAY()-A435,"")</f>
        <v/>
      </c>
      <c r="T435" s="4">
        <f>IF(E435="USD",F435,IF(E435="CRC",F435/CONFIG!$B$5,""))</f>
        <v/>
      </c>
      <c r="U435" s="19">
        <f>IF(A435&lt;&gt;"",A435+30,"")</f>
        <v/>
      </c>
      <c r="V435">
        <f>IF(AND(C435="CxP",S435&gt;60),"Alta",IF(AND(C435="CxP",S435&gt;30),"Media",IF(C435="CxP","Baja","")))</f>
        <v/>
      </c>
      <c r="W435">
        <f>IF(AND(C435="CxC",S435&gt;90),"Alta",IF(AND(C435="CxC",S435&gt;60),"Media",IF(C435="CxC","Baja","")))</f>
        <v/>
      </c>
    </row>
    <row r="436">
      <c r="A436" s="19" t="n"/>
      <c r="F436" s="20" t="n"/>
      <c r="Q436" s="10">
        <f>IF(E436="USD",CONFIG!$B$5,1)</f>
        <v/>
      </c>
      <c r="R436">
        <f>IF(AND(A436&lt;&gt;"",ISNUMBER(A436),B436&lt;&gt;"",C436&lt;&gt;"",OR(E436="USD",E436="CRC"),F436&gt;0,ISNUMBER(Q436),Q436&gt;0),"✓ OK","✗ ERROR: Revisa datos")</f>
        <v/>
      </c>
      <c r="S436" s="6">
        <f>IF(A436&lt;&gt;"",TODAY()-A436,"")</f>
        <v/>
      </c>
      <c r="T436" s="4">
        <f>IF(E436="USD",F436,IF(E436="CRC",F436/CONFIG!$B$5,""))</f>
        <v/>
      </c>
      <c r="U436" s="19">
        <f>IF(A436&lt;&gt;"",A436+30,"")</f>
        <v/>
      </c>
      <c r="V436">
        <f>IF(AND(C436="CxP",S436&gt;60),"Alta",IF(AND(C436="CxP",S436&gt;30),"Media",IF(C436="CxP","Baja","")))</f>
        <v/>
      </c>
      <c r="W436">
        <f>IF(AND(C436="CxC",S436&gt;90),"Alta",IF(AND(C436="CxC",S436&gt;60),"Media",IF(C436="CxC","Baja","")))</f>
        <v/>
      </c>
    </row>
    <row r="437">
      <c r="A437" s="19" t="n"/>
      <c r="F437" s="20" t="n"/>
      <c r="Q437" s="10">
        <f>IF(E437="USD",CONFIG!$B$5,1)</f>
        <v/>
      </c>
      <c r="R437">
        <f>IF(AND(A437&lt;&gt;"",ISNUMBER(A437),B437&lt;&gt;"",C437&lt;&gt;"",OR(E437="USD",E437="CRC"),F437&gt;0,ISNUMBER(Q437),Q437&gt;0),"✓ OK","✗ ERROR: Revisa datos")</f>
        <v/>
      </c>
      <c r="S437" s="6">
        <f>IF(A437&lt;&gt;"",TODAY()-A437,"")</f>
        <v/>
      </c>
      <c r="T437" s="4">
        <f>IF(E437="USD",F437,IF(E437="CRC",F437/CONFIG!$B$5,""))</f>
        <v/>
      </c>
      <c r="U437" s="19">
        <f>IF(A437&lt;&gt;"",A437+30,"")</f>
        <v/>
      </c>
      <c r="V437">
        <f>IF(AND(C437="CxP",S437&gt;60),"Alta",IF(AND(C437="CxP",S437&gt;30),"Media",IF(C437="CxP","Baja","")))</f>
        <v/>
      </c>
      <c r="W437">
        <f>IF(AND(C437="CxC",S437&gt;90),"Alta",IF(AND(C437="CxC",S437&gt;60),"Media",IF(C437="CxC","Baja","")))</f>
        <v/>
      </c>
    </row>
    <row r="438">
      <c r="A438" s="19" t="n"/>
      <c r="F438" s="20" t="n"/>
      <c r="Q438" s="10">
        <f>IF(E438="USD",CONFIG!$B$5,1)</f>
        <v/>
      </c>
      <c r="R438">
        <f>IF(AND(A438&lt;&gt;"",ISNUMBER(A438),B438&lt;&gt;"",C438&lt;&gt;"",OR(E438="USD",E438="CRC"),F438&gt;0,ISNUMBER(Q438),Q438&gt;0),"✓ OK","✗ ERROR: Revisa datos")</f>
        <v/>
      </c>
      <c r="S438" s="6">
        <f>IF(A438&lt;&gt;"",TODAY()-A438,"")</f>
        <v/>
      </c>
      <c r="T438" s="4">
        <f>IF(E438="USD",F438,IF(E438="CRC",F438/CONFIG!$B$5,""))</f>
        <v/>
      </c>
      <c r="U438" s="19">
        <f>IF(A438&lt;&gt;"",A438+30,"")</f>
        <v/>
      </c>
      <c r="V438">
        <f>IF(AND(C438="CxP",S438&gt;60),"Alta",IF(AND(C438="CxP",S438&gt;30),"Media",IF(C438="CxP","Baja","")))</f>
        <v/>
      </c>
      <c r="W438">
        <f>IF(AND(C438="CxC",S438&gt;90),"Alta",IF(AND(C438="CxC",S438&gt;60),"Media",IF(C438="CxC","Baja","")))</f>
        <v/>
      </c>
    </row>
    <row r="439">
      <c r="A439" s="19" t="n"/>
      <c r="F439" s="20" t="n"/>
      <c r="Q439" s="10">
        <f>IF(E439="USD",CONFIG!$B$5,1)</f>
        <v/>
      </c>
      <c r="R439">
        <f>IF(AND(A439&lt;&gt;"",ISNUMBER(A439),B439&lt;&gt;"",C439&lt;&gt;"",OR(E439="USD",E439="CRC"),F439&gt;0,ISNUMBER(Q439),Q439&gt;0),"✓ OK","✗ ERROR: Revisa datos")</f>
        <v/>
      </c>
      <c r="S439" s="6">
        <f>IF(A439&lt;&gt;"",TODAY()-A439,"")</f>
        <v/>
      </c>
      <c r="T439" s="4">
        <f>IF(E439="USD",F439,IF(E439="CRC",F439/CONFIG!$B$5,""))</f>
        <v/>
      </c>
      <c r="U439" s="19">
        <f>IF(A439&lt;&gt;"",A439+30,"")</f>
        <v/>
      </c>
      <c r="V439">
        <f>IF(AND(C439="CxP",S439&gt;60),"Alta",IF(AND(C439="CxP",S439&gt;30),"Media",IF(C439="CxP","Baja","")))</f>
        <v/>
      </c>
      <c r="W439">
        <f>IF(AND(C439="CxC",S439&gt;90),"Alta",IF(AND(C439="CxC",S439&gt;60),"Media",IF(C439="CxC","Baja","")))</f>
        <v/>
      </c>
    </row>
    <row r="440">
      <c r="A440" s="19" t="n"/>
      <c r="F440" s="20" t="n"/>
      <c r="Q440" s="10">
        <f>IF(E440="USD",CONFIG!$B$5,1)</f>
        <v/>
      </c>
      <c r="R440">
        <f>IF(AND(A440&lt;&gt;"",ISNUMBER(A440),B440&lt;&gt;"",C440&lt;&gt;"",OR(E440="USD",E440="CRC"),F440&gt;0,ISNUMBER(Q440),Q440&gt;0),"✓ OK","✗ ERROR: Revisa datos")</f>
        <v/>
      </c>
      <c r="S440" s="6">
        <f>IF(A440&lt;&gt;"",TODAY()-A440,"")</f>
        <v/>
      </c>
      <c r="T440" s="4">
        <f>IF(E440="USD",F440,IF(E440="CRC",F440/CONFIG!$B$5,""))</f>
        <v/>
      </c>
      <c r="U440" s="19">
        <f>IF(A440&lt;&gt;"",A440+30,"")</f>
        <v/>
      </c>
      <c r="V440">
        <f>IF(AND(C440="CxP",S440&gt;60),"Alta",IF(AND(C440="CxP",S440&gt;30),"Media",IF(C440="CxP","Baja","")))</f>
        <v/>
      </c>
      <c r="W440">
        <f>IF(AND(C440="CxC",S440&gt;90),"Alta",IF(AND(C440="CxC",S440&gt;60),"Media",IF(C440="CxC","Baja","")))</f>
        <v/>
      </c>
    </row>
    <row r="441">
      <c r="A441" s="19" t="n"/>
      <c r="F441" s="20" t="n"/>
      <c r="Q441" s="10">
        <f>IF(E441="USD",CONFIG!$B$5,1)</f>
        <v/>
      </c>
      <c r="R441">
        <f>IF(AND(A441&lt;&gt;"",ISNUMBER(A441),B441&lt;&gt;"",C441&lt;&gt;"",OR(E441="USD",E441="CRC"),F441&gt;0,ISNUMBER(Q441),Q441&gt;0),"✓ OK","✗ ERROR: Revisa datos")</f>
        <v/>
      </c>
      <c r="S441" s="6">
        <f>IF(A441&lt;&gt;"",TODAY()-A441,"")</f>
        <v/>
      </c>
      <c r="T441" s="4">
        <f>IF(E441="USD",F441,IF(E441="CRC",F441/CONFIG!$B$5,""))</f>
        <v/>
      </c>
      <c r="U441" s="19">
        <f>IF(A441&lt;&gt;"",A441+30,"")</f>
        <v/>
      </c>
      <c r="V441">
        <f>IF(AND(C441="CxP",S441&gt;60),"Alta",IF(AND(C441="CxP",S441&gt;30),"Media",IF(C441="CxP","Baja","")))</f>
        <v/>
      </c>
      <c r="W441">
        <f>IF(AND(C441="CxC",S441&gt;90),"Alta",IF(AND(C441="CxC",S441&gt;60),"Media",IF(C441="CxC","Baja","")))</f>
        <v/>
      </c>
    </row>
    <row r="442">
      <c r="A442" s="19" t="n"/>
      <c r="F442" s="20" t="n"/>
      <c r="Q442" s="10">
        <f>IF(E442="USD",CONFIG!$B$5,1)</f>
        <v/>
      </c>
      <c r="R442">
        <f>IF(AND(A442&lt;&gt;"",ISNUMBER(A442),B442&lt;&gt;"",C442&lt;&gt;"",OR(E442="USD",E442="CRC"),F442&gt;0,ISNUMBER(Q442),Q442&gt;0),"✓ OK","✗ ERROR: Revisa datos")</f>
        <v/>
      </c>
      <c r="S442" s="6">
        <f>IF(A442&lt;&gt;"",TODAY()-A442,"")</f>
        <v/>
      </c>
      <c r="T442" s="4">
        <f>IF(E442="USD",F442,IF(E442="CRC",F442/CONFIG!$B$5,""))</f>
        <v/>
      </c>
      <c r="U442" s="19">
        <f>IF(A442&lt;&gt;"",A442+30,"")</f>
        <v/>
      </c>
      <c r="V442">
        <f>IF(AND(C442="CxP",S442&gt;60),"Alta",IF(AND(C442="CxP",S442&gt;30),"Media",IF(C442="CxP","Baja","")))</f>
        <v/>
      </c>
      <c r="W442">
        <f>IF(AND(C442="CxC",S442&gt;90),"Alta",IF(AND(C442="CxC",S442&gt;60),"Media",IF(C442="CxC","Baja","")))</f>
        <v/>
      </c>
    </row>
    <row r="443">
      <c r="A443" s="19" t="n"/>
      <c r="F443" s="20" t="n"/>
      <c r="Q443" s="10">
        <f>IF(E443="USD",CONFIG!$B$5,1)</f>
        <v/>
      </c>
      <c r="R443">
        <f>IF(AND(A443&lt;&gt;"",ISNUMBER(A443),B443&lt;&gt;"",C443&lt;&gt;"",OR(E443="USD",E443="CRC"),F443&gt;0,ISNUMBER(Q443),Q443&gt;0),"✓ OK","✗ ERROR: Revisa datos")</f>
        <v/>
      </c>
      <c r="S443" s="6">
        <f>IF(A443&lt;&gt;"",TODAY()-A443,"")</f>
        <v/>
      </c>
      <c r="T443" s="4">
        <f>IF(E443="USD",F443,IF(E443="CRC",F443/CONFIG!$B$5,""))</f>
        <v/>
      </c>
      <c r="U443" s="19">
        <f>IF(A443&lt;&gt;"",A443+30,"")</f>
        <v/>
      </c>
      <c r="V443">
        <f>IF(AND(C443="CxP",S443&gt;60),"Alta",IF(AND(C443="CxP",S443&gt;30),"Media",IF(C443="CxP","Baja","")))</f>
        <v/>
      </c>
      <c r="W443">
        <f>IF(AND(C443="CxC",S443&gt;90),"Alta",IF(AND(C443="CxC",S443&gt;60),"Media",IF(C443="CxC","Baja","")))</f>
        <v/>
      </c>
    </row>
    <row r="444">
      <c r="A444" s="19" t="n"/>
      <c r="F444" s="20" t="n"/>
      <c r="Q444" s="10">
        <f>IF(E444="USD",CONFIG!$B$5,1)</f>
        <v/>
      </c>
      <c r="R444">
        <f>IF(AND(A444&lt;&gt;"",ISNUMBER(A444),B444&lt;&gt;"",C444&lt;&gt;"",OR(E444="USD",E444="CRC"),F444&gt;0,ISNUMBER(Q444),Q444&gt;0),"✓ OK","✗ ERROR: Revisa datos")</f>
        <v/>
      </c>
      <c r="S444" s="6">
        <f>IF(A444&lt;&gt;"",TODAY()-A444,"")</f>
        <v/>
      </c>
      <c r="T444" s="4">
        <f>IF(E444="USD",F444,IF(E444="CRC",F444/CONFIG!$B$5,""))</f>
        <v/>
      </c>
      <c r="U444" s="19">
        <f>IF(A444&lt;&gt;"",A444+30,"")</f>
        <v/>
      </c>
      <c r="V444">
        <f>IF(AND(C444="CxP",S444&gt;60),"Alta",IF(AND(C444="CxP",S444&gt;30),"Media",IF(C444="CxP","Baja","")))</f>
        <v/>
      </c>
      <c r="W444">
        <f>IF(AND(C444="CxC",S444&gt;90),"Alta",IF(AND(C444="CxC",S444&gt;60),"Media",IF(C444="CxC","Baja","")))</f>
        <v/>
      </c>
    </row>
    <row r="445">
      <c r="A445" s="19" t="n"/>
      <c r="F445" s="20" t="n"/>
      <c r="Q445" s="10">
        <f>IF(E445="USD",CONFIG!$B$5,1)</f>
        <v/>
      </c>
      <c r="R445">
        <f>IF(AND(A445&lt;&gt;"",ISNUMBER(A445),B445&lt;&gt;"",C445&lt;&gt;"",OR(E445="USD",E445="CRC"),F445&gt;0,ISNUMBER(Q445),Q445&gt;0),"✓ OK","✗ ERROR: Revisa datos")</f>
        <v/>
      </c>
      <c r="S445" s="6">
        <f>IF(A445&lt;&gt;"",TODAY()-A445,"")</f>
        <v/>
      </c>
      <c r="T445" s="4">
        <f>IF(E445="USD",F445,IF(E445="CRC",F445/CONFIG!$B$5,""))</f>
        <v/>
      </c>
      <c r="U445" s="19">
        <f>IF(A445&lt;&gt;"",A445+30,"")</f>
        <v/>
      </c>
      <c r="V445">
        <f>IF(AND(C445="CxP",S445&gt;60),"Alta",IF(AND(C445="CxP",S445&gt;30),"Media",IF(C445="CxP","Baja","")))</f>
        <v/>
      </c>
      <c r="W445">
        <f>IF(AND(C445="CxC",S445&gt;90),"Alta",IF(AND(C445="CxC",S445&gt;60),"Media",IF(C445="CxC","Baja","")))</f>
        <v/>
      </c>
    </row>
    <row r="446">
      <c r="A446" s="19" t="n"/>
      <c r="F446" s="20" t="n"/>
      <c r="Q446" s="10">
        <f>IF(E446="USD",CONFIG!$B$5,1)</f>
        <v/>
      </c>
      <c r="R446">
        <f>IF(AND(A446&lt;&gt;"",ISNUMBER(A446),B446&lt;&gt;"",C446&lt;&gt;"",OR(E446="USD",E446="CRC"),F446&gt;0,ISNUMBER(Q446),Q446&gt;0),"✓ OK","✗ ERROR: Revisa datos")</f>
        <v/>
      </c>
      <c r="S446" s="6">
        <f>IF(A446&lt;&gt;"",TODAY()-A446,"")</f>
        <v/>
      </c>
      <c r="T446" s="4">
        <f>IF(E446="USD",F446,IF(E446="CRC",F446/CONFIG!$B$5,""))</f>
        <v/>
      </c>
      <c r="U446" s="19">
        <f>IF(A446&lt;&gt;"",A446+30,"")</f>
        <v/>
      </c>
      <c r="V446">
        <f>IF(AND(C446="CxP",S446&gt;60),"Alta",IF(AND(C446="CxP",S446&gt;30),"Media",IF(C446="CxP","Baja","")))</f>
        <v/>
      </c>
      <c r="W446">
        <f>IF(AND(C446="CxC",S446&gt;90),"Alta",IF(AND(C446="CxC",S446&gt;60),"Media",IF(C446="CxC","Baja","")))</f>
        <v/>
      </c>
    </row>
    <row r="447">
      <c r="A447" s="19" t="n"/>
      <c r="F447" s="20" t="n"/>
      <c r="Q447" s="10">
        <f>IF(E447="USD",CONFIG!$B$5,1)</f>
        <v/>
      </c>
      <c r="R447">
        <f>IF(AND(A447&lt;&gt;"",ISNUMBER(A447),B447&lt;&gt;"",C447&lt;&gt;"",OR(E447="USD",E447="CRC"),F447&gt;0,ISNUMBER(Q447),Q447&gt;0),"✓ OK","✗ ERROR: Revisa datos")</f>
        <v/>
      </c>
      <c r="S447" s="6">
        <f>IF(A447&lt;&gt;"",TODAY()-A447,"")</f>
        <v/>
      </c>
      <c r="T447" s="4">
        <f>IF(E447="USD",F447,IF(E447="CRC",F447/CONFIG!$B$5,""))</f>
        <v/>
      </c>
      <c r="U447" s="19">
        <f>IF(A447&lt;&gt;"",A447+30,"")</f>
        <v/>
      </c>
      <c r="V447">
        <f>IF(AND(C447="CxP",S447&gt;60),"Alta",IF(AND(C447="CxP",S447&gt;30),"Media",IF(C447="CxP","Baja","")))</f>
        <v/>
      </c>
      <c r="W447">
        <f>IF(AND(C447="CxC",S447&gt;90),"Alta",IF(AND(C447="CxC",S447&gt;60),"Media",IF(C447="CxC","Baja","")))</f>
        <v/>
      </c>
    </row>
    <row r="448">
      <c r="A448" s="19" t="n"/>
      <c r="F448" s="20" t="n"/>
      <c r="Q448" s="10">
        <f>IF(E448="USD",CONFIG!$B$5,1)</f>
        <v/>
      </c>
      <c r="R448">
        <f>IF(AND(A448&lt;&gt;"",ISNUMBER(A448),B448&lt;&gt;"",C448&lt;&gt;"",OR(E448="USD",E448="CRC"),F448&gt;0,ISNUMBER(Q448),Q448&gt;0),"✓ OK","✗ ERROR: Revisa datos")</f>
        <v/>
      </c>
      <c r="S448" s="6">
        <f>IF(A448&lt;&gt;"",TODAY()-A448,"")</f>
        <v/>
      </c>
      <c r="T448" s="4">
        <f>IF(E448="USD",F448,IF(E448="CRC",F448/CONFIG!$B$5,""))</f>
        <v/>
      </c>
      <c r="U448" s="19">
        <f>IF(A448&lt;&gt;"",A448+30,"")</f>
        <v/>
      </c>
      <c r="V448">
        <f>IF(AND(C448="CxP",S448&gt;60),"Alta",IF(AND(C448="CxP",S448&gt;30),"Media",IF(C448="CxP","Baja","")))</f>
        <v/>
      </c>
      <c r="W448">
        <f>IF(AND(C448="CxC",S448&gt;90),"Alta",IF(AND(C448="CxC",S448&gt;60),"Media",IF(C448="CxC","Baja","")))</f>
        <v/>
      </c>
    </row>
    <row r="449">
      <c r="A449" s="19" t="n"/>
      <c r="F449" s="20" t="n"/>
      <c r="Q449" s="10">
        <f>IF(E449="USD",CONFIG!$B$5,1)</f>
        <v/>
      </c>
      <c r="R449">
        <f>IF(AND(A449&lt;&gt;"",ISNUMBER(A449),B449&lt;&gt;"",C449&lt;&gt;"",OR(E449="USD",E449="CRC"),F449&gt;0,ISNUMBER(Q449),Q449&gt;0),"✓ OK","✗ ERROR: Revisa datos")</f>
        <v/>
      </c>
      <c r="S449" s="6">
        <f>IF(A449&lt;&gt;"",TODAY()-A449,"")</f>
        <v/>
      </c>
      <c r="T449" s="4">
        <f>IF(E449="USD",F449,IF(E449="CRC",F449/CONFIG!$B$5,""))</f>
        <v/>
      </c>
      <c r="U449" s="19">
        <f>IF(A449&lt;&gt;"",A449+30,"")</f>
        <v/>
      </c>
      <c r="V449">
        <f>IF(AND(C449="CxP",S449&gt;60),"Alta",IF(AND(C449="CxP",S449&gt;30),"Media",IF(C449="CxP","Baja","")))</f>
        <v/>
      </c>
      <c r="W449">
        <f>IF(AND(C449="CxC",S449&gt;90),"Alta",IF(AND(C449="CxC",S449&gt;60),"Media",IF(C449="CxC","Baja","")))</f>
        <v/>
      </c>
    </row>
    <row r="450">
      <c r="A450" s="19" t="n"/>
      <c r="F450" s="20" t="n"/>
      <c r="Q450" s="10">
        <f>IF(E450="USD",CONFIG!$B$5,1)</f>
        <v/>
      </c>
      <c r="R450">
        <f>IF(AND(A450&lt;&gt;"",ISNUMBER(A450),B450&lt;&gt;"",C450&lt;&gt;"",OR(E450="USD",E450="CRC"),F450&gt;0,ISNUMBER(Q450),Q450&gt;0),"✓ OK","✗ ERROR: Revisa datos")</f>
        <v/>
      </c>
      <c r="S450" s="6">
        <f>IF(A450&lt;&gt;"",TODAY()-A450,"")</f>
        <v/>
      </c>
      <c r="T450" s="4">
        <f>IF(E450="USD",F450,IF(E450="CRC",F450/CONFIG!$B$5,""))</f>
        <v/>
      </c>
      <c r="U450" s="19">
        <f>IF(A450&lt;&gt;"",A450+30,"")</f>
        <v/>
      </c>
      <c r="V450">
        <f>IF(AND(C450="CxP",S450&gt;60),"Alta",IF(AND(C450="CxP",S450&gt;30),"Media",IF(C450="CxP","Baja","")))</f>
        <v/>
      </c>
      <c r="W450">
        <f>IF(AND(C450="CxC",S450&gt;90),"Alta",IF(AND(C450="CxC",S450&gt;60),"Media",IF(C450="CxC","Baja","")))</f>
        <v/>
      </c>
    </row>
    <row r="451">
      <c r="A451" s="19" t="n"/>
      <c r="F451" s="20" t="n"/>
      <c r="Q451" s="10">
        <f>IF(E451="USD",CONFIG!$B$5,1)</f>
        <v/>
      </c>
      <c r="R451">
        <f>IF(AND(A451&lt;&gt;"",ISNUMBER(A451),B451&lt;&gt;"",C451&lt;&gt;"",OR(E451="USD",E451="CRC"),F451&gt;0,ISNUMBER(Q451),Q451&gt;0),"✓ OK","✗ ERROR: Revisa datos")</f>
        <v/>
      </c>
      <c r="S451" s="6">
        <f>IF(A451&lt;&gt;"",TODAY()-A451,"")</f>
        <v/>
      </c>
      <c r="T451" s="4">
        <f>IF(E451="USD",F451,IF(E451="CRC",F451/CONFIG!$B$5,""))</f>
        <v/>
      </c>
      <c r="U451" s="19">
        <f>IF(A451&lt;&gt;"",A451+30,"")</f>
        <v/>
      </c>
      <c r="V451">
        <f>IF(AND(C451="CxP",S451&gt;60),"Alta",IF(AND(C451="CxP",S451&gt;30),"Media",IF(C451="CxP","Baja","")))</f>
        <v/>
      </c>
      <c r="W451">
        <f>IF(AND(C451="CxC",S451&gt;90),"Alta",IF(AND(C451="CxC",S451&gt;60),"Media",IF(C451="CxC","Baja","")))</f>
        <v/>
      </c>
    </row>
    <row r="452">
      <c r="A452" s="19" t="n"/>
      <c r="F452" s="20" t="n"/>
      <c r="Q452" s="10">
        <f>IF(E452="USD",CONFIG!$B$5,1)</f>
        <v/>
      </c>
      <c r="R452">
        <f>IF(AND(A452&lt;&gt;"",ISNUMBER(A452),B452&lt;&gt;"",C452&lt;&gt;"",OR(E452="USD",E452="CRC"),F452&gt;0,ISNUMBER(Q452),Q452&gt;0),"✓ OK","✗ ERROR: Revisa datos")</f>
        <v/>
      </c>
      <c r="S452" s="6">
        <f>IF(A452&lt;&gt;"",TODAY()-A452,"")</f>
        <v/>
      </c>
      <c r="T452" s="4">
        <f>IF(E452="USD",F452,IF(E452="CRC",F452/CONFIG!$B$5,""))</f>
        <v/>
      </c>
      <c r="U452" s="19">
        <f>IF(A452&lt;&gt;"",A452+30,"")</f>
        <v/>
      </c>
      <c r="V452">
        <f>IF(AND(C452="CxP",S452&gt;60),"Alta",IF(AND(C452="CxP",S452&gt;30),"Media",IF(C452="CxP","Baja","")))</f>
        <v/>
      </c>
      <c r="W452">
        <f>IF(AND(C452="CxC",S452&gt;90),"Alta",IF(AND(C452="CxC",S452&gt;60),"Media",IF(C452="CxC","Baja","")))</f>
        <v/>
      </c>
    </row>
    <row r="453">
      <c r="A453" s="19" t="n"/>
      <c r="F453" s="20" t="n"/>
      <c r="Q453" s="10">
        <f>IF(E453="USD",CONFIG!$B$5,1)</f>
        <v/>
      </c>
      <c r="R453">
        <f>IF(AND(A453&lt;&gt;"",ISNUMBER(A453),B453&lt;&gt;"",C453&lt;&gt;"",OR(E453="USD",E453="CRC"),F453&gt;0,ISNUMBER(Q453),Q453&gt;0),"✓ OK","✗ ERROR: Revisa datos")</f>
        <v/>
      </c>
      <c r="S453" s="6">
        <f>IF(A453&lt;&gt;"",TODAY()-A453,"")</f>
        <v/>
      </c>
      <c r="T453" s="4">
        <f>IF(E453="USD",F453,IF(E453="CRC",F453/CONFIG!$B$5,""))</f>
        <v/>
      </c>
      <c r="U453" s="19">
        <f>IF(A453&lt;&gt;"",A453+30,"")</f>
        <v/>
      </c>
      <c r="V453">
        <f>IF(AND(C453="CxP",S453&gt;60),"Alta",IF(AND(C453="CxP",S453&gt;30),"Media",IF(C453="CxP","Baja","")))</f>
        <v/>
      </c>
      <c r="W453">
        <f>IF(AND(C453="CxC",S453&gt;90),"Alta",IF(AND(C453="CxC",S453&gt;60),"Media",IF(C453="CxC","Baja","")))</f>
        <v/>
      </c>
    </row>
    <row r="454">
      <c r="A454" s="19" t="n"/>
      <c r="F454" s="20" t="n"/>
      <c r="Q454" s="10">
        <f>IF(E454="USD",CONFIG!$B$5,1)</f>
        <v/>
      </c>
      <c r="R454">
        <f>IF(AND(A454&lt;&gt;"",ISNUMBER(A454),B454&lt;&gt;"",C454&lt;&gt;"",OR(E454="USD",E454="CRC"),F454&gt;0,ISNUMBER(Q454),Q454&gt;0),"✓ OK","✗ ERROR: Revisa datos")</f>
        <v/>
      </c>
      <c r="S454" s="6">
        <f>IF(A454&lt;&gt;"",TODAY()-A454,"")</f>
        <v/>
      </c>
      <c r="T454" s="4">
        <f>IF(E454="USD",F454,IF(E454="CRC",F454/CONFIG!$B$5,""))</f>
        <v/>
      </c>
      <c r="U454" s="19">
        <f>IF(A454&lt;&gt;"",A454+30,"")</f>
        <v/>
      </c>
      <c r="V454">
        <f>IF(AND(C454="CxP",S454&gt;60),"Alta",IF(AND(C454="CxP",S454&gt;30),"Media",IF(C454="CxP","Baja","")))</f>
        <v/>
      </c>
      <c r="W454">
        <f>IF(AND(C454="CxC",S454&gt;90),"Alta",IF(AND(C454="CxC",S454&gt;60),"Media",IF(C454="CxC","Baja","")))</f>
        <v/>
      </c>
    </row>
    <row r="455">
      <c r="A455" s="19" t="n"/>
      <c r="F455" s="20" t="n"/>
      <c r="Q455" s="10">
        <f>IF(E455="USD",CONFIG!$B$5,1)</f>
        <v/>
      </c>
      <c r="R455">
        <f>IF(AND(A455&lt;&gt;"",ISNUMBER(A455),B455&lt;&gt;"",C455&lt;&gt;"",OR(E455="USD",E455="CRC"),F455&gt;0,ISNUMBER(Q455),Q455&gt;0),"✓ OK","✗ ERROR: Revisa datos")</f>
        <v/>
      </c>
      <c r="S455" s="6">
        <f>IF(A455&lt;&gt;"",TODAY()-A455,"")</f>
        <v/>
      </c>
      <c r="T455" s="4">
        <f>IF(E455="USD",F455,IF(E455="CRC",F455/CONFIG!$B$5,""))</f>
        <v/>
      </c>
      <c r="U455" s="19">
        <f>IF(A455&lt;&gt;"",A455+30,"")</f>
        <v/>
      </c>
      <c r="V455">
        <f>IF(AND(C455="CxP",S455&gt;60),"Alta",IF(AND(C455="CxP",S455&gt;30),"Media",IF(C455="CxP","Baja","")))</f>
        <v/>
      </c>
      <c r="W455">
        <f>IF(AND(C455="CxC",S455&gt;90),"Alta",IF(AND(C455="CxC",S455&gt;60),"Media",IF(C455="CxC","Baja","")))</f>
        <v/>
      </c>
    </row>
    <row r="456">
      <c r="A456" s="19" t="n"/>
      <c r="F456" s="20" t="n"/>
      <c r="Q456" s="10">
        <f>IF(E456="USD",CONFIG!$B$5,1)</f>
        <v/>
      </c>
      <c r="R456">
        <f>IF(AND(A456&lt;&gt;"",ISNUMBER(A456),B456&lt;&gt;"",C456&lt;&gt;"",OR(E456="USD",E456="CRC"),F456&gt;0,ISNUMBER(Q456),Q456&gt;0),"✓ OK","✗ ERROR: Revisa datos")</f>
        <v/>
      </c>
      <c r="S456" s="6">
        <f>IF(A456&lt;&gt;"",TODAY()-A456,"")</f>
        <v/>
      </c>
      <c r="T456" s="4">
        <f>IF(E456="USD",F456,IF(E456="CRC",F456/CONFIG!$B$5,""))</f>
        <v/>
      </c>
      <c r="U456" s="19">
        <f>IF(A456&lt;&gt;"",A456+30,"")</f>
        <v/>
      </c>
      <c r="V456">
        <f>IF(AND(C456="CxP",S456&gt;60),"Alta",IF(AND(C456="CxP",S456&gt;30),"Media",IF(C456="CxP","Baja","")))</f>
        <v/>
      </c>
      <c r="W456">
        <f>IF(AND(C456="CxC",S456&gt;90),"Alta",IF(AND(C456="CxC",S456&gt;60),"Media",IF(C456="CxC","Baja","")))</f>
        <v/>
      </c>
    </row>
    <row r="457">
      <c r="A457" s="19" t="n"/>
      <c r="F457" s="20" t="n"/>
      <c r="Q457" s="10">
        <f>IF(E457="USD",CONFIG!$B$5,1)</f>
        <v/>
      </c>
      <c r="R457">
        <f>IF(AND(A457&lt;&gt;"",ISNUMBER(A457),B457&lt;&gt;"",C457&lt;&gt;"",OR(E457="USD",E457="CRC"),F457&gt;0,ISNUMBER(Q457),Q457&gt;0),"✓ OK","✗ ERROR: Revisa datos")</f>
        <v/>
      </c>
      <c r="S457" s="6">
        <f>IF(A457&lt;&gt;"",TODAY()-A457,"")</f>
        <v/>
      </c>
      <c r="T457" s="4">
        <f>IF(E457="USD",F457,IF(E457="CRC",F457/CONFIG!$B$5,""))</f>
        <v/>
      </c>
      <c r="U457" s="19">
        <f>IF(A457&lt;&gt;"",A457+30,"")</f>
        <v/>
      </c>
      <c r="V457">
        <f>IF(AND(C457="CxP",S457&gt;60),"Alta",IF(AND(C457="CxP",S457&gt;30),"Media",IF(C457="CxP","Baja","")))</f>
        <v/>
      </c>
      <c r="W457">
        <f>IF(AND(C457="CxC",S457&gt;90),"Alta",IF(AND(C457="CxC",S457&gt;60),"Media",IF(C457="CxC","Baja","")))</f>
        <v/>
      </c>
    </row>
    <row r="458">
      <c r="A458" s="19" t="n"/>
      <c r="F458" s="20" t="n"/>
      <c r="Q458" s="10">
        <f>IF(E458="USD",CONFIG!$B$5,1)</f>
        <v/>
      </c>
      <c r="R458">
        <f>IF(AND(A458&lt;&gt;"",ISNUMBER(A458),B458&lt;&gt;"",C458&lt;&gt;"",OR(E458="USD",E458="CRC"),F458&gt;0,ISNUMBER(Q458),Q458&gt;0),"✓ OK","✗ ERROR: Revisa datos")</f>
        <v/>
      </c>
      <c r="S458" s="6">
        <f>IF(A458&lt;&gt;"",TODAY()-A458,"")</f>
        <v/>
      </c>
      <c r="T458" s="4">
        <f>IF(E458="USD",F458,IF(E458="CRC",F458/CONFIG!$B$5,""))</f>
        <v/>
      </c>
      <c r="U458" s="19">
        <f>IF(A458&lt;&gt;"",A458+30,"")</f>
        <v/>
      </c>
      <c r="V458">
        <f>IF(AND(C458="CxP",S458&gt;60),"Alta",IF(AND(C458="CxP",S458&gt;30),"Media",IF(C458="CxP","Baja","")))</f>
        <v/>
      </c>
      <c r="W458">
        <f>IF(AND(C458="CxC",S458&gt;90),"Alta",IF(AND(C458="CxC",S458&gt;60),"Media",IF(C458="CxC","Baja","")))</f>
        <v/>
      </c>
    </row>
    <row r="459">
      <c r="A459" s="19" t="n"/>
      <c r="F459" s="20" t="n"/>
      <c r="Q459" s="10">
        <f>IF(E459="USD",CONFIG!$B$5,1)</f>
        <v/>
      </c>
      <c r="R459">
        <f>IF(AND(A459&lt;&gt;"",ISNUMBER(A459),B459&lt;&gt;"",C459&lt;&gt;"",OR(E459="USD",E459="CRC"),F459&gt;0,ISNUMBER(Q459),Q459&gt;0),"✓ OK","✗ ERROR: Revisa datos")</f>
        <v/>
      </c>
      <c r="S459" s="6">
        <f>IF(A459&lt;&gt;"",TODAY()-A459,"")</f>
        <v/>
      </c>
      <c r="T459" s="4">
        <f>IF(E459="USD",F459,IF(E459="CRC",F459/CONFIG!$B$5,""))</f>
        <v/>
      </c>
      <c r="U459" s="19">
        <f>IF(A459&lt;&gt;"",A459+30,"")</f>
        <v/>
      </c>
      <c r="V459">
        <f>IF(AND(C459="CxP",S459&gt;60),"Alta",IF(AND(C459="CxP",S459&gt;30),"Media",IF(C459="CxP","Baja","")))</f>
        <v/>
      </c>
      <c r="W459">
        <f>IF(AND(C459="CxC",S459&gt;90),"Alta",IF(AND(C459="CxC",S459&gt;60),"Media",IF(C459="CxC","Baja","")))</f>
        <v/>
      </c>
    </row>
    <row r="460">
      <c r="A460" s="19" t="n"/>
      <c r="F460" s="20" t="n"/>
      <c r="Q460" s="10">
        <f>IF(E460="USD",CONFIG!$B$5,1)</f>
        <v/>
      </c>
      <c r="R460">
        <f>IF(AND(A460&lt;&gt;"",ISNUMBER(A460),B460&lt;&gt;"",C460&lt;&gt;"",OR(E460="USD",E460="CRC"),F460&gt;0,ISNUMBER(Q460),Q460&gt;0),"✓ OK","✗ ERROR: Revisa datos")</f>
        <v/>
      </c>
      <c r="S460" s="6">
        <f>IF(A460&lt;&gt;"",TODAY()-A460,"")</f>
        <v/>
      </c>
      <c r="T460" s="4">
        <f>IF(E460="USD",F460,IF(E460="CRC",F460/CONFIG!$B$5,""))</f>
        <v/>
      </c>
      <c r="U460" s="19">
        <f>IF(A460&lt;&gt;"",A460+30,"")</f>
        <v/>
      </c>
      <c r="V460">
        <f>IF(AND(C460="CxP",S460&gt;60),"Alta",IF(AND(C460="CxP",S460&gt;30),"Media",IF(C460="CxP","Baja","")))</f>
        <v/>
      </c>
      <c r="W460">
        <f>IF(AND(C460="CxC",S460&gt;90),"Alta",IF(AND(C460="CxC",S460&gt;60),"Media",IF(C460="CxC","Baja","")))</f>
        <v/>
      </c>
    </row>
    <row r="461">
      <c r="A461" s="19" t="n"/>
      <c r="F461" s="20" t="n"/>
      <c r="Q461" s="10">
        <f>IF(E461="USD",CONFIG!$B$5,1)</f>
        <v/>
      </c>
      <c r="R461">
        <f>IF(AND(A461&lt;&gt;"",ISNUMBER(A461),B461&lt;&gt;"",C461&lt;&gt;"",OR(E461="USD",E461="CRC"),F461&gt;0,ISNUMBER(Q461),Q461&gt;0),"✓ OK","✗ ERROR: Revisa datos")</f>
        <v/>
      </c>
      <c r="S461" s="6">
        <f>IF(A461&lt;&gt;"",TODAY()-A461,"")</f>
        <v/>
      </c>
      <c r="T461" s="4">
        <f>IF(E461="USD",F461,IF(E461="CRC",F461/CONFIG!$B$5,""))</f>
        <v/>
      </c>
      <c r="U461" s="19">
        <f>IF(A461&lt;&gt;"",A461+30,"")</f>
        <v/>
      </c>
      <c r="V461">
        <f>IF(AND(C461="CxP",S461&gt;60),"Alta",IF(AND(C461="CxP",S461&gt;30),"Media",IF(C461="CxP","Baja","")))</f>
        <v/>
      </c>
      <c r="W461">
        <f>IF(AND(C461="CxC",S461&gt;90),"Alta",IF(AND(C461="CxC",S461&gt;60),"Media",IF(C461="CxC","Baja","")))</f>
        <v/>
      </c>
    </row>
    <row r="462">
      <c r="A462" s="19" t="n"/>
      <c r="F462" s="20" t="n"/>
      <c r="Q462" s="10">
        <f>IF(E462="USD",CONFIG!$B$5,1)</f>
        <v/>
      </c>
      <c r="R462">
        <f>IF(AND(A462&lt;&gt;"",ISNUMBER(A462),B462&lt;&gt;"",C462&lt;&gt;"",OR(E462="USD",E462="CRC"),F462&gt;0,ISNUMBER(Q462),Q462&gt;0),"✓ OK","✗ ERROR: Revisa datos")</f>
        <v/>
      </c>
      <c r="S462" s="6">
        <f>IF(A462&lt;&gt;"",TODAY()-A462,"")</f>
        <v/>
      </c>
      <c r="T462" s="4">
        <f>IF(E462="USD",F462,IF(E462="CRC",F462/CONFIG!$B$5,""))</f>
        <v/>
      </c>
      <c r="U462" s="19">
        <f>IF(A462&lt;&gt;"",A462+30,"")</f>
        <v/>
      </c>
      <c r="V462">
        <f>IF(AND(C462="CxP",S462&gt;60),"Alta",IF(AND(C462="CxP",S462&gt;30),"Media",IF(C462="CxP","Baja","")))</f>
        <v/>
      </c>
      <c r="W462">
        <f>IF(AND(C462="CxC",S462&gt;90),"Alta",IF(AND(C462="CxC",S462&gt;60),"Media",IF(C462="CxC","Baja","")))</f>
        <v/>
      </c>
    </row>
    <row r="463">
      <c r="A463" s="19" t="n"/>
      <c r="F463" s="20" t="n"/>
      <c r="Q463" s="10">
        <f>IF(E463="USD",CONFIG!$B$5,1)</f>
        <v/>
      </c>
      <c r="R463">
        <f>IF(AND(A463&lt;&gt;"",ISNUMBER(A463),B463&lt;&gt;"",C463&lt;&gt;"",OR(E463="USD",E463="CRC"),F463&gt;0,ISNUMBER(Q463),Q463&gt;0),"✓ OK","✗ ERROR: Revisa datos")</f>
        <v/>
      </c>
      <c r="S463" s="6">
        <f>IF(A463&lt;&gt;"",TODAY()-A463,"")</f>
        <v/>
      </c>
      <c r="T463" s="4">
        <f>IF(E463="USD",F463,IF(E463="CRC",F463/CONFIG!$B$5,""))</f>
        <v/>
      </c>
      <c r="U463" s="19">
        <f>IF(A463&lt;&gt;"",A463+30,"")</f>
        <v/>
      </c>
      <c r="V463">
        <f>IF(AND(C463="CxP",S463&gt;60),"Alta",IF(AND(C463="CxP",S463&gt;30),"Media",IF(C463="CxP","Baja","")))</f>
        <v/>
      </c>
      <c r="W463">
        <f>IF(AND(C463="CxC",S463&gt;90),"Alta",IF(AND(C463="CxC",S463&gt;60),"Media",IF(C463="CxC","Baja","")))</f>
        <v/>
      </c>
    </row>
    <row r="464">
      <c r="A464" s="19" t="n"/>
      <c r="F464" s="20" t="n"/>
      <c r="Q464" s="10">
        <f>IF(E464="USD",CONFIG!$B$5,1)</f>
        <v/>
      </c>
      <c r="R464">
        <f>IF(AND(A464&lt;&gt;"",ISNUMBER(A464),B464&lt;&gt;"",C464&lt;&gt;"",OR(E464="USD",E464="CRC"),F464&gt;0,ISNUMBER(Q464),Q464&gt;0),"✓ OK","✗ ERROR: Revisa datos")</f>
        <v/>
      </c>
      <c r="S464" s="6">
        <f>IF(A464&lt;&gt;"",TODAY()-A464,"")</f>
        <v/>
      </c>
      <c r="T464" s="4">
        <f>IF(E464="USD",F464,IF(E464="CRC",F464/CONFIG!$B$5,""))</f>
        <v/>
      </c>
      <c r="U464" s="19">
        <f>IF(A464&lt;&gt;"",A464+30,"")</f>
        <v/>
      </c>
      <c r="V464">
        <f>IF(AND(C464="CxP",S464&gt;60),"Alta",IF(AND(C464="CxP",S464&gt;30),"Media",IF(C464="CxP","Baja","")))</f>
        <v/>
      </c>
      <c r="W464">
        <f>IF(AND(C464="CxC",S464&gt;90),"Alta",IF(AND(C464="CxC",S464&gt;60),"Media",IF(C464="CxC","Baja","")))</f>
        <v/>
      </c>
    </row>
    <row r="465">
      <c r="A465" s="19" t="n"/>
      <c r="F465" s="20" t="n"/>
      <c r="Q465" s="10">
        <f>IF(E465="USD",CONFIG!$B$5,1)</f>
        <v/>
      </c>
      <c r="R465">
        <f>IF(AND(A465&lt;&gt;"",ISNUMBER(A465),B465&lt;&gt;"",C465&lt;&gt;"",OR(E465="USD",E465="CRC"),F465&gt;0,ISNUMBER(Q465),Q465&gt;0),"✓ OK","✗ ERROR: Revisa datos")</f>
        <v/>
      </c>
      <c r="S465" s="6">
        <f>IF(A465&lt;&gt;"",TODAY()-A465,"")</f>
        <v/>
      </c>
      <c r="T465" s="4">
        <f>IF(E465="USD",F465,IF(E465="CRC",F465/CONFIG!$B$5,""))</f>
        <v/>
      </c>
      <c r="U465" s="19">
        <f>IF(A465&lt;&gt;"",A465+30,"")</f>
        <v/>
      </c>
      <c r="V465">
        <f>IF(AND(C465="CxP",S465&gt;60),"Alta",IF(AND(C465="CxP",S465&gt;30),"Media",IF(C465="CxP","Baja","")))</f>
        <v/>
      </c>
      <c r="W465">
        <f>IF(AND(C465="CxC",S465&gt;90),"Alta",IF(AND(C465="CxC",S465&gt;60),"Media",IF(C465="CxC","Baja","")))</f>
        <v/>
      </c>
    </row>
    <row r="466">
      <c r="A466" s="19" t="n"/>
      <c r="F466" s="20" t="n"/>
      <c r="Q466" s="10">
        <f>IF(E466="USD",CONFIG!$B$5,1)</f>
        <v/>
      </c>
      <c r="R466">
        <f>IF(AND(A466&lt;&gt;"",ISNUMBER(A466),B466&lt;&gt;"",C466&lt;&gt;"",OR(E466="USD",E466="CRC"),F466&gt;0,ISNUMBER(Q466),Q466&gt;0),"✓ OK","✗ ERROR: Revisa datos")</f>
        <v/>
      </c>
      <c r="S466" s="6">
        <f>IF(A466&lt;&gt;"",TODAY()-A466,"")</f>
        <v/>
      </c>
      <c r="T466" s="4">
        <f>IF(E466="USD",F466,IF(E466="CRC",F466/CONFIG!$B$5,""))</f>
        <v/>
      </c>
      <c r="U466" s="19">
        <f>IF(A466&lt;&gt;"",A466+30,"")</f>
        <v/>
      </c>
      <c r="V466">
        <f>IF(AND(C466="CxP",S466&gt;60),"Alta",IF(AND(C466="CxP",S466&gt;30),"Media",IF(C466="CxP","Baja","")))</f>
        <v/>
      </c>
      <c r="W466">
        <f>IF(AND(C466="CxC",S466&gt;90),"Alta",IF(AND(C466="CxC",S466&gt;60),"Media",IF(C466="CxC","Baja","")))</f>
        <v/>
      </c>
    </row>
    <row r="467">
      <c r="A467" s="19" t="n"/>
      <c r="F467" s="20" t="n"/>
      <c r="Q467" s="10">
        <f>IF(E467="USD",CONFIG!$B$5,1)</f>
        <v/>
      </c>
      <c r="R467">
        <f>IF(AND(A467&lt;&gt;"",ISNUMBER(A467),B467&lt;&gt;"",C467&lt;&gt;"",OR(E467="USD",E467="CRC"),F467&gt;0,ISNUMBER(Q467),Q467&gt;0),"✓ OK","✗ ERROR: Revisa datos")</f>
        <v/>
      </c>
      <c r="S467" s="6">
        <f>IF(A467&lt;&gt;"",TODAY()-A467,"")</f>
        <v/>
      </c>
      <c r="T467" s="4">
        <f>IF(E467="USD",F467,IF(E467="CRC",F467/CONFIG!$B$5,""))</f>
        <v/>
      </c>
      <c r="U467" s="19">
        <f>IF(A467&lt;&gt;"",A467+30,"")</f>
        <v/>
      </c>
      <c r="V467">
        <f>IF(AND(C467="CxP",S467&gt;60),"Alta",IF(AND(C467="CxP",S467&gt;30),"Media",IF(C467="CxP","Baja","")))</f>
        <v/>
      </c>
      <c r="W467">
        <f>IF(AND(C467="CxC",S467&gt;90),"Alta",IF(AND(C467="CxC",S467&gt;60),"Media",IF(C467="CxC","Baja","")))</f>
        <v/>
      </c>
    </row>
    <row r="468">
      <c r="A468" s="19" t="n"/>
      <c r="F468" s="20" t="n"/>
      <c r="Q468" s="10">
        <f>IF(E468="USD",CONFIG!$B$5,1)</f>
        <v/>
      </c>
      <c r="R468">
        <f>IF(AND(A468&lt;&gt;"",ISNUMBER(A468),B468&lt;&gt;"",C468&lt;&gt;"",OR(E468="USD",E468="CRC"),F468&gt;0,ISNUMBER(Q468),Q468&gt;0),"✓ OK","✗ ERROR: Revisa datos")</f>
        <v/>
      </c>
      <c r="S468" s="6">
        <f>IF(A468&lt;&gt;"",TODAY()-A468,"")</f>
        <v/>
      </c>
      <c r="T468" s="4">
        <f>IF(E468="USD",F468,IF(E468="CRC",F468/CONFIG!$B$5,""))</f>
        <v/>
      </c>
      <c r="U468" s="19">
        <f>IF(A468&lt;&gt;"",A468+30,"")</f>
        <v/>
      </c>
      <c r="V468">
        <f>IF(AND(C468="CxP",S468&gt;60),"Alta",IF(AND(C468="CxP",S468&gt;30),"Media",IF(C468="CxP","Baja","")))</f>
        <v/>
      </c>
      <c r="W468">
        <f>IF(AND(C468="CxC",S468&gt;90),"Alta",IF(AND(C468="CxC",S468&gt;60),"Media",IF(C468="CxC","Baja","")))</f>
        <v/>
      </c>
    </row>
    <row r="469">
      <c r="A469" s="19" t="n"/>
      <c r="F469" s="20" t="n"/>
      <c r="Q469" s="10">
        <f>IF(E469="USD",CONFIG!$B$5,1)</f>
        <v/>
      </c>
      <c r="R469">
        <f>IF(AND(A469&lt;&gt;"",ISNUMBER(A469),B469&lt;&gt;"",C469&lt;&gt;"",OR(E469="USD",E469="CRC"),F469&gt;0,ISNUMBER(Q469),Q469&gt;0),"✓ OK","✗ ERROR: Revisa datos")</f>
        <v/>
      </c>
      <c r="S469" s="6">
        <f>IF(A469&lt;&gt;"",TODAY()-A469,"")</f>
        <v/>
      </c>
      <c r="T469" s="4">
        <f>IF(E469="USD",F469,IF(E469="CRC",F469/CONFIG!$B$5,""))</f>
        <v/>
      </c>
      <c r="U469" s="19">
        <f>IF(A469&lt;&gt;"",A469+30,"")</f>
        <v/>
      </c>
      <c r="V469">
        <f>IF(AND(C469="CxP",S469&gt;60),"Alta",IF(AND(C469="CxP",S469&gt;30),"Media",IF(C469="CxP","Baja","")))</f>
        <v/>
      </c>
      <c r="W469">
        <f>IF(AND(C469="CxC",S469&gt;90),"Alta",IF(AND(C469="CxC",S469&gt;60),"Media",IF(C469="CxC","Baja","")))</f>
        <v/>
      </c>
    </row>
    <row r="470">
      <c r="A470" s="19" t="n"/>
      <c r="F470" s="20" t="n"/>
      <c r="Q470" s="10">
        <f>IF(E470="USD",CONFIG!$B$5,1)</f>
        <v/>
      </c>
      <c r="R470">
        <f>IF(AND(A470&lt;&gt;"",ISNUMBER(A470),B470&lt;&gt;"",C470&lt;&gt;"",OR(E470="USD",E470="CRC"),F470&gt;0,ISNUMBER(Q470),Q470&gt;0),"✓ OK","✗ ERROR: Revisa datos")</f>
        <v/>
      </c>
      <c r="S470" s="6">
        <f>IF(A470&lt;&gt;"",TODAY()-A470,"")</f>
        <v/>
      </c>
      <c r="T470" s="4">
        <f>IF(E470="USD",F470,IF(E470="CRC",F470/CONFIG!$B$5,""))</f>
        <v/>
      </c>
      <c r="U470" s="19">
        <f>IF(A470&lt;&gt;"",A470+30,"")</f>
        <v/>
      </c>
      <c r="V470">
        <f>IF(AND(C470="CxP",S470&gt;60),"Alta",IF(AND(C470="CxP",S470&gt;30),"Media",IF(C470="CxP","Baja","")))</f>
        <v/>
      </c>
      <c r="W470">
        <f>IF(AND(C470="CxC",S470&gt;90),"Alta",IF(AND(C470="CxC",S470&gt;60),"Media",IF(C470="CxC","Baja","")))</f>
        <v/>
      </c>
    </row>
    <row r="471">
      <c r="A471" s="19" t="n"/>
      <c r="F471" s="20" t="n"/>
      <c r="Q471" s="10">
        <f>IF(E471="USD",CONFIG!$B$5,1)</f>
        <v/>
      </c>
      <c r="R471">
        <f>IF(AND(A471&lt;&gt;"",ISNUMBER(A471),B471&lt;&gt;"",C471&lt;&gt;"",OR(E471="USD",E471="CRC"),F471&gt;0,ISNUMBER(Q471),Q471&gt;0),"✓ OK","✗ ERROR: Revisa datos")</f>
        <v/>
      </c>
      <c r="S471" s="6">
        <f>IF(A471&lt;&gt;"",TODAY()-A471,"")</f>
        <v/>
      </c>
      <c r="T471" s="4">
        <f>IF(E471="USD",F471,IF(E471="CRC",F471/CONFIG!$B$5,""))</f>
        <v/>
      </c>
      <c r="U471" s="19">
        <f>IF(A471&lt;&gt;"",A471+30,"")</f>
        <v/>
      </c>
      <c r="V471">
        <f>IF(AND(C471="CxP",S471&gt;60),"Alta",IF(AND(C471="CxP",S471&gt;30),"Media",IF(C471="CxP","Baja","")))</f>
        <v/>
      </c>
      <c r="W471">
        <f>IF(AND(C471="CxC",S471&gt;90),"Alta",IF(AND(C471="CxC",S471&gt;60),"Media",IF(C471="CxC","Baja","")))</f>
        <v/>
      </c>
    </row>
    <row r="472">
      <c r="A472" s="19" t="n"/>
      <c r="F472" s="20" t="n"/>
      <c r="Q472" s="10">
        <f>IF(E472="USD",CONFIG!$B$5,1)</f>
        <v/>
      </c>
      <c r="R472">
        <f>IF(AND(A472&lt;&gt;"",ISNUMBER(A472),B472&lt;&gt;"",C472&lt;&gt;"",OR(E472="USD",E472="CRC"),F472&gt;0,ISNUMBER(Q472),Q472&gt;0),"✓ OK","✗ ERROR: Revisa datos")</f>
        <v/>
      </c>
      <c r="S472" s="6">
        <f>IF(A472&lt;&gt;"",TODAY()-A472,"")</f>
        <v/>
      </c>
      <c r="T472" s="4">
        <f>IF(E472="USD",F472,IF(E472="CRC",F472/CONFIG!$B$5,""))</f>
        <v/>
      </c>
      <c r="U472" s="19">
        <f>IF(A472&lt;&gt;"",A472+30,"")</f>
        <v/>
      </c>
      <c r="V472">
        <f>IF(AND(C472="CxP",S472&gt;60),"Alta",IF(AND(C472="CxP",S472&gt;30),"Media",IF(C472="CxP","Baja","")))</f>
        <v/>
      </c>
      <c r="W472">
        <f>IF(AND(C472="CxC",S472&gt;90),"Alta",IF(AND(C472="CxC",S472&gt;60),"Media",IF(C472="CxC","Baja","")))</f>
        <v/>
      </c>
    </row>
    <row r="473">
      <c r="A473" s="19" t="n"/>
      <c r="F473" s="20" t="n"/>
      <c r="Q473" s="10">
        <f>IF(E473="USD",CONFIG!$B$5,1)</f>
        <v/>
      </c>
      <c r="R473">
        <f>IF(AND(A473&lt;&gt;"",ISNUMBER(A473),B473&lt;&gt;"",C473&lt;&gt;"",OR(E473="USD",E473="CRC"),F473&gt;0,ISNUMBER(Q473),Q473&gt;0),"✓ OK","✗ ERROR: Revisa datos")</f>
        <v/>
      </c>
      <c r="S473" s="6">
        <f>IF(A473&lt;&gt;"",TODAY()-A473,"")</f>
        <v/>
      </c>
      <c r="T473" s="4">
        <f>IF(E473="USD",F473,IF(E473="CRC",F473/CONFIG!$B$5,""))</f>
        <v/>
      </c>
      <c r="U473" s="19">
        <f>IF(A473&lt;&gt;"",A473+30,"")</f>
        <v/>
      </c>
      <c r="V473">
        <f>IF(AND(C473="CxP",S473&gt;60),"Alta",IF(AND(C473="CxP",S473&gt;30),"Media",IF(C473="CxP","Baja","")))</f>
        <v/>
      </c>
      <c r="W473">
        <f>IF(AND(C473="CxC",S473&gt;90),"Alta",IF(AND(C473="CxC",S473&gt;60),"Media",IF(C473="CxC","Baja","")))</f>
        <v/>
      </c>
    </row>
    <row r="474">
      <c r="A474" s="19" t="n"/>
      <c r="F474" s="20" t="n"/>
      <c r="Q474" s="10">
        <f>IF(E474="USD",CONFIG!$B$5,1)</f>
        <v/>
      </c>
      <c r="R474">
        <f>IF(AND(A474&lt;&gt;"",ISNUMBER(A474),B474&lt;&gt;"",C474&lt;&gt;"",OR(E474="USD",E474="CRC"),F474&gt;0,ISNUMBER(Q474),Q474&gt;0),"✓ OK","✗ ERROR: Revisa datos")</f>
        <v/>
      </c>
      <c r="S474" s="6">
        <f>IF(A474&lt;&gt;"",TODAY()-A474,"")</f>
        <v/>
      </c>
      <c r="T474" s="4">
        <f>IF(E474="USD",F474,IF(E474="CRC",F474/CONFIG!$B$5,""))</f>
        <v/>
      </c>
      <c r="U474" s="19">
        <f>IF(A474&lt;&gt;"",A474+30,"")</f>
        <v/>
      </c>
      <c r="V474">
        <f>IF(AND(C474="CxP",S474&gt;60),"Alta",IF(AND(C474="CxP",S474&gt;30),"Media",IF(C474="CxP","Baja","")))</f>
        <v/>
      </c>
      <c r="W474">
        <f>IF(AND(C474="CxC",S474&gt;90),"Alta",IF(AND(C474="CxC",S474&gt;60),"Media",IF(C474="CxC","Baja","")))</f>
        <v/>
      </c>
    </row>
    <row r="475">
      <c r="A475" s="19" t="n"/>
      <c r="F475" s="20" t="n"/>
      <c r="Q475" s="10">
        <f>IF(E475="USD",CONFIG!$B$5,1)</f>
        <v/>
      </c>
      <c r="R475">
        <f>IF(AND(A475&lt;&gt;"",ISNUMBER(A475),B475&lt;&gt;"",C475&lt;&gt;"",OR(E475="USD",E475="CRC"),F475&gt;0,ISNUMBER(Q475),Q475&gt;0),"✓ OK","✗ ERROR: Revisa datos")</f>
        <v/>
      </c>
      <c r="S475" s="6">
        <f>IF(A475&lt;&gt;"",TODAY()-A475,"")</f>
        <v/>
      </c>
      <c r="T475" s="4">
        <f>IF(E475="USD",F475,IF(E475="CRC",F475/CONFIG!$B$5,""))</f>
        <v/>
      </c>
      <c r="U475" s="19">
        <f>IF(A475&lt;&gt;"",A475+30,"")</f>
        <v/>
      </c>
      <c r="V475">
        <f>IF(AND(C475="CxP",S475&gt;60),"Alta",IF(AND(C475="CxP",S475&gt;30),"Media",IF(C475="CxP","Baja","")))</f>
        <v/>
      </c>
      <c r="W475">
        <f>IF(AND(C475="CxC",S475&gt;90),"Alta",IF(AND(C475="CxC",S475&gt;60),"Media",IF(C475="CxC","Baja","")))</f>
        <v/>
      </c>
    </row>
    <row r="476">
      <c r="A476" s="19" t="n"/>
      <c r="F476" s="20" t="n"/>
      <c r="Q476" s="10">
        <f>IF(E476="USD",CONFIG!$B$5,1)</f>
        <v/>
      </c>
      <c r="R476">
        <f>IF(AND(A476&lt;&gt;"",ISNUMBER(A476),B476&lt;&gt;"",C476&lt;&gt;"",OR(E476="USD",E476="CRC"),F476&gt;0,ISNUMBER(Q476),Q476&gt;0),"✓ OK","✗ ERROR: Revisa datos")</f>
        <v/>
      </c>
      <c r="S476" s="6">
        <f>IF(A476&lt;&gt;"",TODAY()-A476,"")</f>
        <v/>
      </c>
      <c r="T476" s="4">
        <f>IF(E476="USD",F476,IF(E476="CRC",F476/CONFIG!$B$5,""))</f>
        <v/>
      </c>
      <c r="U476" s="19">
        <f>IF(A476&lt;&gt;"",A476+30,"")</f>
        <v/>
      </c>
      <c r="V476">
        <f>IF(AND(C476="CxP",S476&gt;60),"Alta",IF(AND(C476="CxP",S476&gt;30),"Media",IF(C476="CxP","Baja","")))</f>
        <v/>
      </c>
      <c r="W476">
        <f>IF(AND(C476="CxC",S476&gt;90),"Alta",IF(AND(C476="CxC",S476&gt;60),"Media",IF(C476="CxC","Baja","")))</f>
        <v/>
      </c>
    </row>
    <row r="477">
      <c r="A477" s="19" t="n"/>
      <c r="F477" s="20" t="n"/>
      <c r="Q477" s="10">
        <f>IF(E477="USD",CONFIG!$B$5,1)</f>
        <v/>
      </c>
      <c r="R477">
        <f>IF(AND(A477&lt;&gt;"",ISNUMBER(A477),B477&lt;&gt;"",C477&lt;&gt;"",OR(E477="USD",E477="CRC"),F477&gt;0,ISNUMBER(Q477),Q477&gt;0),"✓ OK","✗ ERROR: Revisa datos")</f>
        <v/>
      </c>
      <c r="S477" s="6">
        <f>IF(A477&lt;&gt;"",TODAY()-A477,"")</f>
        <v/>
      </c>
      <c r="T477" s="4">
        <f>IF(E477="USD",F477,IF(E477="CRC",F477/CONFIG!$B$5,""))</f>
        <v/>
      </c>
      <c r="U477" s="19">
        <f>IF(A477&lt;&gt;"",A477+30,"")</f>
        <v/>
      </c>
      <c r="V477">
        <f>IF(AND(C477="CxP",S477&gt;60),"Alta",IF(AND(C477="CxP",S477&gt;30),"Media",IF(C477="CxP","Baja","")))</f>
        <v/>
      </c>
      <c r="W477">
        <f>IF(AND(C477="CxC",S477&gt;90),"Alta",IF(AND(C477="CxC",S477&gt;60),"Media",IF(C477="CxC","Baja","")))</f>
        <v/>
      </c>
    </row>
    <row r="478">
      <c r="A478" s="19" t="n"/>
      <c r="F478" s="20" t="n"/>
      <c r="Q478" s="10">
        <f>IF(E478="USD",CONFIG!$B$5,1)</f>
        <v/>
      </c>
      <c r="R478">
        <f>IF(AND(A478&lt;&gt;"",ISNUMBER(A478),B478&lt;&gt;"",C478&lt;&gt;"",OR(E478="USD",E478="CRC"),F478&gt;0,ISNUMBER(Q478),Q478&gt;0),"✓ OK","✗ ERROR: Revisa datos")</f>
        <v/>
      </c>
      <c r="S478" s="6">
        <f>IF(A478&lt;&gt;"",TODAY()-A478,"")</f>
        <v/>
      </c>
      <c r="T478" s="4">
        <f>IF(E478="USD",F478,IF(E478="CRC",F478/CONFIG!$B$5,""))</f>
        <v/>
      </c>
      <c r="U478" s="19">
        <f>IF(A478&lt;&gt;"",A478+30,"")</f>
        <v/>
      </c>
      <c r="V478">
        <f>IF(AND(C478="CxP",S478&gt;60),"Alta",IF(AND(C478="CxP",S478&gt;30),"Media",IF(C478="CxP","Baja","")))</f>
        <v/>
      </c>
      <c r="W478">
        <f>IF(AND(C478="CxC",S478&gt;90),"Alta",IF(AND(C478="CxC",S478&gt;60),"Media",IF(C478="CxC","Baja","")))</f>
        <v/>
      </c>
    </row>
    <row r="479">
      <c r="A479" s="19" t="n"/>
      <c r="F479" s="20" t="n"/>
      <c r="Q479" s="10">
        <f>IF(E479="USD",CONFIG!$B$5,1)</f>
        <v/>
      </c>
      <c r="R479">
        <f>IF(AND(A479&lt;&gt;"",ISNUMBER(A479),B479&lt;&gt;"",C479&lt;&gt;"",OR(E479="USD",E479="CRC"),F479&gt;0,ISNUMBER(Q479),Q479&gt;0),"✓ OK","✗ ERROR: Revisa datos")</f>
        <v/>
      </c>
      <c r="S479" s="6">
        <f>IF(A479&lt;&gt;"",TODAY()-A479,"")</f>
        <v/>
      </c>
      <c r="T479" s="4">
        <f>IF(E479="USD",F479,IF(E479="CRC",F479/CONFIG!$B$5,""))</f>
        <v/>
      </c>
      <c r="U479" s="19">
        <f>IF(A479&lt;&gt;"",A479+30,"")</f>
        <v/>
      </c>
      <c r="V479">
        <f>IF(AND(C479="CxP",S479&gt;60),"Alta",IF(AND(C479="CxP",S479&gt;30),"Media",IF(C479="CxP","Baja","")))</f>
        <v/>
      </c>
      <c r="W479">
        <f>IF(AND(C479="CxC",S479&gt;90),"Alta",IF(AND(C479="CxC",S479&gt;60),"Media",IF(C479="CxC","Baja","")))</f>
        <v/>
      </c>
    </row>
    <row r="480">
      <c r="A480" s="19" t="n"/>
      <c r="F480" s="20" t="n"/>
      <c r="Q480" s="10">
        <f>IF(E480="USD",CONFIG!$B$5,1)</f>
        <v/>
      </c>
      <c r="R480">
        <f>IF(AND(A480&lt;&gt;"",ISNUMBER(A480),B480&lt;&gt;"",C480&lt;&gt;"",OR(E480="USD",E480="CRC"),F480&gt;0,ISNUMBER(Q480),Q480&gt;0),"✓ OK","✗ ERROR: Revisa datos")</f>
        <v/>
      </c>
      <c r="S480" s="6">
        <f>IF(A480&lt;&gt;"",TODAY()-A480,"")</f>
        <v/>
      </c>
      <c r="T480" s="4">
        <f>IF(E480="USD",F480,IF(E480="CRC",F480/CONFIG!$B$5,""))</f>
        <v/>
      </c>
      <c r="U480" s="19">
        <f>IF(A480&lt;&gt;"",A480+30,"")</f>
        <v/>
      </c>
      <c r="V480">
        <f>IF(AND(C480="CxP",S480&gt;60),"Alta",IF(AND(C480="CxP",S480&gt;30),"Media",IF(C480="CxP","Baja","")))</f>
        <v/>
      </c>
      <c r="W480">
        <f>IF(AND(C480="CxC",S480&gt;90),"Alta",IF(AND(C480="CxC",S480&gt;60),"Media",IF(C480="CxC","Baja","")))</f>
        <v/>
      </c>
    </row>
    <row r="481">
      <c r="A481" s="19" t="n"/>
      <c r="F481" s="20" t="n"/>
      <c r="Q481" s="10">
        <f>IF(E481="USD",CONFIG!$B$5,1)</f>
        <v/>
      </c>
      <c r="R481">
        <f>IF(AND(A481&lt;&gt;"",ISNUMBER(A481),B481&lt;&gt;"",C481&lt;&gt;"",OR(E481="USD",E481="CRC"),F481&gt;0,ISNUMBER(Q481),Q481&gt;0),"✓ OK","✗ ERROR: Revisa datos")</f>
        <v/>
      </c>
      <c r="S481" s="6">
        <f>IF(A481&lt;&gt;"",TODAY()-A481,"")</f>
        <v/>
      </c>
      <c r="T481" s="4">
        <f>IF(E481="USD",F481,IF(E481="CRC",F481/CONFIG!$B$5,""))</f>
        <v/>
      </c>
      <c r="U481" s="19">
        <f>IF(A481&lt;&gt;"",A481+30,"")</f>
        <v/>
      </c>
      <c r="V481">
        <f>IF(AND(C481="CxP",S481&gt;60),"Alta",IF(AND(C481="CxP",S481&gt;30),"Media",IF(C481="CxP","Baja","")))</f>
        <v/>
      </c>
      <c r="W481">
        <f>IF(AND(C481="CxC",S481&gt;90),"Alta",IF(AND(C481="CxC",S481&gt;60),"Media",IF(C481="CxC","Baja","")))</f>
        <v/>
      </c>
    </row>
    <row r="482">
      <c r="A482" s="19" t="n"/>
      <c r="F482" s="20" t="n"/>
      <c r="Q482" s="10">
        <f>IF(E482="USD",CONFIG!$B$5,1)</f>
        <v/>
      </c>
      <c r="R482">
        <f>IF(AND(A482&lt;&gt;"",ISNUMBER(A482),B482&lt;&gt;"",C482&lt;&gt;"",OR(E482="USD",E482="CRC"),F482&gt;0,ISNUMBER(Q482),Q482&gt;0),"✓ OK","✗ ERROR: Revisa datos")</f>
        <v/>
      </c>
      <c r="S482" s="6">
        <f>IF(A482&lt;&gt;"",TODAY()-A482,"")</f>
        <v/>
      </c>
      <c r="T482" s="4">
        <f>IF(E482="USD",F482,IF(E482="CRC",F482/CONFIG!$B$5,""))</f>
        <v/>
      </c>
      <c r="U482" s="19">
        <f>IF(A482&lt;&gt;"",A482+30,"")</f>
        <v/>
      </c>
      <c r="V482">
        <f>IF(AND(C482="CxP",S482&gt;60),"Alta",IF(AND(C482="CxP",S482&gt;30),"Media",IF(C482="CxP","Baja","")))</f>
        <v/>
      </c>
      <c r="W482">
        <f>IF(AND(C482="CxC",S482&gt;90),"Alta",IF(AND(C482="CxC",S482&gt;60),"Media",IF(C482="CxC","Baja","")))</f>
        <v/>
      </c>
    </row>
    <row r="483">
      <c r="A483" s="19" t="n"/>
      <c r="F483" s="20" t="n"/>
      <c r="Q483" s="10">
        <f>IF(E483="USD",CONFIG!$B$5,1)</f>
        <v/>
      </c>
      <c r="R483">
        <f>IF(AND(A483&lt;&gt;"",ISNUMBER(A483),B483&lt;&gt;"",C483&lt;&gt;"",OR(E483="USD",E483="CRC"),F483&gt;0,ISNUMBER(Q483),Q483&gt;0),"✓ OK","✗ ERROR: Revisa datos")</f>
        <v/>
      </c>
      <c r="S483" s="6">
        <f>IF(A483&lt;&gt;"",TODAY()-A483,"")</f>
        <v/>
      </c>
      <c r="T483" s="4">
        <f>IF(E483="USD",F483,IF(E483="CRC",F483/CONFIG!$B$5,""))</f>
        <v/>
      </c>
      <c r="U483" s="19">
        <f>IF(A483&lt;&gt;"",A483+30,"")</f>
        <v/>
      </c>
      <c r="V483">
        <f>IF(AND(C483="CxP",S483&gt;60),"Alta",IF(AND(C483="CxP",S483&gt;30),"Media",IF(C483="CxP","Baja","")))</f>
        <v/>
      </c>
      <c r="W483">
        <f>IF(AND(C483="CxC",S483&gt;90),"Alta",IF(AND(C483="CxC",S483&gt;60),"Media",IF(C483="CxC","Baja","")))</f>
        <v/>
      </c>
    </row>
    <row r="484">
      <c r="A484" s="19" t="n"/>
      <c r="F484" s="20" t="n"/>
      <c r="Q484" s="10">
        <f>IF(E484="USD",CONFIG!$B$5,1)</f>
        <v/>
      </c>
      <c r="R484">
        <f>IF(AND(A484&lt;&gt;"",ISNUMBER(A484),B484&lt;&gt;"",C484&lt;&gt;"",OR(E484="USD",E484="CRC"),F484&gt;0,ISNUMBER(Q484),Q484&gt;0),"✓ OK","✗ ERROR: Revisa datos")</f>
        <v/>
      </c>
      <c r="S484" s="6">
        <f>IF(A484&lt;&gt;"",TODAY()-A484,"")</f>
        <v/>
      </c>
      <c r="T484" s="4">
        <f>IF(E484="USD",F484,IF(E484="CRC",F484/CONFIG!$B$5,""))</f>
        <v/>
      </c>
      <c r="U484" s="19">
        <f>IF(A484&lt;&gt;"",A484+30,"")</f>
        <v/>
      </c>
      <c r="V484">
        <f>IF(AND(C484="CxP",S484&gt;60),"Alta",IF(AND(C484="CxP",S484&gt;30),"Media",IF(C484="CxP","Baja","")))</f>
        <v/>
      </c>
      <c r="W484">
        <f>IF(AND(C484="CxC",S484&gt;90),"Alta",IF(AND(C484="CxC",S484&gt;60),"Media",IF(C484="CxC","Baja","")))</f>
        <v/>
      </c>
    </row>
    <row r="485">
      <c r="A485" s="19" t="n"/>
      <c r="F485" s="20" t="n"/>
      <c r="Q485" s="10">
        <f>IF(E485="USD",CONFIG!$B$5,1)</f>
        <v/>
      </c>
      <c r="R485">
        <f>IF(AND(A485&lt;&gt;"",ISNUMBER(A485),B485&lt;&gt;"",C485&lt;&gt;"",OR(E485="USD",E485="CRC"),F485&gt;0,ISNUMBER(Q485),Q485&gt;0),"✓ OK","✗ ERROR: Revisa datos")</f>
        <v/>
      </c>
      <c r="S485" s="6">
        <f>IF(A485&lt;&gt;"",TODAY()-A485,"")</f>
        <v/>
      </c>
      <c r="T485" s="4">
        <f>IF(E485="USD",F485,IF(E485="CRC",F485/CONFIG!$B$5,""))</f>
        <v/>
      </c>
      <c r="U485" s="19">
        <f>IF(A485&lt;&gt;"",A485+30,"")</f>
        <v/>
      </c>
      <c r="V485">
        <f>IF(AND(C485="CxP",S485&gt;60),"Alta",IF(AND(C485="CxP",S485&gt;30),"Media",IF(C485="CxP","Baja","")))</f>
        <v/>
      </c>
      <c r="W485">
        <f>IF(AND(C485="CxC",S485&gt;90),"Alta",IF(AND(C485="CxC",S485&gt;60),"Media",IF(C485="CxC","Baja","")))</f>
        <v/>
      </c>
    </row>
    <row r="486">
      <c r="A486" s="19" t="n"/>
      <c r="F486" s="20" t="n"/>
      <c r="Q486" s="10">
        <f>IF(E486="USD",CONFIG!$B$5,1)</f>
        <v/>
      </c>
      <c r="R486">
        <f>IF(AND(A486&lt;&gt;"",ISNUMBER(A486),B486&lt;&gt;"",C486&lt;&gt;"",OR(E486="USD",E486="CRC"),F486&gt;0,ISNUMBER(Q486),Q486&gt;0),"✓ OK","✗ ERROR: Revisa datos")</f>
        <v/>
      </c>
      <c r="S486" s="6">
        <f>IF(A486&lt;&gt;"",TODAY()-A486,"")</f>
        <v/>
      </c>
      <c r="T486" s="4">
        <f>IF(E486="USD",F486,IF(E486="CRC",F486/CONFIG!$B$5,""))</f>
        <v/>
      </c>
      <c r="U486" s="19">
        <f>IF(A486&lt;&gt;"",A486+30,"")</f>
        <v/>
      </c>
      <c r="V486">
        <f>IF(AND(C486="CxP",S486&gt;60),"Alta",IF(AND(C486="CxP",S486&gt;30),"Media",IF(C486="CxP","Baja","")))</f>
        <v/>
      </c>
      <c r="W486">
        <f>IF(AND(C486="CxC",S486&gt;90),"Alta",IF(AND(C486="CxC",S486&gt;60),"Media",IF(C486="CxC","Baja","")))</f>
        <v/>
      </c>
    </row>
    <row r="487">
      <c r="A487" s="19" t="n"/>
      <c r="F487" s="20" t="n"/>
      <c r="Q487" s="10">
        <f>IF(E487="USD",CONFIG!$B$5,1)</f>
        <v/>
      </c>
      <c r="R487">
        <f>IF(AND(A487&lt;&gt;"",ISNUMBER(A487),B487&lt;&gt;"",C487&lt;&gt;"",OR(E487="USD",E487="CRC"),F487&gt;0,ISNUMBER(Q487),Q487&gt;0),"✓ OK","✗ ERROR: Revisa datos")</f>
        <v/>
      </c>
      <c r="S487" s="6">
        <f>IF(A487&lt;&gt;"",TODAY()-A487,"")</f>
        <v/>
      </c>
      <c r="T487" s="4">
        <f>IF(E487="USD",F487,IF(E487="CRC",F487/CONFIG!$B$5,""))</f>
        <v/>
      </c>
      <c r="U487" s="19">
        <f>IF(A487&lt;&gt;"",A487+30,"")</f>
        <v/>
      </c>
      <c r="V487">
        <f>IF(AND(C487="CxP",S487&gt;60),"Alta",IF(AND(C487="CxP",S487&gt;30),"Media",IF(C487="CxP","Baja","")))</f>
        <v/>
      </c>
      <c r="W487">
        <f>IF(AND(C487="CxC",S487&gt;90),"Alta",IF(AND(C487="CxC",S487&gt;60),"Media",IF(C487="CxC","Baja","")))</f>
        <v/>
      </c>
    </row>
    <row r="488">
      <c r="A488" s="19" t="n"/>
      <c r="F488" s="20" t="n"/>
      <c r="Q488" s="10">
        <f>IF(E488="USD",CONFIG!$B$5,1)</f>
        <v/>
      </c>
      <c r="R488">
        <f>IF(AND(A488&lt;&gt;"",ISNUMBER(A488),B488&lt;&gt;"",C488&lt;&gt;"",OR(E488="USD",E488="CRC"),F488&gt;0,ISNUMBER(Q488),Q488&gt;0),"✓ OK","✗ ERROR: Revisa datos")</f>
        <v/>
      </c>
      <c r="S488" s="6">
        <f>IF(A488&lt;&gt;"",TODAY()-A488,"")</f>
        <v/>
      </c>
      <c r="T488" s="4">
        <f>IF(E488="USD",F488,IF(E488="CRC",F488/CONFIG!$B$5,""))</f>
        <v/>
      </c>
      <c r="U488" s="19">
        <f>IF(A488&lt;&gt;"",A488+30,"")</f>
        <v/>
      </c>
      <c r="V488">
        <f>IF(AND(C488="CxP",S488&gt;60),"Alta",IF(AND(C488="CxP",S488&gt;30),"Media",IF(C488="CxP","Baja","")))</f>
        <v/>
      </c>
      <c r="W488">
        <f>IF(AND(C488="CxC",S488&gt;90),"Alta",IF(AND(C488="CxC",S488&gt;60),"Media",IF(C488="CxC","Baja","")))</f>
        <v/>
      </c>
    </row>
    <row r="489">
      <c r="A489" s="19" t="n"/>
      <c r="F489" s="20" t="n"/>
      <c r="Q489" s="10">
        <f>IF(E489="USD",CONFIG!$B$5,1)</f>
        <v/>
      </c>
      <c r="R489">
        <f>IF(AND(A489&lt;&gt;"",ISNUMBER(A489),B489&lt;&gt;"",C489&lt;&gt;"",OR(E489="USD",E489="CRC"),F489&gt;0,ISNUMBER(Q489),Q489&gt;0),"✓ OK","✗ ERROR: Revisa datos")</f>
        <v/>
      </c>
      <c r="S489" s="6">
        <f>IF(A489&lt;&gt;"",TODAY()-A489,"")</f>
        <v/>
      </c>
      <c r="T489" s="4">
        <f>IF(E489="USD",F489,IF(E489="CRC",F489/CONFIG!$B$5,""))</f>
        <v/>
      </c>
      <c r="U489" s="19">
        <f>IF(A489&lt;&gt;"",A489+30,"")</f>
        <v/>
      </c>
      <c r="V489">
        <f>IF(AND(C489="CxP",S489&gt;60),"Alta",IF(AND(C489="CxP",S489&gt;30),"Media",IF(C489="CxP","Baja","")))</f>
        <v/>
      </c>
      <c r="W489">
        <f>IF(AND(C489="CxC",S489&gt;90),"Alta",IF(AND(C489="CxC",S489&gt;60),"Media",IF(C489="CxC","Baja","")))</f>
        <v/>
      </c>
    </row>
    <row r="490">
      <c r="A490" s="19" t="n"/>
      <c r="F490" s="20" t="n"/>
      <c r="Q490" s="10">
        <f>IF(E490="USD",CONFIG!$B$5,1)</f>
        <v/>
      </c>
      <c r="R490">
        <f>IF(AND(A490&lt;&gt;"",ISNUMBER(A490),B490&lt;&gt;"",C490&lt;&gt;"",OR(E490="USD",E490="CRC"),F490&gt;0,ISNUMBER(Q490),Q490&gt;0),"✓ OK","✗ ERROR: Revisa datos")</f>
        <v/>
      </c>
      <c r="S490" s="6">
        <f>IF(A490&lt;&gt;"",TODAY()-A490,"")</f>
        <v/>
      </c>
      <c r="T490" s="4">
        <f>IF(E490="USD",F490,IF(E490="CRC",F490/CONFIG!$B$5,""))</f>
        <v/>
      </c>
      <c r="U490" s="19">
        <f>IF(A490&lt;&gt;"",A490+30,"")</f>
        <v/>
      </c>
      <c r="V490">
        <f>IF(AND(C490="CxP",S490&gt;60),"Alta",IF(AND(C490="CxP",S490&gt;30),"Media",IF(C490="CxP","Baja","")))</f>
        <v/>
      </c>
      <c r="W490">
        <f>IF(AND(C490="CxC",S490&gt;90),"Alta",IF(AND(C490="CxC",S490&gt;60),"Media",IF(C490="CxC","Baja","")))</f>
        <v/>
      </c>
    </row>
    <row r="491">
      <c r="A491" s="19" t="n"/>
      <c r="F491" s="20" t="n"/>
      <c r="Q491" s="10">
        <f>IF(E491="USD",CONFIG!$B$5,1)</f>
        <v/>
      </c>
      <c r="R491">
        <f>IF(AND(A491&lt;&gt;"",ISNUMBER(A491),B491&lt;&gt;"",C491&lt;&gt;"",OR(E491="USD",E491="CRC"),F491&gt;0,ISNUMBER(Q491),Q491&gt;0),"✓ OK","✗ ERROR: Revisa datos")</f>
        <v/>
      </c>
      <c r="S491" s="6">
        <f>IF(A491&lt;&gt;"",TODAY()-A491,"")</f>
        <v/>
      </c>
      <c r="T491" s="4">
        <f>IF(E491="USD",F491,IF(E491="CRC",F491/CONFIG!$B$5,""))</f>
        <v/>
      </c>
      <c r="U491" s="19">
        <f>IF(A491&lt;&gt;"",A491+30,"")</f>
        <v/>
      </c>
      <c r="V491">
        <f>IF(AND(C491="CxP",S491&gt;60),"Alta",IF(AND(C491="CxP",S491&gt;30),"Media",IF(C491="CxP","Baja","")))</f>
        <v/>
      </c>
      <c r="W491">
        <f>IF(AND(C491="CxC",S491&gt;90),"Alta",IF(AND(C491="CxC",S491&gt;60),"Media",IF(C491="CxC","Baja","")))</f>
        <v/>
      </c>
    </row>
    <row r="492">
      <c r="A492" s="19" t="n"/>
      <c r="F492" s="20" t="n"/>
      <c r="Q492" s="10">
        <f>IF(E492="USD",CONFIG!$B$5,1)</f>
        <v/>
      </c>
      <c r="R492">
        <f>IF(AND(A492&lt;&gt;"",ISNUMBER(A492),B492&lt;&gt;"",C492&lt;&gt;"",OR(E492="USD",E492="CRC"),F492&gt;0,ISNUMBER(Q492),Q492&gt;0),"✓ OK","✗ ERROR: Revisa datos")</f>
        <v/>
      </c>
      <c r="S492" s="6">
        <f>IF(A492&lt;&gt;"",TODAY()-A492,"")</f>
        <v/>
      </c>
      <c r="T492" s="4">
        <f>IF(E492="USD",F492,IF(E492="CRC",F492/CONFIG!$B$5,""))</f>
        <v/>
      </c>
      <c r="U492" s="19">
        <f>IF(A492&lt;&gt;"",A492+30,"")</f>
        <v/>
      </c>
      <c r="V492">
        <f>IF(AND(C492="CxP",S492&gt;60),"Alta",IF(AND(C492="CxP",S492&gt;30),"Media",IF(C492="CxP","Baja","")))</f>
        <v/>
      </c>
      <c r="W492">
        <f>IF(AND(C492="CxC",S492&gt;90),"Alta",IF(AND(C492="CxC",S492&gt;60),"Media",IF(C492="CxC","Baja","")))</f>
        <v/>
      </c>
    </row>
    <row r="493">
      <c r="A493" s="19" t="n"/>
      <c r="F493" s="20" t="n"/>
      <c r="Q493" s="10">
        <f>IF(E493="USD",CONFIG!$B$5,1)</f>
        <v/>
      </c>
      <c r="R493">
        <f>IF(AND(A493&lt;&gt;"",ISNUMBER(A493),B493&lt;&gt;"",C493&lt;&gt;"",OR(E493="USD",E493="CRC"),F493&gt;0,ISNUMBER(Q493),Q493&gt;0),"✓ OK","✗ ERROR: Revisa datos")</f>
        <v/>
      </c>
      <c r="S493" s="6">
        <f>IF(A493&lt;&gt;"",TODAY()-A493,"")</f>
        <v/>
      </c>
      <c r="T493" s="4">
        <f>IF(E493="USD",F493,IF(E493="CRC",F493/CONFIG!$B$5,""))</f>
        <v/>
      </c>
      <c r="U493" s="19">
        <f>IF(A493&lt;&gt;"",A493+30,"")</f>
        <v/>
      </c>
      <c r="V493">
        <f>IF(AND(C493="CxP",S493&gt;60),"Alta",IF(AND(C493="CxP",S493&gt;30),"Media",IF(C493="CxP","Baja","")))</f>
        <v/>
      </c>
      <c r="W493">
        <f>IF(AND(C493="CxC",S493&gt;90),"Alta",IF(AND(C493="CxC",S493&gt;60),"Media",IF(C493="CxC","Baja","")))</f>
        <v/>
      </c>
    </row>
    <row r="494">
      <c r="A494" s="19" t="n"/>
      <c r="F494" s="20" t="n"/>
      <c r="Q494" s="10">
        <f>IF(E494="USD",CONFIG!$B$5,1)</f>
        <v/>
      </c>
      <c r="R494">
        <f>IF(AND(A494&lt;&gt;"",ISNUMBER(A494),B494&lt;&gt;"",C494&lt;&gt;"",OR(E494="USD",E494="CRC"),F494&gt;0,ISNUMBER(Q494),Q494&gt;0),"✓ OK","✗ ERROR: Revisa datos")</f>
        <v/>
      </c>
      <c r="S494" s="6">
        <f>IF(A494&lt;&gt;"",TODAY()-A494,"")</f>
        <v/>
      </c>
      <c r="T494" s="4">
        <f>IF(E494="USD",F494,IF(E494="CRC",F494/CONFIG!$B$5,""))</f>
        <v/>
      </c>
      <c r="U494" s="19">
        <f>IF(A494&lt;&gt;"",A494+30,"")</f>
        <v/>
      </c>
      <c r="V494">
        <f>IF(AND(C494="CxP",S494&gt;60),"Alta",IF(AND(C494="CxP",S494&gt;30),"Media",IF(C494="CxP","Baja","")))</f>
        <v/>
      </c>
      <c r="W494">
        <f>IF(AND(C494="CxC",S494&gt;90),"Alta",IF(AND(C494="CxC",S494&gt;60),"Media",IF(C494="CxC","Baja","")))</f>
        <v/>
      </c>
    </row>
    <row r="495">
      <c r="A495" s="19" t="n"/>
      <c r="F495" s="20" t="n"/>
      <c r="Q495" s="10">
        <f>IF(E495="USD",CONFIG!$B$5,1)</f>
        <v/>
      </c>
      <c r="R495">
        <f>IF(AND(A495&lt;&gt;"",ISNUMBER(A495),B495&lt;&gt;"",C495&lt;&gt;"",OR(E495="USD",E495="CRC"),F495&gt;0,ISNUMBER(Q495),Q495&gt;0),"✓ OK","✗ ERROR: Revisa datos")</f>
        <v/>
      </c>
      <c r="S495" s="6">
        <f>IF(A495&lt;&gt;"",TODAY()-A495,"")</f>
        <v/>
      </c>
      <c r="T495" s="4">
        <f>IF(E495="USD",F495,IF(E495="CRC",F495/CONFIG!$B$5,""))</f>
        <v/>
      </c>
      <c r="U495" s="19">
        <f>IF(A495&lt;&gt;"",A495+30,"")</f>
        <v/>
      </c>
      <c r="V495">
        <f>IF(AND(C495="CxP",S495&gt;60),"Alta",IF(AND(C495="CxP",S495&gt;30),"Media",IF(C495="CxP","Baja","")))</f>
        <v/>
      </c>
      <c r="W495">
        <f>IF(AND(C495="CxC",S495&gt;90),"Alta",IF(AND(C495="CxC",S495&gt;60),"Media",IF(C495="CxC","Baja","")))</f>
        <v/>
      </c>
    </row>
    <row r="496">
      <c r="A496" s="19" t="n"/>
      <c r="F496" s="20" t="n"/>
      <c r="Q496" s="10">
        <f>IF(E496="USD",CONFIG!$B$5,1)</f>
        <v/>
      </c>
      <c r="R496">
        <f>IF(AND(A496&lt;&gt;"",ISNUMBER(A496),B496&lt;&gt;"",C496&lt;&gt;"",OR(E496="USD",E496="CRC"),F496&gt;0,ISNUMBER(Q496),Q496&gt;0),"✓ OK","✗ ERROR: Revisa datos")</f>
        <v/>
      </c>
      <c r="S496" s="6">
        <f>IF(A496&lt;&gt;"",TODAY()-A496,"")</f>
        <v/>
      </c>
      <c r="T496" s="4">
        <f>IF(E496="USD",F496,IF(E496="CRC",F496/CONFIG!$B$5,""))</f>
        <v/>
      </c>
      <c r="U496" s="19">
        <f>IF(A496&lt;&gt;"",A496+30,"")</f>
        <v/>
      </c>
      <c r="V496">
        <f>IF(AND(C496="CxP",S496&gt;60),"Alta",IF(AND(C496="CxP",S496&gt;30),"Media",IF(C496="CxP","Baja","")))</f>
        <v/>
      </c>
      <c r="W496">
        <f>IF(AND(C496="CxC",S496&gt;90),"Alta",IF(AND(C496="CxC",S496&gt;60),"Media",IF(C496="CxC","Baja","")))</f>
        <v/>
      </c>
    </row>
    <row r="497">
      <c r="A497" s="19" t="n"/>
      <c r="F497" s="20" t="n"/>
      <c r="Q497" s="10">
        <f>IF(E497="USD",CONFIG!$B$5,1)</f>
        <v/>
      </c>
      <c r="R497">
        <f>IF(AND(A497&lt;&gt;"",ISNUMBER(A497),B497&lt;&gt;"",C497&lt;&gt;"",OR(E497="USD",E497="CRC"),F497&gt;0,ISNUMBER(Q497),Q497&gt;0),"✓ OK","✗ ERROR: Revisa datos")</f>
        <v/>
      </c>
      <c r="S497" s="6">
        <f>IF(A497&lt;&gt;"",TODAY()-A497,"")</f>
        <v/>
      </c>
      <c r="T497" s="4">
        <f>IF(E497="USD",F497,IF(E497="CRC",F497/CONFIG!$B$5,""))</f>
        <v/>
      </c>
      <c r="U497" s="19">
        <f>IF(A497&lt;&gt;"",A497+30,"")</f>
        <v/>
      </c>
      <c r="V497">
        <f>IF(AND(C497="CxP",S497&gt;60),"Alta",IF(AND(C497="CxP",S497&gt;30),"Media",IF(C497="CxP","Baja","")))</f>
        <v/>
      </c>
      <c r="W497">
        <f>IF(AND(C497="CxC",S497&gt;90),"Alta",IF(AND(C497="CxC",S497&gt;60),"Media",IF(C497="CxC","Baja","")))</f>
        <v/>
      </c>
    </row>
    <row r="498">
      <c r="A498" s="19" t="n"/>
      <c r="F498" s="20" t="n"/>
      <c r="Q498" s="10">
        <f>IF(E498="USD",CONFIG!$B$5,1)</f>
        <v/>
      </c>
      <c r="R498">
        <f>IF(AND(A498&lt;&gt;"",ISNUMBER(A498),B498&lt;&gt;"",C498&lt;&gt;"",OR(E498="USD",E498="CRC"),F498&gt;0,ISNUMBER(Q498),Q498&gt;0),"✓ OK","✗ ERROR: Revisa datos")</f>
        <v/>
      </c>
      <c r="S498" s="6">
        <f>IF(A498&lt;&gt;"",TODAY()-A498,"")</f>
        <v/>
      </c>
      <c r="T498" s="4">
        <f>IF(E498="USD",F498,IF(E498="CRC",F498/CONFIG!$B$5,""))</f>
        <v/>
      </c>
      <c r="U498" s="19">
        <f>IF(A498&lt;&gt;"",A498+30,"")</f>
        <v/>
      </c>
      <c r="V498">
        <f>IF(AND(C498="CxP",S498&gt;60),"Alta",IF(AND(C498="CxP",S498&gt;30),"Media",IF(C498="CxP","Baja","")))</f>
        <v/>
      </c>
      <c r="W498">
        <f>IF(AND(C498="CxC",S498&gt;90),"Alta",IF(AND(C498="CxC",S498&gt;60),"Media",IF(C498="CxC","Baja","")))</f>
        <v/>
      </c>
    </row>
    <row r="499">
      <c r="A499" s="19" t="n"/>
      <c r="F499" s="20" t="n"/>
      <c r="Q499" s="10">
        <f>IF(E499="USD",CONFIG!$B$5,1)</f>
        <v/>
      </c>
      <c r="R499">
        <f>IF(AND(A499&lt;&gt;"",ISNUMBER(A499),B499&lt;&gt;"",C499&lt;&gt;"",OR(E499="USD",E499="CRC"),F499&gt;0,ISNUMBER(Q499),Q499&gt;0),"✓ OK","✗ ERROR: Revisa datos")</f>
        <v/>
      </c>
      <c r="S499" s="6">
        <f>IF(A499&lt;&gt;"",TODAY()-A499,"")</f>
        <v/>
      </c>
      <c r="T499" s="4">
        <f>IF(E499="USD",F499,IF(E499="CRC",F499/CONFIG!$B$5,""))</f>
        <v/>
      </c>
      <c r="U499" s="19">
        <f>IF(A499&lt;&gt;"",A499+30,"")</f>
        <v/>
      </c>
      <c r="V499">
        <f>IF(AND(C499="CxP",S499&gt;60),"Alta",IF(AND(C499="CxP",S499&gt;30),"Media",IF(C499="CxP","Baja","")))</f>
        <v/>
      </c>
      <c r="W499">
        <f>IF(AND(C499="CxC",S499&gt;90),"Alta",IF(AND(C499="CxC",S499&gt;60),"Media",IF(C499="CxC","Baja","")))</f>
        <v/>
      </c>
    </row>
    <row r="500">
      <c r="A500" s="19" t="n"/>
      <c r="F500" s="20" t="n"/>
      <c r="Q500" s="10">
        <f>IF(E500="USD",CONFIG!$B$5,1)</f>
        <v/>
      </c>
      <c r="R500">
        <f>IF(AND(A500&lt;&gt;"",ISNUMBER(A500),B500&lt;&gt;"",C500&lt;&gt;"",OR(E500="USD",E500="CRC"),F500&gt;0,ISNUMBER(Q500),Q500&gt;0),"✓ OK","✗ ERROR: Revisa datos")</f>
        <v/>
      </c>
      <c r="S500" s="6">
        <f>IF(A500&lt;&gt;"",TODAY()-A500,"")</f>
        <v/>
      </c>
      <c r="T500" s="4">
        <f>IF(E500="USD",F500,IF(E500="CRC",F500/CONFIG!$B$5,""))</f>
        <v/>
      </c>
      <c r="U500" s="19">
        <f>IF(A500&lt;&gt;"",A500+30,"")</f>
        <v/>
      </c>
      <c r="V500">
        <f>IF(AND(C500="CxP",S500&gt;60),"Alta",IF(AND(C500="CxP",S500&gt;30),"Media",IF(C500="CxP","Baja","")))</f>
        <v/>
      </c>
      <c r="W500">
        <f>IF(AND(C500="CxC",S500&gt;90),"Alta",IF(AND(C500="CxC",S500&gt;60),"Media",IF(C500="CxC","Baja","")))</f>
        <v/>
      </c>
    </row>
    <row r="501">
      <c r="A501" s="19" t="n"/>
      <c r="F501" s="20" t="n"/>
      <c r="Q501" s="10">
        <f>IF(E501="USD",CONFIG!$B$5,1)</f>
        <v/>
      </c>
      <c r="R501">
        <f>IF(AND(A501&lt;&gt;"",ISNUMBER(A501),B501&lt;&gt;"",C501&lt;&gt;"",OR(E501="USD",E501="CRC"),F501&gt;0,ISNUMBER(Q501),Q501&gt;0),"✓ OK","✗ ERROR: Revisa datos")</f>
        <v/>
      </c>
      <c r="S501" s="6">
        <f>IF(A501&lt;&gt;"",TODAY()-A501,"")</f>
        <v/>
      </c>
      <c r="T501" s="4">
        <f>IF(E501="USD",F501,IF(E501="CRC",F501/CONFIG!$B$5,""))</f>
        <v/>
      </c>
      <c r="U501" s="19">
        <f>IF(A501&lt;&gt;"",A501+30,"")</f>
        <v/>
      </c>
      <c r="V501">
        <f>IF(AND(C501="CxP",S501&gt;60),"Alta",IF(AND(C501="CxP",S501&gt;30),"Media",IF(C501="CxP","Baja","")))</f>
        <v/>
      </c>
      <c r="W501">
        <f>IF(AND(C501="CxC",S501&gt;90),"Alta",IF(AND(C501="CxC",S501&gt;60),"Media",IF(C501="CxC","Baja","")))</f>
        <v/>
      </c>
    </row>
    <row r="502">
      <c r="A502" s="19" t="n"/>
      <c r="F502" s="20" t="n"/>
      <c r="Q502" s="10">
        <f>IF(E502="USD",CONFIG!$B$5,1)</f>
        <v/>
      </c>
      <c r="R502">
        <f>IF(AND(A502&lt;&gt;"",ISNUMBER(A502),B502&lt;&gt;"",C502&lt;&gt;"",OR(E502="USD",E502="CRC"),F502&gt;0,ISNUMBER(Q502),Q502&gt;0),"✓ OK","✗ ERROR: Revisa datos")</f>
        <v/>
      </c>
      <c r="S502" s="6">
        <f>IF(A502&lt;&gt;"",TODAY()-A502,"")</f>
        <v/>
      </c>
      <c r="T502" s="4">
        <f>IF(E502="USD",F502,IF(E502="CRC",F502/CONFIG!$B$5,""))</f>
        <v/>
      </c>
      <c r="U502" s="19">
        <f>IF(A502&lt;&gt;"",A502+30,"")</f>
        <v/>
      </c>
      <c r="V502">
        <f>IF(AND(C502="CxP",S502&gt;60),"Alta",IF(AND(C502="CxP",S502&gt;30),"Media",IF(C502="CxP","Baja","")))</f>
        <v/>
      </c>
      <c r="W502">
        <f>IF(AND(C502="CxC",S502&gt;90),"Alta",IF(AND(C502="CxC",S502&gt;60),"Media",IF(C502="CxC","Baja","")))</f>
        <v/>
      </c>
    </row>
    <row r="503">
      <c r="A503" s="19" t="n"/>
      <c r="F503" s="20" t="n"/>
      <c r="Q503" s="10">
        <f>IF(E503="USD",CONFIG!$B$5,1)</f>
        <v/>
      </c>
      <c r="R503">
        <f>IF(AND(A503&lt;&gt;"",ISNUMBER(A503),B503&lt;&gt;"",C503&lt;&gt;"",OR(E503="USD",E503="CRC"),F503&gt;0,ISNUMBER(Q503),Q503&gt;0),"✓ OK","✗ ERROR: Revisa datos")</f>
        <v/>
      </c>
      <c r="S503" s="6">
        <f>IF(A503&lt;&gt;"",TODAY()-A503,"")</f>
        <v/>
      </c>
      <c r="T503" s="4">
        <f>IF(E503="USD",F503,IF(E503="CRC",F503/CONFIG!$B$5,""))</f>
        <v/>
      </c>
      <c r="U503" s="19">
        <f>IF(A503&lt;&gt;"",A503+30,"")</f>
        <v/>
      </c>
      <c r="V503">
        <f>IF(AND(C503="CxP",S503&gt;60),"Alta",IF(AND(C503="CxP",S503&gt;30),"Media",IF(C503="CxP","Baja","")))</f>
        <v/>
      </c>
      <c r="W503">
        <f>IF(AND(C503="CxC",S503&gt;90),"Alta",IF(AND(C503="CxC",S503&gt;60),"Media",IF(C503="CxC","Baja","")))</f>
        <v/>
      </c>
    </row>
    <row r="504">
      <c r="A504" s="19" t="n"/>
      <c r="F504" s="20" t="n"/>
      <c r="Q504" s="10">
        <f>IF(E504="USD",CONFIG!$B$5,1)</f>
        <v/>
      </c>
      <c r="R504">
        <f>IF(AND(A504&lt;&gt;"",ISNUMBER(A504),B504&lt;&gt;"",C504&lt;&gt;"",OR(E504="USD",E504="CRC"),F504&gt;0,ISNUMBER(Q504),Q504&gt;0),"✓ OK","✗ ERROR: Revisa datos")</f>
        <v/>
      </c>
      <c r="S504" s="6">
        <f>IF(A504&lt;&gt;"",TODAY()-A504,"")</f>
        <v/>
      </c>
      <c r="T504" s="4">
        <f>IF(E504="USD",F504,IF(E504="CRC",F504/CONFIG!$B$5,""))</f>
        <v/>
      </c>
      <c r="U504" s="19">
        <f>IF(A504&lt;&gt;"",A504+30,"")</f>
        <v/>
      </c>
      <c r="V504">
        <f>IF(AND(C504="CxP",S504&gt;60),"Alta",IF(AND(C504="CxP",S504&gt;30),"Media",IF(C504="CxP","Baja","")))</f>
        <v/>
      </c>
      <c r="W504">
        <f>IF(AND(C504="CxC",S504&gt;90),"Alta",IF(AND(C504="CxC",S504&gt;60),"Media",IF(C504="CxC","Baja","")))</f>
        <v/>
      </c>
    </row>
    <row r="505">
      <c r="A505" s="19" t="n"/>
      <c r="F505" s="20" t="n"/>
      <c r="Q505" s="10">
        <f>IF(E505="USD",CONFIG!$B$5,1)</f>
        <v/>
      </c>
      <c r="R505">
        <f>IF(AND(A505&lt;&gt;"",ISNUMBER(A505),B505&lt;&gt;"",C505&lt;&gt;"",OR(E505="USD",E505="CRC"),F505&gt;0,ISNUMBER(Q505),Q505&gt;0),"✓ OK","✗ ERROR: Revisa datos")</f>
        <v/>
      </c>
      <c r="S505" s="6">
        <f>IF(A505&lt;&gt;"",TODAY()-A505,"")</f>
        <v/>
      </c>
      <c r="T505" s="4">
        <f>IF(E505="USD",F505,IF(E505="CRC",F505/CONFIG!$B$5,""))</f>
        <v/>
      </c>
      <c r="U505" s="19">
        <f>IF(A505&lt;&gt;"",A505+30,"")</f>
        <v/>
      </c>
      <c r="V505">
        <f>IF(AND(C505="CxP",S505&gt;60),"Alta",IF(AND(C505="CxP",S505&gt;30),"Media",IF(C505="CxP","Baja","")))</f>
        <v/>
      </c>
      <c r="W505">
        <f>IF(AND(C505="CxC",S505&gt;90),"Alta",IF(AND(C505="CxC",S505&gt;60),"Media",IF(C505="CxC","Baja","")))</f>
        <v/>
      </c>
    </row>
    <row r="506">
      <c r="A506" s="19" t="n"/>
      <c r="F506" s="20" t="n"/>
      <c r="Q506" s="10">
        <f>IF(E506="USD",CONFIG!$B$5,1)</f>
        <v/>
      </c>
      <c r="R506">
        <f>IF(AND(A506&lt;&gt;"",ISNUMBER(A506),B506&lt;&gt;"",C506&lt;&gt;"",OR(E506="USD",E506="CRC"),F506&gt;0,ISNUMBER(Q506),Q506&gt;0),"✓ OK","✗ ERROR: Revisa datos")</f>
        <v/>
      </c>
      <c r="S506" s="6">
        <f>IF(A506&lt;&gt;"",TODAY()-A506,"")</f>
        <v/>
      </c>
      <c r="T506" s="4">
        <f>IF(E506="USD",F506,IF(E506="CRC",F506/CONFIG!$B$5,""))</f>
        <v/>
      </c>
      <c r="U506" s="19">
        <f>IF(A506&lt;&gt;"",A506+30,"")</f>
        <v/>
      </c>
      <c r="V506">
        <f>IF(AND(C506="CxP",S506&gt;60),"Alta",IF(AND(C506="CxP",S506&gt;30),"Media",IF(C506="CxP","Baja","")))</f>
        <v/>
      </c>
      <c r="W506">
        <f>IF(AND(C506="CxC",S506&gt;90),"Alta",IF(AND(C506="CxC",S506&gt;60),"Media",IF(C506="CxC","Baja","")))</f>
        <v/>
      </c>
    </row>
    <row r="507">
      <c r="A507" s="19" t="n"/>
      <c r="F507" s="20" t="n"/>
      <c r="Q507" s="10">
        <f>IF(E507="USD",CONFIG!$B$5,1)</f>
        <v/>
      </c>
      <c r="R507">
        <f>IF(AND(A507&lt;&gt;"",ISNUMBER(A507),B507&lt;&gt;"",C507&lt;&gt;"",OR(E507="USD",E507="CRC"),F507&gt;0,ISNUMBER(Q507),Q507&gt;0),"✓ OK","✗ ERROR: Revisa datos")</f>
        <v/>
      </c>
      <c r="S507" s="6">
        <f>IF(A507&lt;&gt;"",TODAY()-A507,"")</f>
        <v/>
      </c>
      <c r="T507" s="4">
        <f>IF(E507="USD",F507,IF(E507="CRC",F507/CONFIG!$B$5,""))</f>
        <v/>
      </c>
      <c r="U507" s="19">
        <f>IF(A507&lt;&gt;"",A507+30,"")</f>
        <v/>
      </c>
      <c r="V507">
        <f>IF(AND(C507="CxP",S507&gt;60),"Alta",IF(AND(C507="CxP",S507&gt;30),"Media",IF(C507="CxP","Baja","")))</f>
        <v/>
      </c>
      <c r="W507">
        <f>IF(AND(C507="CxC",S507&gt;90),"Alta",IF(AND(C507="CxC",S507&gt;60),"Media",IF(C507="CxC","Baja","")))</f>
        <v/>
      </c>
    </row>
    <row r="508">
      <c r="A508" s="19" t="n"/>
      <c r="F508" s="20" t="n"/>
      <c r="Q508" s="10">
        <f>IF(E508="USD",CONFIG!$B$5,1)</f>
        <v/>
      </c>
      <c r="R508">
        <f>IF(AND(A508&lt;&gt;"",ISNUMBER(A508),B508&lt;&gt;"",C508&lt;&gt;"",OR(E508="USD",E508="CRC"),F508&gt;0,ISNUMBER(Q508),Q508&gt;0),"✓ OK","✗ ERROR: Revisa datos")</f>
        <v/>
      </c>
      <c r="S508" s="6">
        <f>IF(A508&lt;&gt;"",TODAY()-A508,"")</f>
        <v/>
      </c>
      <c r="T508" s="4">
        <f>IF(E508="USD",F508,IF(E508="CRC",F508/CONFIG!$B$5,""))</f>
        <v/>
      </c>
      <c r="U508" s="19">
        <f>IF(A508&lt;&gt;"",A508+30,"")</f>
        <v/>
      </c>
      <c r="V508">
        <f>IF(AND(C508="CxP",S508&gt;60),"Alta",IF(AND(C508="CxP",S508&gt;30),"Media",IF(C508="CxP","Baja","")))</f>
        <v/>
      </c>
      <c r="W508">
        <f>IF(AND(C508="CxC",S508&gt;90),"Alta",IF(AND(C508="CxC",S508&gt;60),"Media",IF(C508="CxC","Baja","")))</f>
        <v/>
      </c>
    </row>
    <row r="509">
      <c r="A509" s="19" t="n"/>
      <c r="F509" s="20" t="n"/>
      <c r="Q509" s="10">
        <f>IF(E509="USD",CONFIG!$B$5,1)</f>
        <v/>
      </c>
      <c r="R509">
        <f>IF(AND(A509&lt;&gt;"",ISNUMBER(A509),B509&lt;&gt;"",C509&lt;&gt;"",OR(E509="USD",E509="CRC"),F509&gt;0,ISNUMBER(Q509),Q509&gt;0),"✓ OK","✗ ERROR: Revisa datos")</f>
        <v/>
      </c>
      <c r="S509" s="6">
        <f>IF(A509&lt;&gt;"",TODAY()-A509,"")</f>
        <v/>
      </c>
      <c r="T509" s="4">
        <f>IF(E509="USD",F509,IF(E509="CRC",F509/CONFIG!$B$5,""))</f>
        <v/>
      </c>
      <c r="U509" s="19">
        <f>IF(A509&lt;&gt;"",A509+30,"")</f>
        <v/>
      </c>
      <c r="V509">
        <f>IF(AND(C509="CxP",S509&gt;60),"Alta",IF(AND(C509="CxP",S509&gt;30),"Media",IF(C509="CxP","Baja","")))</f>
        <v/>
      </c>
      <c r="W509">
        <f>IF(AND(C509="CxC",S509&gt;90),"Alta",IF(AND(C509="CxC",S509&gt;60),"Media",IF(C509="CxC","Baja","")))</f>
        <v/>
      </c>
    </row>
    <row r="510">
      <c r="A510" s="19" t="n"/>
      <c r="F510" s="20" t="n"/>
      <c r="Q510" s="10">
        <f>IF(E510="USD",CONFIG!$B$5,1)</f>
        <v/>
      </c>
      <c r="R510">
        <f>IF(AND(A510&lt;&gt;"",ISNUMBER(A510),B510&lt;&gt;"",C510&lt;&gt;"",OR(E510="USD",E510="CRC"),F510&gt;0,ISNUMBER(Q510),Q510&gt;0),"✓ OK","✗ ERROR: Revisa datos")</f>
        <v/>
      </c>
      <c r="S510" s="6">
        <f>IF(A510&lt;&gt;"",TODAY()-A510,"")</f>
        <v/>
      </c>
      <c r="T510" s="4">
        <f>IF(E510="USD",F510,IF(E510="CRC",F510/CONFIG!$B$5,""))</f>
        <v/>
      </c>
      <c r="U510" s="19">
        <f>IF(A510&lt;&gt;"",A510+30,"")</f>
        <v/>
      </c>
      <c r="V510">
        <f>IF(AND(C510="CxP",S510&gt;60),"Alta",IF(AND(C510="CxP",S510&gt;30),"Media",IF(C510="CxP","Baja","")))</f>
        <v/>
      </c>
      <c r="W510">
        <f>IF(AND(C510="CxC",S510&gt;90),"Alta",IF(AND(C510="CxC",S510&gt;60),"Media",IF(C510="CxC","Baja","")))</f>
        <v/>
      </c>
    </row>
    <row r="511">
      <c r="A511" s="19" t="n"/>
      <c r="F511" s="20" t="n"/>
      <c r="Q511" s="10">
        <f>IF(E511="USD",CONFIG!$B$5,1)</f>
        <v/>
      </c>
      <c r="R511">
        <f>IF(AND(A511&lt;&gt;"",ISNUMBER(A511),B511&lt;&gt;"",C511&lt;&gt;"",OR(E511="USD",E511="CRC"),F511&gt;0,ISNUMBER(Q511),Q511&gt;0),"✓ OK","✗ ERROR: Revisa datos")</f>
        <v/>
      </c>
      <c r="S511" s="6">
        <f>IF(A511&lt;&gt;"",TODAY()-A511,"")</f>
        <v/>
      </c>
      <c r="T511" s="4">
        <f>IF(E511="USD",F511,IF(E511="CRC",F511/CONFIG!$B$5,""))</f>
        <v/>
      </c>
      <c r="U511" s="19">
        <f>IF(A511&lt;&gt;"",A511+30,"")</f>
        <v/>
      </c>
      <c r="V511">
        <f>IF(AND(C511="CxP",S511&gt;60),"Alta",IF(AND(C511="CxP",S511&gt;30),"Media",IF(C511="CxP","Baja","")))</f>
        <v/>
      </c>
      <c r="W511">
        <f>IF(AND(C511="CxC",S511&gt;90),"Alta",IF(AND(C511="CxC",S511&gt;60),"Media",IF(C511="CxC","Baja","")))</f>
        <v/>
      </c>
    </row>
    <row r="512">
      <c r="A512" s="19" t="n"/>
      <c r="F512" s="20" t="n"/>
      <c r="Q512" s="10">
        <f>IF(E512="USD",CONFIG!$B$5,1)</f>
        <v/>
      </c>
      <c r="R512">
        <f>IF(AND(A512&lt;&gt;"",ISNUMBER(A512),B512&lt;&gt;"",C512&lt;&gt;"",OR(E512="USD",E512="CRC"),F512&gt;0,ISNUMBER(Q512),Q512&gt;0),"✓ OK","✗ ERROR: Revisa datos")</f>
        <v/>
      </c>
      <c r="S512" s="6">
        <f>IF(A512&lt;&gt;"",TODAY()-A512,"")</f>
        <v/>
      </c>
      <c r="T512" s="4">
        <f>IF(E512="USD",F512,IF(E512="CRC",F512/CONFIG!$B$5,""))</f>
        <v/>
      </c>
      <c r="U512" s="19">
        <f>IF(A512&lt;&gt;"",A512+30,"")</f>
        <v/>
      </c>
      <c r="V512">
        <f>IF(AND(C512="CxP",S512&gt;60),"Alta",IF(AND(C512="CxP",S512&gt;30),"Media",IF(C512="CxP","Baja","")))</f>
        <v/>
      </c>
      <c r="W512">
        <f>IF(AND(C512="CxC",S512&gt;90),"Alta",IF(AND(C512="CxC",S512&gt;60),"Media",IF(C512="CxC","Baja","")))</f>
        <v/>
      </c>
    </row>
    <row r="513">
      <c r="A513" s="19" t="n"/>
      <c r="F513" s="20" t="n"/>
      <c r="Q513" s="10">
        <f>IF(E513="USD",CONFIG!$B$5,1)</f>
        <v/>
      </c>
      <c r="R513">
        <f>IF(AND(A513&lt;&gt;"",ISNUMBER(A513),B513&lt;&gt;"",C513&lt;&gt;"",OR(E513="USD",E513="CRC"),F513&gt;0,ISNUMBER(Q513),Q513&gt;0),"✓ OK","✗ ERROR: Revisa datos")</f>
        <v/>
      </c>
      <c r="S513" s="6">
        <f>IF(A513&lt;&gt;"",TODAY()-A513,"")</f>
        <v/>
      </c>
      <c r="T513" s="4">
        <f>IF(E513="USD",F513,IF(E513="CRC",F513/CONFIG!$B$5,""))</f>
        <v/>
      </c>
      <c r="U513" s="19">
        <f>IF(A513&lt;&gt;"",A513+30,"")</f>
        <v/>
      </c>
      <c r="V513">
        <f>IF(AND(C513="CxP",S513&gt;60),"Alta",IF(AND(C513="CxP",S513&gt;30),"Media",IF(C513="CxP","Baja","")))</f>
        <v/>
      </c>
      <c r="W513">
        <f>IF(AND(C513="CxC",S513&gt;90),"Alta",IF(AND(C513="CxC",S513&gt;60),"Media",IF(C513="CxC","Baja","")))</f>
        <v/>
      </c>
    </row>
    <row r="514">
      <c r="A514" s="19" t="n"/>
      <c r="F514" s="20" t="n"/>
      <c r="Q514" s="10">
        <f>IF(E514="USD",CONFIG!$B$5,1)</f>
        <v/>
      </c>
      <c r="R514">
        <f>IF(AND(A514&lt;&gt;"",ISNUMBER(A514),B514&lt;&gt;"",C514&lt;&gt;"",OR(E514="USD",E514="CRC"),F514&gt;0,ISNUMBER(Q514),Q514&gt;0),"✓ OK","✗ ERROR: Revisa datos")</f>
        <v/>
      </c>
      <c r="S514" s="6">
        <f>IF(A514&lt;&gt;"",TODAY()-A514,"")</f>
        <v/>
      </c>
      <c r="T514" s="4">
        <f>IF(E514="USD",F514,IF(E514="CRC",F514/CONFIG!$B$5,""))</f>
        <v/>
      </c>
      <c r="U514" s="19">
        <f>IF(A514&lt;&gt;"",A514+30,"")</f>
        <v/>
      </c>
      <c r="V514">
        <f>IF(AND(C514="CxP",S514&gt;60),"Alta",IF(AND(C514="CxP",S514&gt;30),"Media",IF(C514="CxP","Baja","")))</f>
        <v/>
      </c>
      <c r="W514">
        <f>IF(AND(C514="CxC",S514&gt;90),"Alta",IF(AND(C514="CxC",S514&gt;60),"Media",IF(C514="CxC","Baja","")))</f>
        <v/>
      </c>
    </row>
    <row r="515">
      <c r="A515" s="19" t="n"/>
      <c r="F515" s="20" t="n"/>
      <c r="Q515" s="10">
        <f>IF(E515="USD",CONFIG!$B$5,1)</f>
        <v/>
      </c>
      <c r="R515">
        <f>IF(AND(A515&lt;&gt;"",ISNUMBER(A515),B515&lt;&gt;"",C515&lt;&gt;"",OR(E515="USD",E515="CRC"),F515&gt;0,ISNUMBER(Q515),Q515&gt;0),"✓ OK","✗ ERROR: Revisa datos")</f>
        <v/>
      </c>
      <c r="S515" s="6">
        <f>IF(A515&lt;&gt;"",TODAY()-A515,"")</f>
        <v/>
      </c>
      <c r="T515" s="4">
        <f>IF(E515="USD",F515,IF(E515="CRC",F515/CONFIG!$B$5,""))</f>
        <v/>
      </c>
      <c r="U515" s="19">
        <f>IF(A515&lt;&gt;"",A515+30,"")</f>
        <v/>
      </c>
      <c r="V515">
        <f>IF(AND(C515="CxP",S515&gt;60),"Alta",IF(AND(C515="CxP",S515&gt;30),"Media",IF(C515="CxP","Baja","")))</f>
        <v/>
      </c>
      <c r="W515">
        <f>IF(AND(C515="CxC",S515&gt;90),"Alta",IF(AND(C515="CxC",S515&gt;60),"Media",IF(C515="CxC","Baja","")))</f>
        <v/>
      </c>
    </row>
    <row r="516">
      <c r="A516" s="19" t="n"/>
      <c r="F516" s="20" t="n"/>
      <c r="Q516" s="10">
        <f>IF(E516="USD",CONFIG!$B$5,1)</f>
        <v/>
      </c>
      <c r="R516">
        <f>IF(AND(A516&lt;&gt;"",ISNUMBER(A516),B516&lt;&gt;"",C516&lt;&gt;"",OR(E516="USD",E516="CRC"),F516&gt;0,ISNUMBER(Q516),Q516&gt;0),"✓ OK","✗ ERROR: Revisa datos")</f>
        <v/>
      </c>
      <c r="S516" s="6">
        <f>IF(A516&lt;&gt;"",TODAY()-A516,"")</f>
        <v/>
      </c>
      <c r="T516" s="4">
        <f>IF(E516="USD",F516,IF(E516="CRC",F516/CONFIG!$B$5,""))</f>
        <v/>
      </c>
      <c r="U516" s="19">
        <f>IF(A516&lt;&gt;"",A516+30,"")</f>
        <v/>
      </c>
      <c r="V516">
        <f>IF(AND(C516="CxP",S516&gt;60),"Alta",IF(AND(C516="CxP",S516&gt;30),"Media",IF(C516="CxP","Baja","")))</f>
        <v/>
      </c>
      <c r="W516">
        <f>IF(AND(C516="CxC",S516&gt;90),"Alta",IF(AND(C516="CxC",S516&gt;60),"Media",IF(C516="CxC","Baja","")))</f>
        <v/>
      </c>
    </row>
    <row r="517">
      <c r="A517" s="19" t="n"/>
      <c r="F517" s="20" t="n"/>
      <c r="Q517" s="10">
        <f>IF(E517="USD",CONFIG!$B$5,1)</f>
        <v/>
      </c>
      <c r="R517">
        <f>IF(AND(A517&lt;&gt;"",ISNUMBER(A517),B517&lt;&gt;"",C517&lt;&gt;"",OR(E517="USD",E517="CRC"),F517&gt;0,ISNUMBER(Q517),Q517&gt;0),"✓ OK","✗ ERROR: Revisa datos")</f>
        <v/>
      </c>
      <c r="S517" s="6">
        <f>IF(A517&lt;&gt;"",TODAY()-A517,"")</f>
        <v/>
      </c>
      <c r="T517" s="4">
        <f>IF(E517="USD",F517,IF(E517="CRC",F517/CONFIG!$B$5,""))</f>
        <v/>
      </c>
      <c r="U517" s="19">
        <f>IF(A517&lt;&gt;"",A517+30,"")</f>
        <v/>
      </c>
      <c r="V517">
        <f>IF(AND(C517="CxP",S517&gt;60),"Alta",IF(AND(C517="CxP",S517&gt;30),"Media",IF(C517="CxP","Baja","")))</f>
        <v/>
      </c>
      <c r="W517">
        <f>IF(AND(C517="CxC",S517&gt;90),"Alta",IF(AND(C517="CxC",S517&gt;60),"Media",IF(C517="CxC","Baja","")))</f>
        <v/>
      </c>
    </row>
    <row r="518">
      <c r="A518" s="19" t="n"/>
      <c r="F518" s="20" t="n"/>
      <c r="Q518" s="10">
        <f>IF(E518="USD",CONFIG!$B$5,1)</f>
        <v/>
      </c>
      <c r="R518">
        <f>IF(AND(A518&lt;&gt;"",ISNUMBER(A518),B518&lt;&gt;"",C518&lt;&gt;"",OR(E518="USD",E518="CRC"),F518&gt;0,ISNUMBER(Q518),Q518&gt;0),"✓ OK","✗ ERROR: Revisa datos")</f>
        <v/>
      </c>
      <c r="S518" s="6">
        <f>IF(A518&lt;&gt;"",TODAY()-A518,"")</f>
        <v/>
      </c>
      <c r="T518" s="4">
        <f>IF(E518="USD",F518,IF(E518="CRC",F518/CONFIG!$B$5,""))</f>
        <v/>
      </c>
      <c r="U518" s="19">
        <f>IF(A518&lt;&gt;"",A518+30,"")</f>
        <v/>
      </c>
      <c r="V518">
        <f>IF(AND(C518="CxP",S518&gt;60),"Alta",IF(AND(C518="CxP",S518&gt;30),"Media",IF(C518="CxP","Baja","")))</f>
        <v/>
      </c>
      <c r="W518">
        <f>IF(AND(C518="CxC",S518&gt;90),"Alta",IF(AND(C518="CxC",S518&gt;60),"Media",IF(C518="CxC","Baja","")))</f>
        <v/>
      </c>
    </row>
    <row r="519">
      <c r="A519" s="19" t="n"/>
      <c r="F519" s="20" t="n"/>
      <c r="Q519" s="10">
        <f>IF(E519="USD",CONFIG!$B$5,1)</f>
        <v/>
      </c>
      <c r="R519">
        <f>IF(AND(A519&lt;&gt;"",ISNUMBER(A519),B519&lt;&gt;"",C519&lt;&gt;"",OR(E519="USD",E519="CRC"),F519&gt;0,ISNUMBER(Q519),Q519&gt;0),"✓ OK","✗ ERROR: Revisa datos")</f>
        <v/>
      </c>
      <c r="S519" s="6">
        <f>IF(A519&lt;&gt;"",TODAY()-A519,"")</f>
        <v/>
      </c>
      <c r="T519" s="4">
        <f>IF(E519="USD",F519,IF(E519="CRC",F519/CONFIG!$B$5,""))</f>
        <v/>
      </c>
      <c r="U519" s="19">
        <f>IF(A519&lt;&gt;"",A519+30,"")</f>
        <v/>
      </c>
      <c r="V519">
        <f>IF(AND(C519="CxP",S519&gt;60),"Alta",IF(AND(C519="CxP",S519&gt;30),"Media",IF(C519="CxP","Baja","")))</f>
        <v/>
      </c>
      <c r="W519">
        <f>IF(AND(C519="CxC",S519&gt;90),"Alta",IF(AND(C519="CxC",S519&gt;60),"Media",IF(C519="CxC","Baja","")))</f>
        <v/>
      </c>
    </row>
    <row r="520">
      <c r="A520" s="19" t="n"/>
      <c r="F520" s="20" t="n"/>
      <c r="Q520" s="10">
        <f>IF(E520="USD",CONFIG!$B$5,1)</f>
        <v/>
      </c>
      <c r="R520">
        <f>IF(AND(A520&lt;&gt;"",ISNUMBER(A520),B520&lt;&gt;"",C520&lt;&gt;"",OR(E520="USD",E520="CRC"),F520&gt;0,ISNUMBER(Q520),Q520&gt;0),"✓ OK","✗ ERROR: Revisa datos")</f>
        <v/>
      </c>
      <c r="S520" s="6">
        <f>IF(A520&lt;&gt;"",TODAY()-A520,"")</f>
        <v/>
      </c>
      <c r="T520" s="4">
        <f>IF(E520="USD",F520,IF(E520="CRC",F520/CONFIG!$B$5,""))</f>
        <v/>
      </c>
      <c r="U520" s="19">
        <f>IF(A520&lt;&gt;"",A520+30,"")</f>
        <v/>
      </c>
      <c r="V520">
        <f>IF(AND(C520="CxP",S520&gt;60),"Alta",IF(AND(C520="CxP",S520&gt;30),"Media",IF(C520="CxP","Baja","")))</f>
        <v/>
      </c>
      <c r="W520">
        <f>IF(AND(C520="CxC",S520&gt;90),"Alta",IF(AND(C520="CxC",S520&gt;60),"Media",IF(C520="CxC","Baja","")))</f>
        <v/>
      </c>
    </row>
    <row r="521">
      <c r="A521" s="19" t="n"/>
      <c r="F521" s="20" t="n"/>
      <c r="Q521" s="10">
        <f>IF(E521="USD",CONFIG!$B$5,1)</f>
        <v/>
      </c>
      <c r="R521">
        <f>IF(AND(A521&lt;&gt;"",ISNUMBER(A521),B521&lt;&gt;"",C521&lt;&gt;"",OR(E521="USD",E521="CRC"),F521&gt;0,ISNUMBER(Q521),Q521&gt;0),"✓ OK","✗ ERROR: Revisa datos")</f>
        <v/>
      </c>
      <c r="S521" s="6">
        <f>IF(A521&lt;&gt;"",TODAY()-A521,"")</f>
        <v/>
      </c>
      <c r="T521" s="4">
        <f>IF(E521="USD",F521,IF(E521="CRC",F521/CONFIG!$B$5,""))</f>
        <v/>
      </c>
      <c r="U521" s="19">
        <f>IF(A521&lt;&gt;"",A521+30,"")</f>
        <v/>
      </c>
      <c r="V521">
        <f>IF(AND(C521="CxP",S521&gt;60),"Alta",IF(AND(C521="CxP",S521&gt;30),"Media",IF(C521="CxP","Baja","")))</f>
        <v/>
      </c>
      <c r="W521">
        <f>IF(AND(C521="CxC",S521&gt;90),"Alta",IF(AND(C521="CxC",S521&gt;60),"Media",IF(C521="CxC","Baja","")))</f>
        <v/>
      </c>
    </row>
    <row r="522">
      <c r="A522" s="19" t="n"/>
      <c r="F522" s="20" t="n"/>
      <c r="Q522" s="10">
        <f>IF(E522="USD",CONFIG!$B$5,1)</f>
        <v/>
      </c>
      <c r="R522">
        <f>IF(AND(A522&lt;&gt;"",ISNUMBER(A522),B522&lt;&gt;"",C522&lt;&gt;"",OR(E522="USD",E522="CRC"),F522&gt;0,ISNUMBER(Q522),Q522&gt;0),"✓ OK","✗ ERROR: Revisa datos")</f>
        <v/>
      </c>
      <c r="S522" s="6">
        <f>IF(A522&lt;&gt;"",TODAY()-A522,"")</f>
        <v/>
      </c>
      <c r="T522" s="4">
        <f>IF(E522="USD",F522,IF(E522="CRC",F522/CONFIG!$B$5,""))</f>
        <v/>
      </c>
      <c r="U522" s="19">
        <f>IF(A522&lt;&gt;"",A522+30,"")</f>
        <v/>
      </c>
      <c r="V522">
        <f>IF(AND(C522="CxP",S522&gt;60),"Alta",IF(AND(C522="CxP",S522&gt;30),"Media",IF(C522="CxP","Baja","")))</f>
        <v/>
      </c>
      <c r="W522">
        <f>IF(AND(C522="CxC",S522&gt;90),"Alta",IF(AND(C522="CxC",S522&gt;60),"Media",IF(C522="CxC","Baja","")))</f>
        <v/>
      </c>
    </row>
    <row r="523">
      <c r="A523" s="19" t="n"/>
      <c r="F523" s="20" t="n"/>
      <c r="Q523" s="10">
        <f>IF(E523="USD",CONFIG!$B$5,1)</f>
        <v/>
      </c>
      <c r="R523">
        <f>IF(AND(A523&lt;&gt;"",ISNUMBER(A523),B523&lt;&gt;"",C523&lt;&gt;"",OR(E523="USD",E523="CRC"),F523&gt;0,ISNUMBER(Q523),Q523&gt;0),"✓ OK","✗ ERROR: Revisa datos")</f>
        <v/>
      </c>
      <c r="S523" s="6">
        <f>IF(A523&lt;&gt;"",TODAY()-A523,"")</f>
        <v/>
      </c>
      <c r="T523" s="4">
        <f>IF(E523="USD",F523,IF(E523="CRC",F523/CONFIG!$B$5,""))</f>
        <v/>
      </c>
      <c r="U523" s="19">
        <f>IF(A523&lt;&gt;"",A523+30,"")</f>
        <v/>
      </c>
      <c r="V523">
        <f>IF(AND(C523="CxP",S523&gt;60),"Alta",IF(AND(C523="CxP",S523&gt;30),"Media",IF(C523="CxP","Baja","")))</f>
        <v/>
      </c>
      <c r="W523">
        <f>IF(AND(C523="CxC",S523&gt;90),"Alta",IF(AND(C523="CxC",S523&gt;60),"Media",IF(C523="CxC","Baja","")))</f>
        <v/>
      </c>
    </row>
    <row r="524">
      <c r="A524" s="19" t="n"/>
      <c r="F524" s="20" t="n"/>
      <c r="Q524" s="10">
        <f>IF(E524="USD",CONFIG!$B$5,1)</f>
        <v/>
      </c>
      <c r="R524">
        <f>IF(AND(A524&lt;&gt;"",ISNUMBER(A524),B524&lt;&gt;"",C524&lt;&gt;"",OR(E524="USD",E524="CRC"),F524&gt;0,ISNUMBER(Q524),Q524&gt;0),"✓ OK","✗ ERROR: Revisa datos")</f>
        <v/>
      </c>
      <c r="S524" s="6">
        <f>IF(A524&lt;&gt;"",TODAY()-A524,"")</f>
        <v/>
      </c>
      <c r="T524" s="4">
        <f>IF(E524="USD",F524,IF(E524="CRC",F524/CONFIG!$B$5,""))</f>
        <v/>
      </c>
      <c r="U524" s="19">
        <f>IF(A524&lt;&gt;"",A524+30,"")</f>
        <v/>
      </c>
      <c r="V524">
        <f>IF(AND(C524="CxP",S524&gt;60),"Alta",IF(AND(C524="CxP",S524&gt;30),"Media",IF(C524="CxP","Baja","")))</f>
        <v/>
      </c>
      <c r="W524">
        <f>IF(AND(C524="CxC",S524&gt;90),"Alta",IF(AND(C524="CxC",S524&gt;60),"Media",IF(C524="CxC","Baja","")))</f>
        <v/>
      </c>
    </row>
    <row r="525">
      <c r="A525" s="19" t="n"/>
      <c r="F525" s="20" t="n"/>
      <c r="Q525" s="10">
        <f>IF(E525="USD",CONFIG!$B$5,1)</f>
        <v/>
      </c>
      <c r="R525">
        <f>IF(AND(A525&lt;&gt;"",ISNUMBER(A525),B525&lt;&gt;"",C525&lt;&gt;"",OR(E525="USD",E525="CRC"),F525&gt;0,ISNUMBER(Q525),Q525&gt;0),"✓ OK","✗ ERROR: Revisa datos")</f>
        <v/>
      </c>
      <c r="S525" s="6">
        <f>IF(A525&lt;&gt;"",TODAY()-A525,"")</f>
        <v/>
      </c>
      <c r="T525" s="4">
        <f>IF(E525="USD",F525,IF(E525="CRC",F525/CONFIG!$B$5,""))</f>
        <v/>
      </c>
      <c r="U525" s="19">
        <f>IF(A525&lt;&gt;"",A525+30,"")</f>
        <v/>
      </c>
      <c r="V525">
        <f>IF(AND(C525="CxP",S525&gt;60),"Alta",IF(AND(C525="CxP",S525&gt;30),"Media",IF(C525="CxP","Baja","")))</f>
        <v/>
      </c>
      <c r="W525">
        <f>IF(AND(C525="CxC",S525&gt;90),"Alta",IF(AND(C525="CxC",S525&gt;60),"Media",IF(C525="CxC","Baja","")))</f>
        <v/>
      </c>
    </row>
    <row r="526">
      <c r="A526" s="19" t="n"/>
      <c r="F526" s="20" t="n"/>
      <c r="Q526" s="10">
        <f>IF(E526="USD",CONFIG!$B$5,1)</f>
        <v/>
      </c>
      <c r="R526">
        <f>IF(AND(A526&lt;&gt;"",ISNUMBER(A526),B526&lt;&gt;"",C526&lt;&gt;"",OR(E526="USD",E526="CRC"),F526&gt;0,ISNUMBER(Q526),Q526&gt;0),"✓ OK","✗ ERROR: Revisa datos")</f>
        <v/>
      </c>
      <c r="S526" s="6">
        <f>IF(A526&lt;&gt;"",TODAY()-A526,"")</f>
        <v/>
      </c>
      <c r="T526" s="4">
        <f>IF(E526="USD",F526,IF(E526="CRC",F526/CONFIG!$B$5,""))</f>
        <v/>
      </c>
      <c r="U526" s="19">
        <f>IF(A526&lt;&gt;"",A526+30,"")</f>
        <v/>
      </c>
      <c r="V526">
        <f>IF(AND(C526="CxP",S526&gt;60),"Alta",IF(AND(C526="CxP",S526&gt;30),"Media",IF(C526="CxP","Baja","")))</f>
        <v/>
      </c>
      <c r="W526">
        <f>IF(AND(C526="CxC",S526&gt;90),"Alta",IF(AND(C526="CxC",S526&gt;60),"Media",IF(C526="CxC","Baja","")))</f>
        <v/>
      </c>
    </row>
    <row r="527">
      <c r="A527" s="19" t="n"/>
      <c r="F527" s="20" t="n"/>
      <c r="Q527" s="10">
        <f>IF(E527="USD",CONFIG!$B$5,1)</f>
        <v/>
      </c>
      <c r="R527">
        <f>IF(AND(A527&lt;&gt;"",ISNUMBER(A527),B527&lt;&gt;"",C527&lt;&gt;"",OR(E527="USD",E527="CRC"),F527&gt;0,ISNUMBER(Q527),Q527&gt;0),"✓ OK","✗ ERROR: Revisa datos")</f>
        <v/>
      </c>
      <c r="S527" s="6">
        <f>IF(A527&lt;&gt;"",TODAY()-A527,"")</f>
        <v/>
      </c>
      <c r="T527" s="4">
        <f>IF(E527="USD",F527,IF(E527="CRC",F527/CONFIG!$B$5,""))</f>
        <v/>
      </c>
      <c r="U527" s="19">
        <f>IF(A527&lt;&gt;"",A527+30,"")</f>
        <v/>
      </c>
      <c r="V527">
        <f>IF(AND(C527="CxP",S527&gt;60),"Alta",IF(AND(C527="CxP",S527&gt;30),"Media",IF(C527="CxP","Baja","")))</f>
        <v/>
      </c>
      <c r="W527">
        <f>IF(AND(C527="CxC",S527&gt;90),"Alta",IF(AND(C527="CxC",S527&gt;60),"Media",IF(C527="CxC","Baja","")))</f>
        <v/>
      </c>
    </row>
    <row r="528">
      <c r="A528" s="19" t="n"/>
      <c r="F528" s="20" t="n"/>
      <c r="Q528" s="10">
        <f>IF(E528="USD",CONFIG!$B$5,1)</f>
        <v/>
      </c>
      <c r="R528">
        <f>IF(AND(A528&lt;&gt;"",ISNUMBER(A528),B528&lt;&gt;"",C528&lt;&gt;"",OR(E528="USD",E528="CRC"),F528&gt;0,ISNUMBER(Q528),Q528&gt;0),"✓ OK","✗ ERROR: Revisa datos")</f>
        <v/>
      </c>
      <c r="S528" s="6">
        <f>IF(A528&lt;&gt;"",TODAY()-A528,"")</f>
        <v/>
      </c>
      <c r="T528" s="4">
        <f>IF(E528="USD",F528,IF(E528="CRC",F528/CONFIG!$B$5,""))</f>
        <v/>
      </c>
      <c r="U528" s="19">
        <f>IF(A528&lt;&gt;"",A528+30,"")</f>
        <v/>
      </c>
      <c r="V528">
        <f>IF(AND(C528="CxP",S528&gt;60),"Alta",IF(AND(C528="CxP",S528&gt;30),"Media",IF(C528="CxP","Baja","")))</f>
        <v/>
      </c>
      <c r="W528">
        <f>IF(AND(C528="CxC",S528&gt;90),"Alta",IF(AND(C528="CxC",S528&gt;60),"Media",IF(C528="CxC","Baja","")))</f>
        <v/>
      </c>
    </row>
    <row r="529">
      <c r="A529" s="19" t="n"/>
      <c r="F529" s="20" t="n"/>
      <c r="Q529" s="10">
        <f>IF(E529="USD",CONFIG!$B$5,1)</f>
        <v/>
      </c>
      <c r="R529">
        <f>IF(AND(A529&lt;&gt;"",ISNUMBER(A529),B529&lt;&gt;"",C529&lt;&gt;"",OR(E529="USD",E529="CRC"),F529&gt;0,ISNUMBER(Q529),Q529&gt;0),"✓ OK","✗ ERROR: Revisa datos")</f>
        <v/>
      </c>
      <c r="S529" s="6">
        <f>IF(A529&lt;&gt;"",TODAY()-A529,"")</f>
        <v/>
      </c>
      <c r="T529" s="4">
        <f>IF(E529="USD",F529,IF(E529="CRC",F529/CONFIG!$B$5,""))</f>
        <v/>
      </c>
      <c r="U529" s="19">
        <f>IF(A529&lt;&gt;"",A529+30,"")</f>
        <v/>
      </c>
      <c r="V529">
        <f>IF(AND(C529="CxP",S529&gt;60),"Alta",IF(AND(C529="CxP",S529&gt;30),"Media",IF(C529="CxP","Baja","")))</f>
        <v/>
      </c>
      <c r="W529">
        <f>IF(AND(C529="CxC",S529&gt;90),"Alta",IF(AND(C529="CxC",S529&gt;60),"Media",IF(C529="CxC","Baja","")))</f>
        <v/>
      </c>
    </row>
    <row r="530">
      <c r="A530" s="19" t="n"/>
      <c r="F530" s="20" t="n"/>
      <c r="Q530" s="10">
        <f>IF(E530="USD",CONFIG!$B$5,1)</f>
        <v/>
      </c>
      <c r="R530">
        <f>IF(AND(A530&lt;&gt;"",ISNUMBER(A530),B530&lt;&gt;"",C530&lt;&gt;"",OR(E530="USD",E530="CRC"),F530&gt;0,ISNUMBER(Q530),Q530&gt;0),"✓ OK","✗ ERROR: Revisa datos")</f>
        <v/>
      </c>
      <c r="S530" s="6">
        <f>IF(A530&lt;&gt;"",TODAY()-A530,"")</f>
        <v/>
      </c>
      <c r="T530" s="4">
        <f>IF(E530="USD",F530,IF(E530="CRC",F530/CONFIG!$B$5,""))</f>
        <v/>
      </c>
      <c r="U530" s="19">
        <f>IF(A530&lt;&gt;"",A530+30,"")</f>
        <v/>
      </c>
      <c r="V530">
        <f>IF(AND(C530="CxP",S530&gt;60),"Alta",IF(AND(C530="CxP",S530&gt;30),"Media",IF(C530="CxP","Baja","")))</f>
        <v/>
      </c>
      <c r="W530">
        <f>IF(AND(C530="CxC",S530&gt;90),"Alta",IF(AND(C530="CxC",S530&gt;60),"Media",IF(C530="CxC","Baja","")))</f>
        <v/>
      </c>
    </row>
    <row r="531">
      <c r="A531" s="19" t="n"/>
      <c r="F531" s="20" t="n"/>
      <c r="Q531" s="10">
        <f>IF(E531="USD",CONFIG!$B$5,1)</f>
        <v/>
      </c>
      <c r="R531">
        <f>IF(AND(A531&lt;&gt;"",ISNUMBER(A531),B531&lt;&gt;"",C531&lt;&gt;"",OR(E531="USD",E531="CRC"),F531&gt;0,ISNUMBER(Q531),Q531&gt;0),"✓ OK","✗ ERROR: Revisa datos")</f>
        <v/>
      </c>
      <c r="S531" s="6">
        <f>IF(A531&lt;&gt;"",TODAY()-A531,"")</f>
        <v/>
      </c>
      <c r="T531" s="4">
        <f>IF(E531="USD",F531,IF(E531="CRC",F531/CONFIG!$B$5,""))</f>
        <v/>
      </c>
      <c r="U531" s="19">
        <f>IF(A531&lt;&gt;"",A531+30,"")</f>
        <v/>
      </c>
      <c r="V531">
        <f>IF(AND(C531="CxP",S531&gt;60),"Alta",IF(AND(C531="CxP",S531&gt;30),"Media",IF(C531="CxP","Baja","")))</f>
        <v/>
      </c>
      <c r="W531">
        <f>IF(AND(C531="CxC",S531&gt;90),"Alta",IF(AND(C531="CxC",S531&gt;60),"Media",IF(C531="CxC","Baja","")))</f>
        <v/>
      </c>
    </row>
    <row r="532">
      <c r="A532" s="19" t="n"/>
      <c r="F532" s="20" t="n"/>
      <c r="Q532" s="10">
        <f>IF(E532="USD",CONFIG!$B$5,1)</f>
        <v/>
      </c>
      <c r="R532">
        <f>IF(AND(A532&lt;&gt;"",ISNUMBER(A532),B532&lt;&gt;"",C532&lt;&gt;"",OR(E532="USD",E532="CRC"),F532&gt;0,ISNUMBER(Q532),Q532&gt;0),"✓ OK","✗ ERROR: Revisa datos")</f>
        <v/>
      </c>
      <c r="S532" s="6">
        <f>IF(A532&lt;&gt;"",TODAY()-A532,"")</f>
        <v/>
      </c>
      <c r="T532" s="4">
        <f>IF(E532="USD",F532,IF(E532="CRC",F532/CONFIG!$B$5,""))</f>
        <v/>
      </c>
      <c r="U532" s="19">
        <f>IF(A532&lt;&gt;"",A532+30,"")</f>
        <v/>
      </c>
      <c r="V532">
        <f>IF(AND(C532="CxP",S532&gt;60),"Alta",IF(AND(C532="CxP",S532&gt;30),"Media",IF(C532="CxP","Baja","")))</f>
        <v/>
      </c>
      <c r="W532">
        <f>IF(AND(C532="CxC",S532&gt;90),"Alta",IF(AND(C532="CxC",S532&gt;60),"Media",IF(C532="CxC","Baja","")))</f>
        <v/>
      </c>
    </row>
    <row r="533">
      <c r="A533" s="19" t="n"/>
      <c r="F533" s="20" t="n"/>
      <c r="Q533" s="10">
        <f>IF(E533="USD",CONFIG!$B$5,1)</f>
        <v/>
      </c>
      <c r="R533">
        <f>IF(AND(A533&lt;&gt;"",ISNUMBER(A533),B533&lt;&gt;"",C533&lt;&gt;"",OR(E533="USD",E533="CRC"),F533&gt;0,ISNUMBER(Q533),Q533&gt;0),"✓ OK","✗ ERROR: Revisa datos")</f>
        <v/>
      </c>
      <c r="S533" s="6">
        <f>IF(A533&lt;&gt;"",TODAY()-A533,"")</f>
        <v/>
      </c>
      <c r="T533" s="4">
        <f>IF(E533="USD",F533,IF(E533="CRC",F533/CONFIG!$B$5,""))</f>
        <v/>
      </c>
      <c r="U533" s="19">
        <f>IF(A533&lt;&gt;"",A533+30,"")</f>
        <v/>
      </c>
      <c r="V533">
        <f>IF(AND(C533="CxP",S533&gt;60),"Alta",IF(AND(C533="CxP",S533&gt;30),"Media",IF(C533="CxP","Baja","")))</f>
        <v/>
      </c>
      <c r="W533">
        <f>IF(AND(C533="CxC",S533&gt;90),"Alta",IF(AND(C533="CxC",S533&gt;60),"Media",IF(C533="CxC","Baja","")))</f>
        <v/>
      </c>
    </row>
    <row r="534">
      <c r="A534" s="19" t="n"/>
      <c r="F534" s="20" t="n"/>
      <c r="Q534" s="10">
        <f>IF(E534="USD",CONFIG!$B$5,1)</f>
        <v/>
      </c>
      <c r="R534">
        <f>IF(AND(A534&lt;&gt;"",ISNUMBER(A534),B534&lt;&gt;"",C534&lt;&gt;"",OR(E534="USD",E534="CRC"),F534&gt;0,ISNUMBER(Q534),Q534&gt;0),"✓ OK","✗ ERROR: Revisa datos")</f>
        <v/>
      </c>
      <c r="S534" s="6">
        <f>IF(A534&lt;&gt;"",TODAY()-A534,"")</f>
        <v/>
      </c>
      <c r="T534" s="4">
        <f>IF(E534="USD",F534,IF(E534="CRC",F534/CONFIG!$B$5,""))</f>
        <v/>
      </c>
      <c r="U534" s="19">
        <f>IF(A534&lt;&gt;"",A534+30,"")</f>
        <v/>
      </c>
      <c r="V534">
        <f>IF(AND(C534="CxP",S534&gt;60),"Alta",IF(AND(C534="CxP",S534&gt;30),"Media",IF(C534="CxP","Baja","")))</f>
        <v/>
      </c>
      <c r="W534">
        <f>IF(AND(C534="CxC",S534&gt;90),"Alta",IF(AND(C534="CxC",S534&gt;60),"Media",IF(C534="CxC","Baja","")))</f>
        <v/>
      </c>
    </row>
    <row r="535">
      <c r="A535" s="19" t="n"/>
      <c r="F535" s="20" t="n"/>
      <c r="Q535" s="10">
        <f>IF(E535="USD",CONFIG!$B$5,1)</f>
        <v/>
      </c>
      <c r="R535">
        <f>IF(AND(A535&lt;&gt;"",ISNUMBER(A535),B535&lt;&gt;"",C535&lt;&gt;"",OR(E535="USD",E535="CRC"),F535&gt;0,ISNUMBER(Q535),Q535&gt;0),"✓ OK","✗ ERROR: Revisa datos")</f>
        <v/>
      </c>
      <c r="S535" s="6">
        <f>IF(A535&lt;&gt;"",TODAY()-A535,"")</f>
        <v/>
      </c>
      <c r="T535" s="4">
        <f>IF(E535="USD",F535,IF(E535="CRC",F535/CONFIG!$B$5,""))</f>
        <v/>
      </c>
      <c r="U535" s="19">
        <f>IF(A535&lt;&gt;"",A535+30,"")</f>
        <v/>
      </c>
      <c r="V535">
        <f>IF(AND(C535="CxP",S535&gt;60),"Alta",IF(AND(C535="CxP",S535&gt;30),"Media",IF(C535="CxP","Baja","")))</f>
        <v/>
      </c>
      <c r="W535">
        <f>IF(AND(C535="CxC",S535&gt;90),"Alta",IF(AND(C535="CxC",S535&gt;60),"Media",IF(C535="CxC","Baja","")))</f>
        <v/>
      </c>
    </row>
    <row r="536">
      <c r="A536" s="19" t="n"/>
      <c r="F536" s="20" t="n"/>
      <c r="Q536" s="10">
        <f>IF(E536="USD",CONFIG!$B$5,1)</f>
        <v/>
      </c>
      <c r="R536">
        <f>IF(AND(A536&lt;&gt;"",ISNUMBER(A536),B536&lt;&gt;"",C536&lt;&gt;"",OR(E536="USD",E536="CRC"),F536&gt;0,ISNUMBER(Q536),Q536&gt;0),"✓ OK","✗ ERROR: Revisa datos")</f>
        <v/>
      </c>
      <c r="S536" s="6">
        <f>IF(A536&lt;&gt;"",TODAY()-A536,"")</f>
        <v/>
      </c>
      <c r="T536" s="4">
        <f>IF(E536="USD",F536,IF(E536="CRC",F536/CONFIG!$B$5,""))</f>
        <v/>
      </c>
      <c r="U536" s="19">
        <f>IF(A536&lt;&gt;"",A536+30,"")</f>
        <v/>
      </c>
      <c r="V536">
        <f>IF(AND(C536="CxP",S536&gt;60),"Alta",IF(AND(C536="CxP",S536&gt;30),"Media",IF(C536="CxP","Baja","")))</f>
        <v/>
      </c>
      <c r="W536">
        <f>IF(AND(C536="CxC",S536&gt;90),"Alta",IF(AND(C536="CxC",S536&gt;60),"Media",IF(C536="CxC","Baja","")))</f>
        <v/>
      </c>
    </row>
    <row r="537">
      <c r="A537" s="19" t="n"/>
      <c r="F537" s="20" t="n"/>
      <c r="Q537" s="10">
        <f>IF(E537="USD",CONFIG!$B$5,1)</f>
        <v/>
      </c>
      <c r="R537">
        <f>IF(AND(A537&lt;&gt;"",ISNUMBER(A537),B537&lt;&gt;"",C537&lt;&gt;"",OR(E537="USD",E537="CRC"),F537&gt;0,ISNUMBER(Q537),Q537&gt;0),"✓ OK","✗ ERROR: Revisa datos")</f>
        <v/>
      </c>
      <c r="S537" s="6">
        <f>IF(A537&lt;&gt;"",TODAY()-A537,"")</f>
        <v/>
      </c>
      <c r="T537" s="4">
        <f>IF(E537="USD",F537,IF(E537="CRC",F537/CONFIG!$B$5,""))</f>
        <v/>
      </c>
      <c r="U537" s="19">
        <f>IF(A537&lt;&gt;"",A537+30,"")</f>
        <v/>
      </c>
      <c r="V537">
        <f>IF(AND(C537="CxP",S537&gt;60),"Alta",IF(AND(C537="CxP",S537&gt;30),"Media",IF(C537="CxP","Baja","")))</f>
        <v/>
      </c>
      <c r="W537">
        <f>IF(AND(C537="CxC",S537&gt;90),"Alta",IF(AND(C537="CxC",S537&gt;60),"Media",IF(C537="CxC","Baja","")))</f>
        <v/>
      </c>
    </row>
    <row r="538">
      <c r="A538" s="19" t="n"/>
      <c r="F538" s="20" t="n"/>
      <c r="Q538" s="10">
        <f>IF(E538="USD",CONFIG!$B$5,1)</f>
        <v/>
      </c>
      <c r="R538">
        <f>IF(AND(A538&lt;&gt;"",ISNUMBER(A538),B538&lt;&gt;"",C538&lt;&gt;"",OR(E538="USD",E538="CRC"),F538&gt;0,ISNUMBER(Q538),Q538&gt;0),"✓ OK","✗ ERROR: Revisa datos")</f>
        <v/>
      </c>
      <c r="S538" s="6">
        <f>IF(A538&lt;&gt;"",TODAY()-A538,"")</f>
        <v/>
      </c>
      <c r="T538" s="4">
        <f>IF(E538="USD",F538,IF(E538="CRC",F538/CONFIG!$B$5,""))</f>
        <v/>
      </c>
      <c r="U538" s="19">
        <f>IF(A538&lt;&gt;"",A538+30,"")</f>
        <v/>
      </c>
      <c r="V538">
        <f>IF(AND(C538="CxP",S538&gt;60),"Alta",IF(AND(C538="CxP",S538&gt;30),"Media",IF(C538="CxP","Baja","")))</f>
        <v/>
      </c>
      <c r="W538">
        <f>IF(AND(C538="CxC",S538&gt;90),"Alta",IF(AND(C538="CxC",S538&gt;60),"Media",IF(C538="CxC","Baja","")))</f>
        <v/>
      </c>
    </row>
    <row r="539">
      <c r="A539" s="19" t="n"/>
      <c r="F539" s="20" t="n"/>
      <c r="Q539" s="10">
        <f>IF(E539="USD",CONFIG!$B$5,1)</f>
        <v/>
      </c>
      <c r="R539">
        <f>IF(AND(A539&lt;&gt;"",ISNUMBER(A539),B539&lt;&gt;"",C539&lt;&gt;"",OR(E539="USD",E539="CRC"),F539&gt;0,ISNUMBER(Q539),Q539&gt;0),"✓ OK","✗ ERROR: Revisa datos")</f>
        <v/>
      </c>
      <c r="S539" s="6">
        <f>IF(A539&lt;&gt;"",TODAY()-A539,"")</f>
        <v/>
      </c>
      <c r="T539" s="4">
        <f>IF(E539="USD",F539,IF(E539="CRC",F539/CONFIG!$B$5,""))</f>
        <v/>
      </c>
      <c r="U539" s="19">
        <f>IF(A539&lt;&gt;"",A539+30,"")</f>
        <v/>
      </c>
      <c r="V539">
        <f>IF(AND(C539="CxP",S539&gt;60),"Alta",IF(AND(C539="CxP",S539&gt;30),"Media",IF(C539="CxP","Baja","")))</f>
        <v/>
      </c>
      <c r="W539">
        <f>IF(AND(C539="CxC",S539&gt;90),"Alta",IF(AND(C539="CxC",S539&gt;60),"Media",IF(C539="CxC","Baja","")))</f>
        <v/>
      </c>
    </row>
    <row r="540">
      <c r="A540" s="19" t="n"/>
      <c r="F540" s="20" t="n"/>
      <c r="Q540" s="10">
        <f>IF(E540="USD",CONFIG!$B$5,1)</f>
        <v/>
      </c>
      <c r="R540">
        <f>IF(AND(A540&lt;&gt;"",ISNUMBER(A540),B540&lt;&gt;"",C540&lt;&gt;"",OR(E540="USD",E540="CRC"),F540&gt;0,ISNUMBER(Q540),Q540&gt;0),"✓ OK","✗ ERROR: Revisa datos")</f>
        <v/>
      </c>
      <c r="S540" s="6">
        <f>IF(A540&lt;&gt;"",TODAY()-A540,"")</f>
        <v/>
      </c>
      <c r="T540" s="4">
        <f>IF(E540="USD",F540,IF(E540="CRC",F540/CONFIG!$B$5,""))</f>
        <v/>
      </c>
      <c r="U540" s="19">
        <f>IF(A540&lt;&gt;"",A540+30,"")</f>
        <v/>
      </c>
      <c r="V540">
        <f>IF(AND(C540="CxP",S540&gt;60),"Alta",IF(AND(C540="CxP",S540&gt;30),"Media",IF(C540="CxP","Baja","")))</f>
        <v/>
      </c>
      <c r="W540">
        <f>IF(AND(C540="CxC",S540&gt;90),"Alta",IF(AND(C540="CxC",S540&gt;60),"Media",IF(C540="CxC","Baja","")))</f>
        <v/>
      </c>
    </row>
    <row r="541">
      <c r="A541" s="19" t="n"/>
      <c r="F541" s="20" t="n"/>
      <c r="Q541" s="10">
        <f>IF(E541="USD",CONFIG!$B$5,1)</f>
        <v/>
      </c>
      <c r="R541">
        <f>IF(AND(A541&lt;&gt;"",ISNUMBER(A541),B541&lt;&gt;"",C541&lt;&gt;"",OR(E541="USD",E541="CRC"),F541&gt;0,ISNUMBER(Q541),Q541&gt;0),"✓ OK","✗ ERROR: Revisa datos")</f>
        <v/>
      </c>
      <c r="S541" s="6">
        <f>IF(A541&lt;&gt;"",TODAY()-A541,"")</f>
        <v/>
      </c>
      <c r="T541" s="4">
        <f>IF(E541="USD",F541,IF(E541="CRC",F541/CONFIG!$B$5,""))</f>
        <v/>
      </c>
      <c r="U541" s="19">
        <f>IF(A541&lt;&gt;"",A541+30,"")</f>
        <v/>
      </c>
      <c r="V541">
        <f>IF(AND(C541="CxP",S541&gt;60),"Alta",IF(AND(C541="CxP",S541&gt;30),"Media",IF(C541="CxP","Baja","")))</f>
        <v/>
      </c>
      <c r="W541">
        <f>IF(AND(C541="CxC",S541&gt;90),"Alta",IF(AND(C541="CxC",S541&gt;60),"Media",IF(C541="CxC","Baja","")))</f>
        <v/>
      </c>
    </row>
    <row r="542">
      <c r="A542" s="19" t="n"/>
      <c r="F542" s="20" t="n"/>
      <c r="Q542" s="10">
        <f>IF(E542="USD",CONFIG!$B$5,1)</f>
        <v/>
      </c>
      <c r="R542">
        <f>IF(AND(A542&lt;&gt;"",ISNUMBER(A542),B542&lt;&gt;"",C542&lt;&gt;"",OR(E542="USD",E542="CRC"),F542&gt;0,ISNUMBER(Q542),Q542&gt;0),"✓ OK","✗ ERROR: Revisa datos")</f>
        <v/>
      </c>
      <c r="S542" s="6">
        <f>IF(A542&lt;&gt;"",TODAY()-A542,"")</f>
        <v/>
      </c>
      <c r="T542" s="4">
        <f>IF(E542="USD",F542,IF(E542="CRC",F542/CONFIG!$B$5,""))</f>
        <v/>
      </c>
      <c r="U542" s="19">
        <f>IF(A542&lt;&gt;"",A542+30,"")</f>
        <v/>
      </c>
      <c r="V542">
        <f>IF(AND(C542="CxP",S542&gt;60),"Alta",IF(AND(C542="CxP",S542&gt;30),"Media",IF(C542="CxP","Baja","")))</f>
        <v/>
      </c>
      <c r="W542">
        <f>IF(AND(C542="CxC",S542&gt;90),"Alta",IF(AND(C542="CxC",S542&gt;60),"Media",IF(C542="CxC","Baja","")))</f>
        <v/>
      </c>
    </row>
    <row r="543">
      <c r="A543" s="19" t="n"/>
      <c r="F543" s="20" t="n"/>
      <c r="Q543" s="10">
        <f>IF(E543="USD",CONFIG!$B$5,1)</f>
        <v/>
      </c>
      <c r="R543">
        <f>IF(AND(A543&lt;&gt;"",ISNUMBER(A543),B543&lt;&gt;"",C543&lt;&gt;"",OR(E543="USD",E543="CRC"),F543&gt;0,ISNUMBER(Q543),Q543&gt;0),"✓ OK","✗ ERROR: Revisa datos")</f>
        <v/>
      </c>
      <c r="S543" s="6">
        <f>IF(A543&lt;&gt;"",TODAY()-A543,"")</f>
        <v/>
      </c>
      <c r="T543" s="4">
        <f>IF(E543="USD",F543,IF(E543="CRC",F543/CONFIG!$B$5,""))</f>
        <v/>
      </c>
      <c r="U543" s="19">
        <f>IF(A543&lt;&gt;"",A543+30,"")</f>
        <v/>
      </c>
      <c r="V543">
        <f>IF(AND(C543="CxP",S543&gt;60),"Alta",IF(AND(C543="CxP",S543&gt;30),"Media",IF(C543="CxP","Baja","")))</f>
        <v/>
      </c>
      <c r="W543">
        <f>IF(AND(C543="CxC",S543&gt;90),"Alta",IF(AND(C543="CxC",S543&gt;60),"Media",IF(C543="CxC","Baja","")))</f>
        <v/>
      </c>
    </row>
    <row r="544">
      <c r="A544" s="19" t="n"/>
      <c r="F544" s="20" t="n"/>
      <c r="Q544" s="10">
        <f>IF(E544="USD",CONFIG!$B$5,1)</f>
        <v/>
      </c>
      <c r="R544">
        <f>IF(AND(A544&lt;&gt;"",ISNUMBER(A544),B544&lt;&gt;"",C544&lt;&gt;"",OR(E544="USD",E544="CRC"),F544&gt;0,ISNUMBER(Q544),Q544&gt;0),"✓ OK","✗ ERROR: Revisa datos")</f>
        <v/>
      </c>
      <c r="S544" s="6">
        <f>IF(A544&lt;&gt;"",TODAY()-A544,"")</f>
        <v/>
      </c>
      <c r="T544" s="4">
        <f>IF(E544="USD",F544,IF(E544="CRC",F544/CONFIG!$B$5,""))</f>
        <v/>
      </c>
      <c r="U544" s="19">
        <f>IF(A544&lt;&gt;"",A544+30,"")</f>
        <v/>
      </c>
      <c r="V544">
        <f>IF(AND(C544="CxP",S544&gt;60),"Alta",IF(AND(C544="CxP",S544&gt;30),"Media",IF(C544="CxP","Baja","")))</f>
        <v/>
      </c>
      <c r="W544">
        <f>IF(AND(C544="CxC",S544&gt;90),"Alta",IF(AND(C544="CxC",S544&gt;60),"Media",IF(C544="CxC","Baja","")))</f>
        <v/>
      </c>
    </row>
    <row r="545">
      <c r="A545" s="19" t="n"/>
      <c r="F545" s="20" t="n"/>
      <c r="Q545" s="10">
        <f>IF(E545="USD",CONFIG!$B$5,1)</f>
        <v/>
      </c>
      <c r="R545">
        <f>IF(AND(A545&lt;&gt;"",ISNUMBER(A545),B545&lt;&gt;"",C545&lt;&gt;"",OR(E545="USD",E545="CRC"),F545&gt;0,ISNUMBER(Q545),Q545&gt;0),"✓ OK","✗ ERROR: Revisa datos")</f>
        <v/>
      </c>
      <c r="S545" s="6">
        <f>IF(A545&lt;&gt;"",TODAY()-A545,"")</f>
        <v/>
      </c>
      <c r="T545" s="4">
        <f>IF(E545="USD",F545,IF(E545="CRC",F545/CONFIG!$B$5,""))</f>
        <v/>
      </c>
      <c r="U545" s="19">
        <f>IF(A545&lt;&gt;"",A545+30,"")</f>
        <v/>
      </c>
      <c r="V545">
        <f>IF(AND(C545="CxP",S545&gt;60),"Alta",IF(AND(C545="CxP",S545&gt;30),"Media",IF(C545="CxP","Baja","")))</f>
        <v/>
      </c>
      <c r="W545">
        <f>IF(AND(C545="CxC",S545&gt;90),"Alta",IF(AND(C545="CxC",S545&gt;60),"Media",IF(C545="CxC","Baja","")))</f>
        <v/>
      </c>
    </row>
    <row r="546">
      <c r="A546" s="19" t="n"/>
      <c r="F546" s="20" t="n"/>
      <c r="Q546" s="10">
        <f>IF(E546="USD",CONFIG!$B$5,1)</f>
        <v/>
      </c>
      <c r="R546">
        <f>IF(AND(A546&lt;&gt;"",ISNUMBER(A546),B546&lt;&gt;"",C546&lt;&gt;"",OR(E546="USD",E546="CRC"),F546&gt;0,ISNUMBER(Q546),Q546&gt;0),"✓ OK","✗ ERROR: Revisa datos")</f>
        <v/>
      </c>
      <c r="S546" s="6">
        <f>IF(A546&lt;&gt;"",TODAY()-A546,"")</f>
        <v/>
      </c>
      <c r="T546" s="4">
        <f>IF(E546="USD",F546,IF(E546="CRC",F546/CONFIG!$B$5,""))</f>
        <v/>
      </c>
      <c r="U546" s="19">
        <f>IF(A546&lt;&gt;"",A546+30,"")</f>
        <v/>
      </c>
      <c r="V546">
        <f>IF(AND(C546="CxP",S546&gt;60),"Alta",IF(AND(C546="CxP",S546&gt;30),"Media",IF(C546="CxP","Baja","")))</f>
        <v/>
      </c>
      <c r="W546">
        <f>IF(AND(C546="CxC",S546&gt;90),"Alta",IF(AND(C546="CxC",S546&gt;60),"Media",IF(C546="CxC","Baja","")))</f>
        <v/>
      </c>
    </row>
    <row r="547">
      <c r="A547" s="19" t="n"/>
      <c r="F547" s="20" t="n"/>
      <c r="Q547" s="10">
        <f>IF(E547="USD",CONFIG!$B$5,1)</f>
        <v/>
      </c>
      <c r="R547">
        <f>IF(AND(A547&lt;&gt;"",ISNUMBER(A547),B547&lt;&gt;"",C547&lt;&gt;"",OR(E547="USD",E547="CRC"),F547&gt;0,ISNUMBER(Q547),Q547&gt;0),"✓ OK","✗ ERROR: Revisa datos")</f>
        <v/>
      </c>
      <c r="S547" s="6">
        <f>IF(A547&lt;&gt;"",TODAY()-A547,"")</f>
        <v/>
      </c>
      <c r="T547" s="4">
        <f>IF(E547="USD",F547,IF(E547="CRC",F547/CONFIG!$B$5,""))</f>
        <v/>
      </c>
      <c r="U547" s="19">
        <f>IF(A547&lt;&gt;"",A547+30,"")</f>
        <v/>
      </c>
      <c r="V547">
        <f>IF(AND(C547="CxP",S547&gt;60),"Alta",IF(AND(C547="CxP",S547&gt;30),"Media",IF(C547="CxP","Baja","")))</f>
        <v/>
      </c>
      <c r="W547">
        <f>IF(AND(C547="CxC",S547&gt;90),"Alta",IF(AND(C547="CxC",S547&gt;60),"Media",IF(C547="CxC","Baja","")))</f>
        <v/>
      </c>
    </row>
    <row r="548">
      <c r="A548" s="19" t="n"/>
      <c r="F548" s="20" t="n"/>
      <c r="Q548" s="10">
        <f>IF(E548="USD",CONFIG!$B$5,1)</f>
        <v/>
      </c>
      <c r="R548">
        <f>IF(AND(A548&lt;&gt;"",ISNUMBER(A548),B548&lt;&gt;"",C548&lt;&gt;"",OR(E548="USD",E548="CRC"),F548&gt;0,ISNUMBER(Q548),Q548&gt;0),"✓ OK","✗ ERROR: Revisa datos")</f>
        <v/>
      </c>
      <c r="S548" s="6">
        <f>IF(A548&lt;&gt;"",TODAY()-A548,"")</f>
        <v/>
      </c>
      <c r="T548" s="4">
        <f>IF(E548="USD",F548,IF(E548="CRC",F548/CONFIG!$B$5,""))</f>
        <v/>
      </c>
      <c r="U548" s="19">
        <f>IF(A548&lt;&gt;"",A548+30,"")</f>
        <v/>
      </c>
      <c r="V548">
        <f>IF(AND(C548="CxP",S548&gt;60),"Alta",IF(AND(C548="CxP",S548&gt;30),"Media",IF(C548="CxP","Baja","")))</f>
        <v/>
      </c>
      <c r="W548">
        <f>IF(AND(C548="CxC",S548&gt;90),"Alta",IF(AND(C548="CxC",S548&gt;60),"Media",IF(C548="CxC","Baja","")))</f>
        <v/>
      </c>
    </row>
    <row r="549">
      <c r="A549" s="19" t="n"/>
      <c r="F549" s="20" t="n"/>
      <c r="Q549" s="10">
        <f>IF(E549="USD",CONFIG!$B$5,1)</f>
        <v/>
      </c>
      <c r="R549">
        <f>IF(AND(A549&lt;&gt;"",ISNUMBER(A549),B549&lt;&gt;"",C549&lt;&gt;"",OR(E549="USD",E549="CRC"),F549&gt;0,ISNUMBER(Q549),Q549&gt;0),"✓ OK","✗ ERROR: Revisa datos")</f>
        <v/>
      </c>
      <c r="S549" s="6">
        <f>IF(A549&lt;&gt;"",TODAY()-A549,"")</f>
        <v/>
      </c>
      <c r="T549" s="4">
        <f>IF(E549="USD",F549,IF(E549="CRC",F549/CONFIG!$B$5,""))</f>
        <v/>
      </c>
      <c r="U549" s="19">
        <f>IF(A549&lt;&gt;"",A549+30,"")</f>
        <v/>
      </c>
      <c r="V549">
        <f>IF(AND(C549="CxP",S549&gt;60),"Alta",IF(AND(C549="CxP",S549&gt;30),"Media",IF(C549="CxP","Baja","")))</f>
        <v/>
      </c>
      <c r="W549">
        <f>IF(AND(C549="CxC",S549&gt;90),"Alta",IF(AND(C549="CxC",S549&gt;60),"Media",IF(C549="CxC","Baja","")))</f>
        <v/>
      </c>
    </row>
    <row r="550">
      <c r="A550" s="19" t="n"/>
      <c r="F550" s="20" t="n"/>
      <c r="Q550" s="10">
        <f>IF(E550="USD",CONFIG!$B$5,1)</f>
        <v/>
      </c>
      <c r="R550">
        <f>IF(AND(A550&lt;&gt;"",ISNUMBER(A550),B550&lt;&gt;"",C550&lt;&gt;"",OR(E550="USD",E550="CRC"),F550&gt;0,ISNUMBER(Q550),Q550&gt;0),"✓ OK","✗ ERROR: Revisa datos")</f>
        <v/>
      </c>
      <c r="S550" s="6">
        <f>IF(A550&lt;&gt;"",TODAY()-A550,"")</f>
        <v/>
      </c>
      <c r="T550" s="4">
        <f>IF(E550="USD",F550,IF(E550="CRC",F550/CONFIG!$B$5,""))</f>
        <v/>
      </c>
      <c r="U550" s="19">
        <f>IF(A550&lt;&gt;"",A550+30,"")</f>
        <v/>
      </c>
      <c r="V550">
        <f>IF(AND(C550="CxP",S550&gt;60),"Alta",IF(AND(C550="CxP",S550&gt;30),"Media",IF(C550="CxP","Baja","")))</f>
        <v/>
      </c>
      <c r="W550">
        <f>IF(AND(C550="CxC",S550&gt;90),"Alta",IF(AND(C550="CxC",S550&gt;60),"Media",IF(C550="CxC","Baja","")))</f>
        <v/>
      </c>
    </row>
    <row r="551">
      <c r="A551" s="19" t="n"/>
      <c r="F551" s="20" t="n"/>
      <c r="Q551" s="10">
        <f>IF(E551="USD",CONFIG!$B$5,1)</f>
        <v/>
      </c>
      <c r="R551">
        <f>IF(AND(A551&lt;&gt;"",ISNUMBER(A551),B551&lt;&gt;"",C551&lt;&gt;"",OR(E551="USD",E551="CRC"),F551&gt;0,ISNUMBER(Q551),Q551&gt;0),"✓ OK","✗ ERROR: Revisa datos")</f>
        <v/>
      </c>
      <c r="S551" s="6">
        <f>IF(A551&lt;&gt;"",TODAY()-A551,"")</f>
        <v/>
      </c>
      <c r="T551" s="4">
        <f>IF(E551="USD",F551,IF(E551="CRC",F551/CONFIG!$B$5,""))</f>
        <v/>
      </c>
      <c r="U551" s="19">
        <f>IF(A551&lt;&gt;"",A551+30,"")</f>
        <v/>
      </c>
      <c r="V551">
        <f>IF(AND(C551="CxP",S551&gt;60),"Alta",IF(AND(C551="CxP",S551&gt;30),"Media",IF(C551="CxP","Baja","")))</f>
        <v/>
      </c>
      <c r="W551">
        <f>IF(AND(C551="CxC",S551&gt;90),"Alta",IF(AND(C551="CxC",S551&gt;60),"Media",IF(C551="CxC","Baja","")))</f>
        <v/>
      </c>
    </row>
    <row r="552">
      <c r="A552" s="19" t="n"/>
      <c r="F552" s="20" t="n"/>
      <c r="Q552" s="10">
        <f>IF(E552="USD",CONFIG!$B$5,1)</f>
        <v/>
      </c>
      <c r="R552">
        <f>IF(AND(A552&lt;&gt;"",ISNUMBER(A552),B552&lt;&gt;"",C552&lt;&gt;"",OR(E552="USD",E552="CRC"),F552&gt;0,ISNUMBER(Q552),Q552&gt;0),"✓ OK","✗ ERROR: Revisa datos")</f>
        <v/>
      </c>
      <c r="S552" s="6">
        <f>IF(A552&lt;&gt;"",TODAY()-A552,"")</f>
        <v/>
      </c>
      <c r="T552" s="4">
        <f>IF(E552="USD",F552,IF(E552="CRC",F552/CONFIG!$B$5,""))</f>
        <v/>
      </c>
      <c r="U552" s="19">
        <f>IF(A552&lt;&gt;"",A552+30,"")</f>
        <v/>
      </c>
      <c r="V552">
        <f>IF(AND(C552="CxP",S552&gt;60),"Alta",IF(AND(C552="CxP",S552&gt;30),"Media",IF(C552="CxP","Baja","")))</f>
        <v/>
      </c>
      <c r="W552">
        <f>IF(AND(C552="CxC",S552&gt;90),"Alta",IF(AND(C552="CxC",S552&gt;60),"Media",IF(C552="CxC","Baja","")))</f>
        <v/>
      </c>
    </row>
    <row r="553">
      <c r="A553" s="19" t="n"/>
      <c r="F553" s="20" t="n"/>
      <c r="Q553" s="10">
        <f>IF(E553="USD",CONFIG!$B$5,1)</f>
        <v/>
      </c>
      <c r="R553">
        <f>IF(AND(A553&lt;&gt;"",ISNUMBER(A553),B553&lt;&gt;"",C553&lt;&gt;"",OR(E553="USD",E553="CRC"),F553&gt;0,ISNUMBER(Q553),Q553&gt;0),"✓ OK","✗ ERROR: Revisa datos")</f>
        <v/>
      </c>
      <c r="S553" s="6">
        <f>IF(A553&lt;&gt;"",TODAY()-A553,"")</f>
        <v/>
      </c>
      <c r="T553" s="4">
        <f>IF(E553="USD",F553,IF(E553="CRC",F553/CONFIG!$B$5,""))</f>
        <v/>
      </c>
      <c r="U553" s="19">
        <f>IF(A553&lt;&gt;"",A553+30,"")</f>
        <v/>
      </c>
      <c r="V553">
        <f>IF(AND(C553="CxP",S553&gt;60),"Alta",IF(AND(C553="CxP",S553&gt;30),"Media",IF(C553="CxP","Baja","")))</f>
        <v/>
      </c>
      <c r="W553">
        <f>IF(AND(C553="CxC",S553&gt;90),"Alta",IF(AND(C553="CxC",S553&gt;60),"Media",IF(C553="CxC","Baja","")))</f>
        <v/>
      </c>
    </row>
    <row r="554">
      <c r="A554" s="19" t="n"/>
      <c r="F554" s="20" t="n"/>
      <c r="Q554" s="10">
        <f>IF(E554="USD",CONFIG!$B$5,1)</f>
        <v/>
      </c>
      <c r="R554">
        <f>IF(AND(A554&lt;&gt;"",ISNUMBER(A554),B554&lt;&gt;"",C554&lt;&gt;"",OR(E554="USD",E554="CRC"),F554&gt;0,ISNUMBER(Q554),Q554&gt;0),"✓ OK","✗ ERROR: Revisa datos")</f>
        <v/>
      </c>
      <c r="S554" s="6">
        <f>IF(A554&lt;&gt;"",TODAY()-A554,"")</f>
        <v/>
      </c>
      <c r="T554" s="4">
        <f>IF(E554="USD",F554,IF(E554="CRC",F554/CONFIG!$B$5,""))</f>
        <v/>
      </c>
      <c r="U554" s="19">
        <f>IF(A554&lt;&gt;"",A554+30,"")</f>
        <v/>
      </c>
      <c r="V554">
        <f>IF(AND(C554="CxP",S554&gt;60),"Alta",IF(AND(C554="CxP",S554&gt;30),"Media",IF(C554="CxP","Baja","")))</f>
        <v/>
      </c>
      <c r="W554">
        <f>IF(AND(C554="CxC",S554&gt;90),"Alta",IF(AND(C554="CxC",S554&gt;60),"Media",IF(C554="CxC","Baja","")))</f>
        <v/>
      </c>
    </row>
    <row r="555">
      <c r="A555" s="19" t="n"/>
      <c r="F555" s="20" t="n"/>
      <c r="Q555" s="10">
        <f>IF(E555="USD",CONFIG!$B$5,1)</f>
        <v/>
      </c>
      <c r="R555">
        <f>IF(AND(A555&lt;&gt;"",ISNUMBER(A555),B555&lt;&gt;"",C555&lt;&gt;"",OR(E555="USD",E555="CRC"),F555&gt;0,ISNUMBER(Q555),Q555&gt;0),"✓ OK","✗ ERROR: Revisa datos")</f>
        <v/>
      </c>
      <c r="S555" s="6">
        <f>IF(A555&lt;&gt;"",TODAY()-A555,"")</f>
        <v/>
      </c>
      <c r="T555" s="4">
        <f>IF(E555="USD",F555,IF(E555="CRC",F555/CONFIG!$B$5,""))</f>
        <v/>
      </c>
      <c r="U555" s="19">
        <f>IF(A555&lt;&gt;"",A555+30,"")</f>
        <v/>
      </c>
      <c r="V555">
        <f>IF(AND(C555="CxP",S555&gt;60),"Alta",IF(AND(C555="CxP",S555&gt;30),"Media",IF(C555="CxP","Baja","")))</f>
        <v/>
      </c>
      <c r="W555">
        <f>IF(AND(C555="CxC",S555&gt;90),"Alta",IF(AND(C555="CxC",S555&gt;60),"Media",IF(C555="CxC","Baja","")))</f>
        <v/>
      </c>
    </row>
    <row r="556">
      <c r="A556" s="19" t="n"/>
      <c r="F556" s="20" t="n"/>
      <c r="Q556" s="10">
        <f>IF(E556="USD",CONFIG!$B$5,1)</f>
        <v/>
      </c>
      <c r="R556">
        <f>IF(AND(A556&lt;&gt;"",ISNUMBER(A556),B556&lt;&gt;"",C556&lt;&gt;"",OR(E556="USD",E556="CRC"),F556&gt;0,ISNUMBER(Q556),Q556&gt;0),"✓ OK","✗ ERROR: Revisa datos")</f>
        <v/>
      </c>
      <c r="S556" s="6">
        <f>IF(A556&lt;&gt;"",TODAY()-A556,"")</f>
        <v/>
      </c>
      <c r="T556" s="4">
        <f>IF(E556="USD",F556,IF(E556="CRC",F556/CONFIG!$B$5,""))</f>
        <v/>
      </c>
      <c r="U556" s="19">
        <f>IF(A556&lt;&gt;"",A556+30,"")</f>
        <v/>
      </c>
      <c r="V556">
        <f>IF(AND(C556="CxP",S556&gt;60),"Alta",IF(AND(C556="CxP",S556&gt;30),"Media",IF(C556="CxP","Baja","")))</f>
        <v/>
      </c>
      <c r="W556">
        <f>IF(AND(C556="CxC",S556&gt;90),"Alta",IF(AND(C556="CxC",S556&gt;60),"Media",IF(C556="CxC","Baja","")))</f>
        <v/>
      </c>
    </row>
    <row r="557">
      <c r="A557" s="19" t="n"/>
      <c r="F557" s="20" t="n"/>
      <c r="Q557" s="10">
        <f>IF(E557="USD",CONFIG!$B$5,1)</f>
        <v/>
      </c>
      <c r="R557">
        <f>IF(AND(A557&lt;&gt;"",ISNUMBER(A557),B557&lt;&gt;"",C557&lt;&gt;"",OR(E557="USD",E557="CRC"),F557&gt;0,ISNUMBER(Q557),Q557&gt;0),"✓ OK","✗ ERROR: Revisa datos")</f>
        <v/>
      </c>
      <c r="S557" s="6">
        <f>IF(A557&lt;&gt;"",TODAY()-A557,"")</f>
        <v/>
      </c>
      <c r="T557" s="4">
        <f>IF(E557="USD",F557,IF(E557="CRC",F557/CONFIG!$B$5,""))</f>
        <v/>
      </c>
      <c r="U557" s="19">
        <f>IF(A557&lt;&gt;"",A557+30,"")</f>
        <v/>
      </c>
      <c r="V557">
        <f>IF(AND(C557="CxP",S557&gt;60),"Alta",IF(AND(C557="CxP",S557&gt;30),"Media",IF(C557="CxP","Baja","")))</f>
        <v/>
      </c>
      <c r="W557">
        <f>IF(AND(C557="CxC",S557&gt;90),"Alta",IF(AND(C557="CxC",S557&gt;60),"Media",IF(C557="CxC","Baja","")))</f>
        <v/>
      </c>
    </row>
    <row r="558">
      <c r="A558" s="19" t="n"/>
      <c r="F558" s="20" t="n"/>
      <c r="Q558" s="10">
        <f>IF(E558="USD",CONFIG!$B$5,1)</f>
        <v/>
      </c>
      <c r="R558">
        <f>IF(AND(A558&lt;&gt;"",ISNUMBER(A558),B558&lt;&gt;"",C558&lt;&gt;"",OR(E558="USD",E558="CRC"),F558&gt;0,ISNUMBER(Q558),Q558&gt;0),"✓ OK","✗ ERROR: Revisa datos")</f>
        <v/>
      </c>
      <c r="S558" s="6">
        <f>IF(A558&lt;&gt;"",TODAY()-A558,"")</f>
        <v/>
      </c>
      <c r="T558" s="4">
        <f>IF(E558="USD",F558,IF(E558="CRC",F558/CONFIG!$B$5,""))</f>
        <v/>
      </c>
      <c r="U558" s="19">
        <f>IF(A558&lt;&gt;"",A558+30,"")</f>
        <v/>
      </c>
      <c r="V558">
        <f>IF(AND(C558="CxP",S558&gt;60),"Alta",IF(AND(C558="CxP",S558&gt;30),"Media",IF(C558="CxP","Baja","")))</f>
        <v/>
      </c>
      <c r="W558">
        <f>IF(AND(C558="CxC",S558&gt;90),"Alta",IF(AND(C558="CxC",S558&gt;60),"Media",IF(C558="CxC","Baja","")))</f>
        <v/>
      </c>
    </row>
    <row r="559">
      <c r="A559" s="19" t="n"/>
      <c r="F559" s="20" t="n"/>
      <c r="Q559" s="10">
        <f>IF(E559="USD",CONFIG!$B$5,1)</f>
        <v/>
      </c>
      <c r="R559">
        <f>IF(AND(A559&lt;&gt;"",ISNUMBER(A559),B559&lt;&gt;"",C559&lt;&gt;"",OR(E559="USD",E559="CRC"),F559&gt;0,ISNUMBER(Q559),Q559&gt;0),"✓ OK","✗ ERROR: Revisa datos")</f>
        <v/>
      </c>
      <c r="S559" s="6">
        <f>IF(A559&lt;&gt;"",TODAY()-A559,"")</f>
        <v/>
      </c>
      <c r="T559" s="4">
        <f>IF(E559="USD",F559,IF(E559="CRC",F559/CONFIG!$B$5,""))</f>
        <v/>
      </c>
      <c r="U559" s="19">
        <f>IF(A559&lt;&gt;"",A559+30,"")</f>
        <v/>
      </c>
      <c r="V559">
        <f>IF(AND(C559="CxP",S559&gt;60),"Alta",IF(AND(C559="CxP",S559&gt;30),"Media",IF(C559="CxP","Baja","")))</f>
        <v/>
      </c>
      <c r="W559">
        <f>IF(AND(C559="CxC",S559&gt;90),"Alta",IF(AND(C559="CxC",S559&gt;60),"Media",IF(C559="CxC","Baja","")))</f>
        <v/>
      </c>
    </row>
    <row r="560">
      <c r="A560" s="19" t="n"/>
      <c r="F560" s="20" t="n"/>
      <c r="Q560" s="10">
        <f>IF(E560="USD",CONFIG!$B$5,1)</f>
        <v/>
      </c>
      <c r="R560">
        <f>IF(AND(A560&lt;&gt;"",ISNUMBER(A560),B560&lt;&gt;"",C560&lt;&gt;"",OR(E560="USD",E560="CRC"),F560&gt;0,ISNUMBER(Q560),Q560&gt;0),"✓ OK","✗ ERROR: Revisa datos")</f>
        <v/>
      </c>
      <c r="S560" s="6">
        <f>IF(A560&lt;&gt;"",TODAY()-A560,"")</f>
        <v/>
      </c>
      <c r="T560" s="4">
        <f>IF(E560="USD",F560,IF(E560="CRC",F560/CONFIG!$B$5,""))</f>
        <v/>
      </c>
      <c r="U560" s="19">
        <f>IF(A560&lt;&gt;"",A560+30,"")</f>
        <v/>
      </c>
      <c r="V560">
        <f>IF(AND(C560="CxP",S560&gt;60),"Alta",IF(AND(C560="CxP",S560&gt;30),"Media",IF(C560="CxP","Baja","")))</f>
        <v/>
      </c>
      <c r="W560">
        <f>IF(AND(C560="CxC",S560&gt;90),"Alta",IF(AND(C560="CxC",S560&gt;60),"Media",IF(C560="CxC","Baja","")))</f>
        <v/>
      </c>
    </row>
    <row r="561">
      <c r="A561" s="19" t="n"/>
      <c r="F561" s="20" t="n"/>
      <c r="Q561" s="10">
        <f>IF(E561="USD",CONFIG!$B$5,1)</f>
        <v/>
      </c>
      <c r="R561">
        <f>IF(AND(A561&lt;&gt;"",ISNUMBER(A561),B561&lt;&gt;"",C561&lt;&gt;"",OR(E561="USD",E561="CRC"),F561&gt;0,ISNUMBER(Q561),Q561&gt;0),"✓ OK","✗ ERROR: Revisa datos")</f>
        <v/>
      </c>
      <c r="S561" s="6">
        <f>IF(A561&lt;&gt;"",TODAY()-A561,"")</f>
        <v/>
      </c>
      <c r="T561" s="4">
        <f>IF(E561="USD",F561,IF(E561="CRC",F561/CONFIG!$B$5,""))</f>
        <v/>
      </c>
      <c r="U561" s="19">
        <f>IF(A561&lt;&gt;"",A561+30,"")</f>
        <v/>
      </c>
      <c r="V561">
        <f>IF(AND(C561="CxP",S561&gt;60),"Alta",IF(AND(C561="CxP",S561&gt;30),"Media",IF(C561="CxP","Baja","")))</f>
        <v/>
      </c>
      <c r="W561">
        <f>IF(AND(C561="CxC",S561&gt;90),"Alta",IF(AND(C561="CxC",S561&gt;60),"Media",IF(C561="CxC","Baja","")))</f>
        <v/>
      </c>
    </row>
    <row r="562">
      <c r="A562" s="19" t="n"/>
      <c r="F562" s="20" t="n"/>
      <c r="Q562" s="10">
        <f>IF(E562="USD",CONFIG!$B$5,1)</f>
        <v/>
      </c>
      <c r="R562">
        <f>IF(AND(A562&lt;&gt;"",ISNUMBER(A562),B562&lt;&gt;"",C562&lt;&gt;"",OR(E562="USD",E562="CRC"),F562&gt;0,ISNUMBER(Q562),Q562&gt;0),"✓ OK","✗ ERROR: Revisa datos")</f>
        <v/>
      </c>
      <c r="S562" s="6">
        <f>IF(A562&lt;&gt;"",TODAY()-A562,"")</f>
        <v/>
      </c>
      <c r="T562" s="4">
        <f>IF(E562="USD",F562,IF(E562="CRC",F562/CONFIG!$B$5,""))</f>
        <v/>
      </c>
      <c r="U562" s="19">
        <f>IF(A562&lt;&gt;"",A562+30,"")</f>
        <v/>
      </c>
      <c r="V562">
        <f>IF(AND(C562="CxP",S562&gt;60),"Alta",IF(AND(C562="CxP",S562&gt;30),"Media",IF(C562="CxP","Baja","")))</f>
        <v/>
      </c>
      <c r="W562">
        <f>IF(AND(C562="CxC",S562&gt;90),"Alta",IF(AND(C562="CxC",S562&gt;60),"Media",IF(C562="CxC","Baja","")))</f>
        <v/>
      </c>
    </row>
    <row r="563">
      <c r="A563" s="19" t="n"/>
      <c r="F563" s="20" t="n"/>
      <c r="Q563" s="10">
        <f>IF(E563="USD",CONFIG!$B$5,1)</f>
        <v/>
      </c>
      <c r="R563">
        <f>IF(AND(A563&lt;&gt;"",ISNUMBER(A563),B563&lt;&gt;"",C563&lt;&gt;"",OR(E563="USD",E563="CRC"),F563&gt;0,ISNUMBER(Q563),Q563&gt;0),"✓ OK","✗ ERROR: Revisa datos")</f>
        <v/>
      </c>
      <c r="S563" s="6">
        <f>IF(A563&lt;&gt;"",TODAY()-A563,"")</f>
        <v/>
      </c>
      <c r="T563" s="4">
        <f>IF(E563="USD",F563,IF(E563="CRC",F563/CONFIG!$B$5,""))</f>
        <v/>
      </c>
      <c r="U563" s="19">
        <f>IF(A563&lt;&gt;"",A563+30,"")</f>
        <v/>
      </c>
      <c r="V563">
        <f>IF(AND(C563="CxP",S563&gt;60),"Alta",IF(AND(C563="CxP",S563&gt;30),"Media",IF(C563="CxP","Baja","")))</f>
        <v/>
      </c>
      <c r="W563">
        <f>IF(AND(C563="CxC",S563&gt;90),"Alta",IF(AND(C563="CxC",S563&gt;60),"Media",IF(C563="CxC","Baja","")))</f>
        <v/>
      </c>
    </row>
    <row r="564">
      <c r="A564" s="19" t="n"/>
      <c r="F564" s="20" t="n"/>
      <c r="Q564" s="10">
        <f>IF(E564="USD",CONFIG!$B$5,1)</f>
        <v/>
      </c>
      <c r="R564">
        <f>IF(AND(A564&lt;&gt;"",ISNUMBER(A564),B564&lt;&gt;"",C564&lt;&gt;"",OR(E564="USD",E564="CRC"),F564&gt;0,ISNUMBER(Q564),Q564&gt;0),"✓ OK","✗ ERROR: Revisa datos")</f>
        <v/>
      </c>
      <c r="S564" s="6">
        <f>IF(A564&lt;&gt;"",TODAY()-A564,"")</f>
        <v/>
      </c>
      <c r="T564" s="4">
        <f>IF(E564="USD",F564,IF(E564="CRC",F564/CONFIG!$B$5,""))</f>
        <v/>
      </c>
      <c r="U564" s="19">
        <f>IF(A564&lt;&gt;"",A564+30,"")</f>
        <v/>
      </c>
      <c r="V564">
        <f>IF(AND(C564="CxP",S564&gt;60),"Alta",IF(AND(C564="CxP",S564&gt;30),"Media",IF(C564="CxP","Baja","")))</f>
        <v/>
      </c>
      <c r="W564">
        <f>IF(AND(C564="CxC",S564&gt;90),"Alta",IF(AND(C564="CxC",S564&gt;60),"Media",IF(C564="CxC","Baja","")))</f>
        <v/>
      </c>
    </row>
    <row r="565">
      <c r="A565" s="19" t="n"/>
      <c r="F565" s="20" t="n"/>
      <c r="Q565" s="10">
        <f>IF(E565="USD",CONFIG!$B$5,1)</f>
        <v/>
      </c>
      <c r="R565">
        <f>IF(AND(A565&lt;&gt;"",ISNUMBER(A565),B565&lt;&gt;"",C565&lt;&gt;"",OR(E565="USD",E565="CRC"),F565&gt;0,ISNUMBER(Q565),Q565&gt;0),"✓ OK","✗ ERROR: Revisa datos")</f>
        <v/>
      </c>
      <c r="S565" s="6">
        <f>IF(A565&lt;&gt;"",TODAY()-A565,"")</f>
        <v/>
      </c>
      <c r="T565" s="4">
        <f>IF(E565="USD",F565,IF(E565="CRC",F565/CONFIG!$B$5,""))</f>
        <v/>
      </c>
      <c r="U565" s="19">
        <f>IF(A565&lt;&gt;"",A565+30,"")</f>
        <v/>
      </c>
      <c r="V565">
        <f>IF(AND(C565="CxP",S565&gt;60),"Alta",IF(AND(C565="CxP",S565&gt;30),"Media",IF(C565="CxP","Baja","")))</f>
        <v/>
      </c>
      <c r="W565">
        <f>IF(AND(C565="CxC",S565&gt;90),"Alta",IF(AND(C565="CxC",S565&gt;60),"Media",IF(C565="CxC","Baja","")))</f>
        <v/>
      </c>
    </row>
    <row r="566">
      <c r="A566" s="19" t="n"/>
      <c r="F566" s="20" t="n"/>
      <c r="Q566" s="10">
        <f>IF(E566="USD",CONFIG!$B$5,1)</f>
        <v/>
      </c>
      <c r="R566">
        <f>IF(AND(A566&lt;&gt;"",ISNUMBER(A566),B566&lt;&gt;"",C566&lt;&gt;"",OR(E566="USD",E566="CRC"),F566&gt;0,ISNUMBER(Q566),Q566&gt;0),"✓ OK","✗ ERROR: Revisa datos")</f>
        <v/>
      </c>
      <c r="S566" s="6">
        <f>IF(A566&lt;&gt;"",TODAY()-A566,"")</f>
        <v/>
      </c>
      <c r="T566" s="4">
        <f>IF(E566="USD",F566,IF(E566="CRC",F566/CONFIG!$B$5,""))</f>
        <v/>
      </c>
      <c r="U566" s="19">
        <f>IF(A566&lt;&gt;"",A566+30,"")</f>
        <v/>
      </c>
      <c r="V566">
        <f>IF(AND(C566="CxP",S566&gt;60),"Alta",IF(AND(C566="CxP",S566&gt;30),"Media",IF(C566="CxP","Baja","")))</f>
        <v/>
      </c>
      <c r="W566">
        <f>IF(AND(C566="CxC",S566&gt;90),"Alta",IF(AND(C566="CxC",S566&gt;60),"Media",IF(C566="CxC","Baja","")))</f>
        <v/>
      </c>
    </row>
    <row r="567">
      <c r="A567" s="19" t="n"/>
      <c r="F567" s="20" t="n"/>
      <c r="Q567" s="10">
        <f>IF(E567="USD",CONFIG!$B$5,1)</f>
        <v/>
      </c>
      <c r="R567">
        <f>IF(AND(A567&lt;&gt;"",ISNUMBER(A567),B567&lt;&gt;"",C567&lt;&gt;"",OR(E567="USD",E567="CRC"),F567&gt;0,ISNUMBER(Q567),Q567&gt;0),"✓ OK","✗ ERROR: Revisa datos")</f>
        <v/>
      </c>
      <c r="S567" s="6">
        <f>IF(A567&lt;&gt;"",TODAY()-A567,"")</f>
        <v/>
      </c>
      <c r="T567" s="4">
        <f>IF(E567="USD",F567,IF(E567="CRC",F567/CONFIG!$B$5,""))</f>
        <v/>
      </c>
      <c r="U567" s="19">
        <f>IF(A567&lt;&gt;"",A567+30,"")</f>
        <v/>
      </c>
      <c r="V567">
        <f>IF(AND(C567="CxP",S567&gt;60),"Alta",IF(AND(C567="CxP",S567&gt;30),"Media",IF(C567="CxP","Baja","")))</f>
        <v/>
      </c>
      <c r="W567">
        <f>IF(AND(C567="CxC",S567&gt;90),"Alta",IF(AND(C567="CxC",S567&gt;60),"Media",IF(C567="CxC","Baja","")))</f>
        <v/>
      </c>
    </row>
    <row r="568">
      <c r="A568" s="19" t="n"/>
      <c r="F568" s="20" t="n"/>
      <c r="Q568" s="10">
        <f>IF(E568="USD",CONFIG!$B$5,1)</f>
        <v/>
      </c>
      <c r="R568">
        <f>IF(AND(A568&lt;&gt;"",ISNUMBER(A568),B568&lt;&gt;"",C568&lt;&gt;"",OR(E568="USD",E568="CRC"),F568&gt;0,ISNUMBER(Q568),Q568&gt;0),"✓ OK","✗ ERROR: Revisa datos")</f>
        <v/>
      </c>
      <c r="S568" s="6">
        <f>IF(A568&lt;&gt;"",TODAY()-A568,"")</f>
        <v/>
      </c>
      <c r="T568" s="4">
        <f>IF(E568="USD",F568,IF(E568="CRC",F568/CONFIG!$B$5,""))</f>
        <v/>
      </c>
      <c r="U568" s="19">
        <f>IF(A568&lt;&gt;"",A568+30,"")</f>
        <v/>
      </c>
      <c r="V568">
        <f>IF(AND(C568="CxP",S568&gt;60),"Alta",IF(AND(C568="CxP",S568&gt;30),"Media",IF(C568="CxP","Baja","")))</f>
        <v/>
      </c>
      <c r="W568">
        <f>IF(AND(C568="CxC",S568&gt;90),"Alta",IF(AND(C568="CxC",S568&gt;60),"Media",IF(C568="CxC","Baja","")))</f>
        <v/>
      </c>
    </row>
    <row r="569">
      <c r="A569" s="19" t="n"/>
      <c r="F569" s="20" t="n"/>
      <c r="Q569" s="10">
        <f>IF(E569="USD",CONFIG!$B$5,1)</f>
        <v/>
      </c>
      <c r="R569">
        <f>IF(AND(A569&lt;&gt;"",ISNUMBER(A569),B569&lt;&gt;"",C569&lt;&gt;"",OR(E569="USD",E569="CRC"),F569&gt;0,ISNUMBER(Q569),Q569&gt;0),"✓ OK","✗ ERROR: Revisa datos")</f>
        <v/>
      </c>
      <c r="S569" s="6">
        <f>IF(A569&lt;&gt;"",TODAY()-A569,"")</f>
        <v/>
      </c>
      <c r="T569" s="4">
        <f>IF(E569="USD",F569,IF(E569="CRC",F569/CONFIG!$B$5,""))</f>
        <v/>
      </c>
      <c r="U569" s="19">
        <f>IF(A569&lt;&gt;"",A569+30,"")</f>
        <v/>
      </c>
      <c r="V569">
        <f>IF(AND(C569="CxP",S569&gt;60),"Alta",IF(AND(C569="CxP",S569&gt;30),"Media",IF(C569="CxP","Baja","")))</f>
        <v/>
      </c>
      <c r="W569">
        <f>IF(AND(C569="CxC",S569&gt;90),"Alta",IF(AND(C569="CxC",S569&gt;60),"Media",IF(C569="CxC","Baja","")))</f>
        <v/>
      </c>
    </row>
    <row r="570">
      <c r="A570" s="19" t="n"/>
      <c r="F570" s="20" t="n"/>
      <c r="Q570" s="10">
        <f>IF(E570="USD",CONFIG!$B$5,1)</f>
        <v/>
      </c>
      <c r="R570">
        <f>IF(AND(A570&lt;&gt;"",ISNUMBER(A570),B570&lt;&gt;"",C570&lt;&gt;"",OR(E570="USD",E570="CRC"),F570&gt;0,ISNUMBER(Q570),Q570&gt;0),"✓ OK","✗ ERROR: Revisa datos")</f>
        <v/>
      </c>
      <c r="S570" s="6">
        <f>IF(A570&lt;&gt;"",TODAY()-A570,"")</f>
        <v/>
      </c>
      <c r="T570" s="4">
        <f>IF(E570="USD",F570,IF(E570="CRC",F570/CONFIG!$B$5,""))</f>
        <v/>
      </c>
      <c r="U570" s="19">
        <f>IF(A570&lt;&gt;"",A570+30,"")</f>
        <v/>
      </c>
      <c r="V570">
        <f>IF(AND(C570="CxP",S570&gt;60),"Alta",IF(AND(C570="CxP",S570&gt;30),"Media",IF(C570="CxP","Baja","")))</f>
        <v/>
      </c>
      <c r="W570">
        <f>IF(AND(C570="CxC",S570&gt;90),"Alta",IF(AND(C570="CxC",S570&gt;60),"Media",IF(C570="CxC","Baja","")))</f>
        <v/>
      </c>
    </row>
    <row r="571">
      <c r="A571" s="19" t="n"/>
      <c r="F571" s="20" t="n"/>
      <c r="Q571" s="10">
        <f>IF(E571="USD",CONFIG!$B$5,1)</f>
        <v/>
      </c>
      <c r="R571">
        <f>IF(AND(A571&lt;&gt;"",ISNUMBER(A571),B571&lt;&gt;"",C571&lt;&gt;"",OR(E571="USD",E571="CRC"),F571&gt;0,ISNUMBER(Q571),Q571&gt;0),"✓ OK","✗ ERROR: Revisa datos")</f>
        <v/>
      </c>
      <c r="S571" s="6">
        <f>IF(A571&lt;&gt;"",TODAY()-A571,"")</f>
        <v/>
      </c>
      <c r="T571" s="4">
        <f>IF(E571="USD",F571,IF(E571="CRC",F571/CONFIG!$B$5,""))</f>
        <v/>
      </c>
      <c r="U571" s="19">
        <f>IF(A571&lt;&gt;"",A571+30,"")</f>
        <v/>
      </c>
      <c r="V571">
        <f>IF(AND(C571="CxP",S571&gt;60),"Alta",IF(AND(C571="CxP",S571&gt;30),"Media",IF(C571="CxP","Baja","")))</f>
        <v/>
      </c>
      <c r="W571">
        <f>IF(AND(C571="CxC",S571&gt;90),"Alta",IF(AND(C571="CxC",S571&gt;60),"Media",IF(C571="CxC","Baja","")))</f>
        <v/>
      </c>
    </row>
    <row r="572">
      <c r="A572" s="19" t="n"/>
      <c r="F572" s="20" t="n"/>
      <c r="Q572" s="10">
        <f>IF(E572="USD",CONFIG!$B$5,1)</f>
        <v/>
      </c>
      <c r="R572">
        <f>IF(AND(A572&lt;&gt;"",ISNUMBER(A572),B572&lt;&gt;"",C572&lt;&gt;"",OR(E572="USD",E572="CRC"),F572&gt;0,ISNUMBER(Q572),Q572&gt;0),"✓ OK","✗ ERROR: Revisa datos")</f>
        <v/>
      </c>
      <c r="S572" s="6">
        <f>IF(A572&lt;&gt;"",TODAY()-A572,"")</f>
        <v/>
      </c>
      <c r="T572" s="4">
        <f>IF(E572="USD",F572,IF(E572="CRC",F572/CONFIG!$B$5,""))</f>
        <v/>
      </c>
      <c r="U572" s="19">
        <f>IF(A572&lt;&gt;"",A572+30,"")</f>
        <v/>
      </c>
      <c r="V572">
        <f>IF(AND(C572="CxP",S572&gt;60),"Alta",IF(AND(C572="CxP",S572&gt;30),"Media",IF(C572="CxP","Baja","")))</f>
        <v/>
      </c>
      <c r="W572">
        <f>IF(AND(C572="CxC",S572&gt;90),"Alta",IF(AND(C572="CxC",S572&gt;60),"Media",IF(C572="CxC","Baja","")))</f>
        <v/>
      </c>
    </row>
    <row r="573">
      <c r="A573" s="19" t="n"/>
      <c r="F573" s="20" t="n"/>
      <c r="Q573" s="10">
        <f>IF(E573="USD",CONFIG!$B$5,1)</f>
        <v/>
      </c>
      <c r="R573">
        <f>IF(AND(A573&lt;&gt;"",ISNUMBER(A573),B573&lt;&gt;"",C573&lt;&gt;"",OR(E573="USD",E573="CRC"),F573&gt;0,ISNUMBER(Q573),Q573&gt;0),"✓ OK","✗ ERROR: Revisa datos")</f>
        <v/>
      </c>
      <c r="S573" s="6">
        <f>IF(A573&lt;&gt;"",TODAY()-A573,"")</f>
        <v/>
      </c>
      <c r="T573" s="4">
        <f>IF(E573="USD",F573,IF(E573="CRC",F573/CONFIG!$B$5,""))</f>
        <v/>
      </c>
      <c r="U573" s="19">
        <f>IF(A573&lt;&gt;"",A573+30,"")</f>
        <v/>
      </c>
      <c r="V573">
        <f>IF(AND(C573="CxP",S573&gt;60),"Alta",IF(AND(C573="CxP",S573&gt;30),"Media",IF(C573="CxP","Baja","")))</f>
        <v/>
      </c>
      <c r="W573">
        <f>IF(AND(C573="CxC",S573&gt;90),"Alta",IF(AND(C573="CxC",S573&gt;60),"Media",IF(C573="CxC","Baja","")))</f>
        <v/>
      </c>
    </row>
    <row r="574">
      <c r="A574" s="19" t="n"/>
      <c r="F574" s="20" t="n"/>
      <c r="Q574" s="10">
        <f>IF(E574="USD",CONFIG!$B$5,1)</f>
        <v/>
      </c>
      <c r="R574">
        <f>IF(AND(A574&lt;&gt;"",ISNUMBER(A574),B574&lt;&gt;"",C574&lt;&gt;"",OR(E574="USD",E574="CRC"),F574&gt;0,ISNUMBER(Q574),Q574&gt;0),"✓ OK","✗ ERROR: Revisa datos")</f>
        <v/>
      </c>
      <c r="S574" s="6">
        <f>IF(A574&lt;&gt;"",TODAY()-A574,"")</f>
        <v/>
      </c>
      <c r="T574" s="4">
        <f>IF(E574="USD",F574,IF(E574="CRC",F574/CONFIG!$B$5,""))</f>
        <v/>
      </c>
      <c r="U574" s="19">
        <f>IF(A574&lt;&gt;"",A574+30,"")</f>
        <v/>
      </c>
      <c r="V574">
        <f>IF(AND(C574="CxP",S574&gt;60),"Alta",IF(AND(C574="CxP",S574&gt;30),"Media",IF(C574="CxP","Baja","")))</f>
        <v/>
      </c>
      <c r="W574">
        <f>IF(AND(C574="CxC",S574&gt;90),"Alta",IF(AND(C574="CxC",S574&gt;60),"Media",IF(C574="CxC","Baja","")))</f>
        <v/>
      </c>
    </row>
    <row r="575">
      <c r="A575" s="19" t="n"/>
      <c r="F575" s="20" t="n"/>
      <c r="Q575" s="10">
        <f>IF(E575="USD",CONFIG!$B$5,1)</f>
        <v/>
      </c>
      <c r="R575">
        <f>IF(AND(A575&lt;&gt;"",ISNUMBER(A575),B575&lt;&gt;"",C575&lt;&gt;"",OR(E575="USD",E575="CRC"),F575&gt;0,ISNUMBER(Q575),Q575&gt;0),"✓ OK","✗ ERROR: Revisa datos")</f>
        <v/>
      </c>
      <c r="S575" s="6">
        <f>IF(A575&lt;&gt;"",TODAY()-A575,"")</f>
        <v/>
      </c>
      <c r="T575" s="4">
        <f>IF(E575="USD",F575,IF(E575="CRC",F575/CONFIG!$B$5,""))</f>
        <v/>
      </c>
      <c r="U575" s="19">
        <f>IF(A575&lt;&gt;"",A575+30,"")</f>
        <v/>
      </c>
      <c r="V575">
        <f>IF(AND(C575="CxP",S575&gt;60),"Alta",IF(AND(C575="CxP",S575&gt;30),"Media",IF(C575="CxP","Baja","")))</f>
        <v/>
      </c>
      <c r="W575">
        <f>IF(AND(C575="CxC",S575&gt;90),"Alta",IF(AND(C575="CxC",S575&gt;60),"Media",IF(C575="CxC","Baja","")))</f>
        <v/>
      </c>
    </row>
    <row r="576">
      <c r="A576" s="19" t="n"/>
      <c r="F576" s="20" t="n"/>
      <c r="Q576" s="10">
        <f>IF(E576="USD",CONFIG!$B$5,1)</f>
        <v/>
      </c>
      <c r="R576">
        <f>IF(AND(A576&lt;&gt;"",ISNUMBER(A576),B576&lt;&gt;"",C576&lt;&gt;"",OR(E576="USD",E576="CRC"),F576&gt;0,ISNUMBER(Q576),Q576&gt;0),"✓ OK","✗ ERROR: Revisa datos")</f>
        <v/>
      </c>
      <c r="S576" s="6">
        <f>IF(A576&lt;&gt;"",TODAY()-A576,"")</f>
        <v/>
      </c>
      <c r="T576" s="4">
        <f>IF(E576="USD",F576,IF(E576="CRC",F576/CONFIG!$B$5,""))</f>
        <v/>
      </c>
      <c r="U576" s="19">
        <f>IF(A576&lt;&gt;"",A576+30,"")</f>
        <v/>
      </c>
      <c r="V576">
        <f>IF(AND(C576="CxP",S576&gt;60),"Alta",IF(AND(C576="CxP",S576&gt;30),"Media",IF(C576="CxP","Baja","")))</f>
        <v/>
      </c>
      <c r="W576">
        <f>IF(AND(C576="CxC",S576&gt;90),"Alta",IF(AND(C576="CxC",S576&gt;60),"Media",IF(C576="CxC","Baja","")))</f>
        <v/>
      </c>
    </row>
    <row r="577">
      <c r="A577" s="19" t="n"/>
      <c r="F577" s="20" t="n"/>
      <c r="Q577" s="10">
        <f>IF(E577="USD",CONFIG!$B$5,1)</f>
        <v/>
      </c>
      <c r="R577">
        <f>IF(AND(A577&lt;&gt;"",ISNUMBER(A577),B577&lt;&gt;"",C577&lt;&gt;"",OR(E577="USD",E577="CRC"),F577&gt;0,ISNUMBER(Q577),Q577&gt;0),"✓ OK","✗ ERROR: Revisa datos")</f>
        <v/>
      </c>
      <c r="S577" s="6">
        <f>IF(A577&lt;&gt;"",TODAY()-A577,"")</f>
        <v/>
      </c>
      <c r="T577" s="4">
        <f>IF(E577="USD",F577,IF(E577="CRC",F577/CONFIG!$B$5,""))</f>
        <v/>
      </c>
      <c r="U577" s="19">
        <f>IF(A577&lt;&gt;"",A577+30,"")</f>
        <v/>
      </c>
      <c r="V577">
        <f>IF(AND(C577="CxP",S577&gt;60),"Alta",IF(AND(C577="CxP",S577&gt;30),"Media",IF(C577="CxP","Baja","")))</f>
        <v/>
      </c>
      <c r="W577">
        <f>IF(AND(C577="CxC",S577&gt;90),"Alta",IF(AND(C577="CxC",S577&gt;60),"Media",IF(C577="CxC","Baja","")))</f>
        <v/>
      </c>
    </row>
    <row r="578">
      <c r="A578" s="19" t="n"/>
      <c r="F578" s="20" t="n"/>
      <c r="Q578" s="10">
        <f>IF(E578="USD",CONFIG!$B$5,1)</f>
        <v/>
      </c>
      <c r="R578">
        <f>IF(AND(A578&lt;&gt;"",ISNUMBER(A578),B578&lt;&gt;"",C578&lt;&gt;"",OR(E578="USD",E578="CRC"),F578&gt;0,ISNUMBER(Q578),Q578&gt;0),"✓ OK","✗ ERROR: Revisa datos")</f>
        <v/>
      </c>
      <c r="S578" s="6">
        <f>IF(A578&lt;&gt;"",TODAY()-A578,"")</f>
        <v/>
      </c>
      <c r="T578" s="4">
        <f>IF(E578="USD",F578,IF(E578="CRC",F578/CONFIG!$B$5,""))</f>
        <v/>
      </c>
      <c r="U578" s="19">
        <f>IF(A578&lt;&gt;"",A578+30,"")</f>
        <v/>
      </c>
      <c r="V578">
        <f>IF(AND(C578="CxP",S578&gt;60),"Alta",IF(AND(C578="CxP",S578&gt;30),"Media",IF(C578="CxP","Baja","")))</f>
        <v/>
      </c>
      <c r="W578">
        <f>IF(AND(C578="CxC",S578&gt;90),"Alta",IF(AND(C578="CxC",S578&gt;60),"Media",IF(C578="CxC","Baja","")))</f>
        <v/>
      </c>
    </row>
    <row r="579">
      <c r="A579" s="19" t="n"/>
      <c r="F579" s="20" t="n"/>
      <c r="Q579" s="10">
        <f>IF(E579="USD",CONFIG!$B$5,1)</f>
        <v/>
      </c>
      <c r="R579">
        <f>IF(AND(A579&lt;&gt;"",ISNUMBER(A579),B579&lt;&gt;"",C579&lt;&gt;"",OR(E579="USD",E579="CRC"),F579&gt;0,ISNUMBER(Q579),Q579&gt;0),"✓ OK","✗ ERROR: Revisa datos")</f>
        <v/>
      </c>
      <c r="S579" s="6">
        <f>IF(A579&lt;&gt;"",TODAY()-A579,"")</f>
        <v/>
      </c>
      <c r="T579" s="4">
        <f>IF(E579="USD",F579,IF(E579="CRC",F579/CONFIG!$B$5,""))</f>
        <v/>
      </c>
      <c r="U579" s="19">
        <f>IF(A579&lt;&gt;"",A579+30,"")</f>
        <v/>
      </c>
      <c r="V579">
        <f>IF(AND(C579="CxP",S579&gt;60),"Alta",IF(AND(C579="CxP",S579&gt;30),"Media",IF(C579="CxP","Baja","")))</f>
        <v/>
      </c>
      <c r="W579">
        <f>IF(AND(C579="CxC",S579&gt;90),"Alta",IF(AND(C579="CxC",S579&gt;60),"Media",IF(C579="CxC","Baja","")))</f>
        <v/>
      </c>
    </row>
    <row r="580">
      <c r="A580" s="19" t="n"/>
      <c r="F580" s="20" t="n"/>
      <c r="Q580" s="10">
        <f>IF(E580="USD",CONFIG!$B$5,1)</f>
        <v/>
      </c>
      <c r="R580">
        <f>IF(AND(A580&lt;&gt;"",ISNUMBER(A580),B580&lt;&gt;"",C580&lt;&gt;"",OR(E580="USD",E580="CRC"),F580&gt;0,ISNUMBER(Q580),Q580&gt;0),"✓ OK","✗ ERROR: Revisa datos")</f>
        <v/>
      </c>
      <c r="S580" s="6">
        <f>IF(A580&lt;&gt;"",TODAY()-A580,"")</f>
        <v/>
      </c>
      <c r="T580" s="4">
        <f>IF(E580="USD",F580,IF(E580="CRC",F580/CONFIG!$B$5,""))</f>
        <v/>
      </c>
      <c r="U580" s="19">
        <f>IF(A580&lt;&gt;"",A580+30,"")</f>
        <v/>
      </c>
      <c r="V580">
        <f>IF(AND(C580="CxP",S580&gt;60),"Alta",IF(AND(C580="CxP",S580&gt;30),"Media",IF(C580="CxP","Baja","")))</f>
        <v/>
      </c>
      <c r="W580">
        <f>IF(AND(C580="CxC",S580&gt;90),"Alta",IF(AND(C580="CxC",S580&gt;60),"Media",IF(C580="CxC","Baja","")))</f>
        <v/>
      </c>
    </row>
    <row r="581">
      <c r="A581" s="19" t="n"/>
      <c r="F581" s="20" t="n"/>
      <c r="Q581" s="10">
        <f>IF(E581="USD",CONFIG!$B$5,1)</f>
        <v/>
      </c>
      <c r="R581">
        <f>IF(AND(A581&lt;&gt;"",ISNUMBER(A581),B581&lt;&gt;"",C581&lt;&gt;"",OR(E581="USD",E581="CRC"),F581&gt;0,ISNUMBER(Q581),Q581&gt;0),"✓ OK","✗ ERROR: Revisa datos")</f>
        <v/>
      </c>
      <c r="S581" s="6">
        <f>IF(A581&lt;&gt;"",TODAY()-A581,"")</f>
        <v/>
      </c>
      <c r="T581" s="4">
        <f>IF(E581="USD",F581,IF(E581="CRC",F581/CONFIG!$B$5,""))</f>
        <v/>
      </c>
      <c r="U581" s="19">
        <f>IF(A581&lt;&gt;"",A581+30,"")</f>
        <v/>
      </c>
      <c r="V581">
        <f>IF(AND(C581="CxP",S581&gt;60),"Alta",IF(AND(C581="CxP",S581&gt;30),"Media",IF(C581="CxP","Baja","")))</f>
        <v/>
      </c>
      <c r="W581">
        <f>IF(AND(C581="CxC",S581&gt;90),"Alta",IF(AND(C581="CxC",S581&gt;60),"Media",IF(C581="CxC","Baja","")))</f>
        <v/>
      </c>
    </row>
    <row r="582">
      <c r="A582" s="19" t="n"/>
      <c r="F582" s="20" t="n"/>
      <c r="Q582" s="10">
        <f>IF(E582="USD",CONFIG!$B$5,1)</f>
        <v/>
      </c>
      <c r="R582">
        <f>IF(AND(A582&lt;&gt;"",ISNUMBER(A582),B582&lt;&gt;"",C582&lt;&gt;"",OR(E582="USD",E582="CRC"),F582&gt;0,ISNUMBER(Q582),Q582&gt;0),"✓ OK","✗ ERROR: Revisa datos")</f>
        <v/>
      </c>
      <c r="S582" s="6">
        <f>IF(A582&lt;&gt;"",TODAY()-A582,"")</f>
        <v/>
      </c>
      <c r="T582" s="4">
        <f>IF(E582="USD",F582,IF(E582="CRC",F582/CONFIG!$B$5,""))</f>
        <v/>
      </c>
      <c r="U582" s="19">
        <f>IF(A582&lt;&gt;"",A582+30,"")</f>
        <v/>
      </c>
      <c r="V582">
        <f>IF(AND(C582="CxP",S582&gt;60),"Alta",IF(AND(C582="CxP",S582&gt;30),"Media",IF(C582="CxP","Baja","")))</f>
        <v/>
      </c>
      <c r="W582">
        <f>IF(AND(C582="CxC",S582&gt;90),"Alta",IF(AND(C582="CxC",S582&gt;60),"Media",IF(C582="CxC","Baja","")))</f>
        <v/>
      </c>
    </row>
    <row r="583">
      <c r="A583" s="19" t="n"/>
      <c r="F583" s="20" t="n"/>
      <c r="Q583" s="10">
        <f>IF(E583="USD",CONFIG!$B$5,1)</f>
        <v/>
      </c>
      <c r="R583">
        <f>IF(AND(A583&lt;&gt;"",ISNUMBER(A583),B583&lt;&gt;"",C583&lt;&gt;"",OR(E583="USD",E583="CRC"),F583&gt;0,ISNUMBER(Q583),Q583&gt;0),"✓ OK","✗ ERROR: Revisa datos")</f>
        <v/>
      </c>
      <c r="S583" s="6">
        <f>IF(A583&lt;&gt;"",TODAY()-A583,"")</f>
        <v/>
      </c>
      <c r="T583" s="4">
        <f>IF(E583="USD",F583,IF(E583="CRC",F583/CONFIG!$B$5,""))</f>
        <v/>
      </c>
      <c r="U583" s="19">
        <f>IF(A583&lt;&gt;"",A583+30,"")</f>
        <v/>
      </c>
      <c r="V583">
        <f>IF(AND(C583="CxP",S583&gt;60),"Alta",IF(AND(C583="CxP",S583&gt;30),"Media",IF(C583="CxP","Baja","")))</f>
        <v/>
      </c>
      <c r="W583">
        <f>IF(AND(C583="CxC",S583&gt;90),"Alta",IF(AND(C583="CxC",S583&gt;60),"Media",IF(C583="CxC","Baja","")))</f>
        <v/>
      </c>
    </row>
    <row r="584">
      <c r="A584" s="19" t="n"/>
      <c r="F584" s="20" t="n"/>
      <c r="Q584" s="10">
        <f>IF(E584="USD",CONFIG!$B$5,1)</f>
        <v/>
      </c>
      <c r="R584">
        <f>IF(AND(A584&lt;&gt;"",ISNUMBER(A584),B584&lt;&gt;"",C584&lt;&gt;"",OR(E584="USD",E584="CRC"),F584&gt;0,ISNUMBER(Q584),Q584&gt;0),"✓ OK","✗ ERROR: Revisa datos")</f>
        <v/>
      </c>
      <c r="S584" s="6">
        <f>IF(A584&lt;&gt;"",TODAY()-A584,"")</f>
        <v/>
      </c>
      <c r="T584" s="4">
        <f>IF(E584="USD",F584,IF(E584="CRC",F584/CONFIG!$B$5,""))</f>
        <v/>
      </c>
      <c r="U584" s="19">
        <f>IF(A584&lt;&gt;"",A584+30,"")</f>
        <v/>
      </c>
      <c r="V584">
        <f>IF(AND(C584="CxP",S584&gt;60),"Alta",IF(AND(C584="CxP",S584&gt;30),"Media",IF(C584="CxP","Baja","")))</f>
        <v/>
      </c>
      <c r="W584">
        <f>IF(AND(C584="CxC",S584&gt;90),"Alta",IF(AND(C584="CxC",S584&gt;60),"Media",IF(C584="CxC","Baja","")))</f>
        <v/>
      </c>
    </row>
    <row r="585">
      <c r="A585" s="19" t="n"/>
      <c r="F585" s="20" t="n"/>
      <c r="Q585" s="10">
        <f>IF(E585="USD",CONFIG!$B$5,1)</f>
        <v/>
      </c>
      <c r="R585">
        <f>IF(AND(A585&lt;&gt;"",ISNUMBER(A585),B585&lt;&gt;"",C585&lt;&gt;"",OR(E585="USD",E585="CRC"),F585&gt;0,ISNUMBER(Q585),Q585&gt;0),"✓ OK","✗ ERROR: Revisa datos")</f>
        <v/>
      </c>
      <c r="S585" s="6">
        <f>IF(A585&lt;&gt;"",TODAY()-A585,"")</f>
        <v/>
      </c>
      <c r="T585" s="4">
        <f>IF(E585="USD",F585,IF(E585="CRC",F585/CONFIG!$B$5,""))</f>
        <v/>
      </c>
      <c r="U585" s="19">
        <f>IF(A585&lt;&gt;"",A585+30,"")</f>
        <v/>
      </c>
      <c r="V585">
        <f>IF(AND(C585="CxP",S585&gt;60),"Alta",IF(AND(C585="CxP",S585&gt;30),"Media",IF(C585="CxP","Baja","")))</f>
        <v/>
      </c>
      <c r="W585">
        <f>IF(AND(C585="CxC",S585&gt;90),"Alta",IF(AND(C585="CxC",S585&gt;60),"Media",IF(C585="CxC","Baja","")))</f>
        <v/>
      </c>
    </row>
    <row r="586">
      <c r="A586" s="19" t="n"/>
      <c r="F586" s="20" t="n"/>
      <c r="Q586" s="10">
        <f>IF(E586="USD",CONFIG!$B$5,1)</f>
        <v/>
      </c>
      <c r="R586">
        <f>IF(AND(A586&lt;&gt;"",ISNUMBER(A586),B586&lt;&gt;"",C586&lt;&gt;"",OR(E586="USD",E586="CRC"),F586&gt;0,ISNUMBER(Q586),Q586&gt;0),"✓ OK","✗ ERROR: Revisa datos")</f>
        <v/>
      </c>
      <c r="S586" s="6">
        <f>IF(A586&lt;&gt;"",TODAY()-A586,"")</f>
        <v/>
      </c>
      <c r="T586" s="4">
        <f>IF(E586="USD",F586,IF(E586="CRC",F586/CONFIG!$B$5,""))</f>
        <v/>
      </c>
      <c r="U586" s="19">
        <f>IF(A586&lt;&gt;"",A586+30,"")</f>
        <v/>
      </c>
      <c r="V586">
        <f>IF(AND(C586="CxP",S586&gt;60),"Alta",IF(AND(C586="CxP",S586&gt;30),"Media",IF(C586="CxP","Baja","")))</f>
        <v/>
      </c>
      <c r="W586">
        <f>IF(AND(C586="CxC",S586&gt;90),"Alta",IF(AND(C586="CxC",S586&gt;60),"Media",IF(C586="CxC","Baja","")))</f>
        <v/>
      </c>
    </row>
    <row r="587">
      <c r="A587" s="19" t="n"/>
      <c r="F587" s="20" t="n"/>
      <c r="Q587" s="10">
        <f>IF(E587="USD",CONFIG!$B$5,1)</f>
        <v/>
      </c>
      <c r="R587">
        <f>IF(AND(A587&lt;&gt;"",ISNUMBER(A587),B587&lt;&gt;"",C587&lt;&gt;"",OR(E587="USD",E587="CRC"),F587&gt;0,ISNUMBER(Q587),Q587&gt;0),"✓ OK","✗ ERROR: Revisa datos")</f>
        <v/>
      </c>
      <c r="S587" s="6">
        <f>IF(A587&lt;&gt;"",TODAY()-A587,"")</f>
        <v/>
      </c>
      <c r="T587" s="4">
        <f>IF(E587="USD",F587,IF(E587="CRC",F587/CONFIG!$B$5,""))</f>
        <v/>
      </c>
      <c r="U587" s="19">
        <f>IF(A587&lt;&gt;"",A587+30,"")</f>
        <v/>
      </c>
      <c r="V587">
        <f>IF(AND(C587="CxP",S587&gt;60),"Alta",IF(AND(C587="CxP",S587&gt;30),"Media",IF(C587="CxP","Baja","")))</f>
        <v/>
      </c>
      <c r="W587">
        <f>IF(AND(C587="CxC",S587&gt;90),"Alta",IF(AND(C587="CxC",S587&gt;60),"Media",IF(C587="CxC","Baja","")))</f>
        <v/>
      </c>
    </row>
    <row r="588">
      <c r="A588" s="19" t="n"/>
      <c r="F588" s="20" t="n"/>
      <c r="Q588" s="10">
        <f>IF(E588="USD",CONFIG!$B$5,1)</f>
        <v/>
      </c>
      <c r="R588">
        <f>IF(AND(A588&lt;&gt;"",ISNUMBER(A588),B588&lt;&gt;"",C588&lt;&gt;"",OR(E588="USD",E588="CRC"),F588&gt;0,ISNUMBER(Q588),Q588&gt;0),"✓ OK","✗ ERROR: Revisa datos")</f>
        <v/>
      </c>
      <c r="S588" s="6">
        <f>IF(A588&lt;&gt;"",TODAY()-A588,"")</f>
        <v/>
      </c>
      <c r="T588" s="4">
        <f>IF(E588="USD",F588,IF(E588="CRC",F588/CONFIG!$B$5,""))</f>
        <v/>
      </c>
      <c r="U588" s="19">
        <f>IF(A588&lt;&gt;"",A588+30,"")</f>
        <v/>
      </c>
      <c r="V588">
        <f>IF(AND(C588="CxP",S588&gt;60),"Alta",IF(AND(C588="CxP",S588&gt;30),"Media",IF(C588="CxP","Baja","")))</f>
        <v/>
      </c>
      <c r="W588">
        <f>IF(AND(C588="CxC",S588&gt;90),"Alta",IF(AND(C588="CxC",S588&gt;60),"Media",IF(C588="CxC","Baja","")))</f>
        <v/>
      </c>
    </row>
    <row r="589">
      <c r="A589" s="19" t="n"/>
      <c r="F589" s="20" t="n"/>
      <c r="Q589" s="10">
        <f>IF(E589="USD",CONFIG!$B$5,1)</f>
        <v/>
      </c>
      <c r="R589">
        <f>IF(AND(A589&lt;&gt;"",ISNUMBER(A589),B589&lt;&gt;"",C589&lt;&gt;"",OR(E589="USD",E589="CRC"),F589&gt;0,ISNUMBER(Q589),Q589&gt;0),"✓ OK","✗ ERROR: Revisa datos")</f>
        <v/>
      </c>
      <c r="S589" s="6">
        <f>IF(A589&lt;&gt;"",TODAY()-A589,"")</f>
        <v/>
      </c>
      <c r="T589" s="4">
        <f>IF(E589="USD",F589,IF(E589="CRC",F589/CONFIG!$B$5,""))</f>
        <v/>
      </c>
      <c r="U589" s="19">
        <f>IF(A589&lt;&gt;"",A589+30,"")</f>
        <v/>
      </c>
      <c r="V589">
        <f>IF(AND(C589="CxP",S589&gt;60),"Alta",IF(AND(C589="CxP",S589&gt;30),"Media",IF(C589="CxP","Baja","")))</f>
        <v/>
      </c>
      <c r="W589">
        <f>IF(AND(C589="CxC",S589&gt;90),"Alta",IF(AND(C589="CxC",S589&gt;60),"Media",IF(C589="CxC","Baja","")))</f>
        <v/>
      </c>
    </row>
    <row r="590">
      <c r="A590" s="19" t="n"/>
      <c r="F590" s="20" t="n"/>
      <c r="Q590" s="10">
        <f>IF(E590="USD",CONFIG!$B$5,1)</f>
        <v/>
      </c>
      <c r="R590">
        <f>IF(AND(A590&lt;&gt;"",ISNUMBER(A590),B590&lt;&gt;"",C590&lt;&gt;"",OR(E590="USD",E590="CRC"),F590&gt;0,ISNUMBER(Q590),Q590&gt;0),"✓ OK","✗ ERROR: Revisa datos")</f>
        <v/>
      </c>
      <c r="S590" s="6">
        <f>IF(A590&lt;&gt;"",TODAY()-A590,"")</f>
        <v/>
      </c>
      <c r="T590" s="4">
        <f>IF(E590="USD",F590,IF(E590="CRC",F590/CONFIG!$B$5,""))</f>
        <v/>
      </c>
      <c r="U590" s="19">
        <f>IF(A590&lt;&gt;"",A590+30,"")</f>
        <v/>
      </c>
      <c r="V590">
        <f>IF(AND(C590="CxP",S590&gt;60),"Alta",IF(AND(C590="CxP",S590&gt;30),"Media",IF(C590="CxP","Baja","")))</f>
        <v/>
      </c>
      <c r="W590">
        <f>IF(AND(C590="CxC",S590&gt;90),"Alta",IF(AND(C590="CxC",S590&gt;60),"Media",IF(C590="CxC","Baja","")))</f>
        <v/>
      </c>
    </row>
    <row r="591">
      <c r="A591" s="19" t="n"/>
      <c r="F591" s="20" t="n"/>
      <c r="Q591" s="10">
        <f>IF(E591="USD",CONFIG!$B$5,1)</f>
        <v/>
      </c>
      <c r="R591">
        <f>IF(AND(A591&lt;&gt;"",ISNUMBER(A591),B591&lt;&gt;"",C591&lt;&gt;"",OR(E591="USD",E591="CRC"),F591&gt;0,ISNUMBER(Q591),Q591&gt;0),"✓ OK","✗ ERROR: Revisa datos")</f>
        <v/>
      </c>
      <c r="S591" s="6">
        <f>IF(A591&lt;&gt;"",TODAY()-A591,"")</f>
        <v/>
      </c>
      <c r="T591" s="4">
        <f>IF(E591="USD",F591,IF(E591="CRC",F591/CONFIG!$B$5,""))</f>
        <v/>
      </c>
      <c r="U591" s="19">
        <f>IF(A591&lt;&gt;"",A591+30,"")</f>
        <v/>
      </c>
      <c r="V591">
        <f>IF(AND(C591="CxP",S591&gt;60),"Alta",IF(AND(C591="CxP",S591&gt;30),"Media",IF(C591="CxP","Baja","")))</f>
        <v/>
      </c>
      <c r="W591">
        <f>IF(AND(C591="CxC",S591&gt;90),"Alta",IF(AND(C591="CxC",S591&gt;60),"Media",IF(C591="CxC","Baja","")))</f>
        <v/>
      </c>
    </row>
    <row r="592">
      <c r="A592" s="19" t="n"/>
      <c r="F592" s="20" t="n"/>
      <c r="Q592" s="10">
        <f>IF(E592="USD",CONFIG!$B$5,1)</f>
        <v/>
      </c>
      <c r="R592">
        <f>IF(AND(A592&lt;&gt;"",ISNUMBER(A592),B592&lt;&gt;"",C592&lt;&gt;"",OR(E592="USD",E592="CRC"),F592&gt;0,ISNUMBER(Q592),Q592&gt;0),"✓ OK","✗ ERROR: Revisa datos")</f>
        <v/>
      </c>
      <c r="S592" s="6">
        <f>IF(A592&lt;&gt;"",TODAY()-A592,"")</f>
        <v/>
      </c>
      <c r="T592" s="4">
        <f>IF(E592="USD",F592,IF(E592="CRC",F592/CONFIG!$B$5,""))</f>
        <v/>
      </c>
      <c r="U592" s="19">
        <f>IF(A592&lt;&gt;"",A592+30,"")</f>
        <v/>
      </c>
      <c r="V592">
        <f>IF(AND(C592="CxP",S592&gt;60),"Alta",IF(AND(C592="CxP",S592&gt;30),"Media",IF(C592="CxP","Baja","")))</f>
        <v/>
      </c>
      <c r="W592">
        <f>IF(AND(C592="CxC",S592&gt;90),"Alta",IF(AND(C592="CxC",S592&gt;60),"Media",IF(C592="CxC","Baja","")))</f>
        <v/>
      </c>
    </row>
    <row r="593">
      <c r="A593" s="19" t="n"/>
      <c r="F593" s="20" t="n"/>
      <c r="Q593" s="10">
        <f>IF(E593="USD",CONFIG!$B$5,1)</f>
        <v/>
      </c>
      <c r="R593">
        <f>IF(AND(A593&lt;&gt;"",ISNUMBER(A593),B593&lt;&gt;"",C593&lt;&gt;"",OR(E593="USD",E593="CRC"),F593&gt;0,ISNUMBER(Q593),Q593&gt;0),"✓ OK","✗ ERROR: Revisa datos")</f>
        <v/>
      </c>
      <c r="S593" s="6">
        <f>IF(A593&lt;&gt;"",TODAY()-A593,"")</f>
        <v/>
      </c>
      <c r="T593" s="4">
        <f>IF(E593="USD",F593,IF(E593="CRC",F593/CONFIG!$B$5,""))</f>
        <v/>
      </c>
      <c r="U593" s="19">
        <f>IF(A593&lt;&gt;"",A593+30,"")</f>
        <v/>
      </c>
      <c r="V593">
        <f>IF(AND(C593="CxP",S593&gt;60),"Alta",IF(AND(C593="CxP",S593&gt;30),"Media",IF(C593="CxP","Baja","")))</f>
        <v/>
      </c>
      <c r="W593">
        <f>IF(AND(C593="CxC",S593&gt;90),"Alta",IF(AND(C593="CxC",S593&gt;60),"Media",IF(C593="CxC","Baja","")))</f>
        <v/>
      </c>
    </row>
    <row r="594">
      <c r="A594" s="19" t="n"/>
      <c r="F594" s="20" t="n"/>
      <c r="Q594" s="10">
        <f>IF(E594="USD",CONFIG!$B$5,1)</f>
        <v/>
      </c>
      <c r="R594">
        <f>IF(AND(A594&lt;&gt;"",ISNUMBER(A594),B594&lt;&gt;"",C594&lt;&gt;"",OR(E594="USD",E594="CRC"),F594&gt;0,ISNUMBER(Q594),Q594&gt;0),"✓ OK","✗ ERROR: Revisa datos")</f>
        <v/>
      </c>
      <c r="S594" s="6">
        <f>IF(A594&lt;&gt;"",TODAY()-A594,"")</f>
        <v/>
      </c>
      <c r="T594" s="4">
        <f>IF(E594="USD",F594,IF(E594="CRC",F594/CONFIG!$B$5,""))</f>
        <v/>
      </c>
      <c r="U594" s="19">
        <f>IF(A594&lt;&gt;"",A594+30,"")</f>
        <v/>
      </c>
      <c r="V594">
        <f>IF(AND(C594="CxP",S594&gt;60),"Alta",IF(AND(C594="CxP",S594&gt;30),"Media",IF(C594="CxP","Baja","")))</f>
        <v/>
      </c>
      <c r="W594">
        <f>IF(AND(C594="CxC",S594&gt;90),"Alta",IF(AND(C594="CxC",S594&gt;60),"Media",IF(C594="CxC","Baja","")))</f>
        <v/>
      </c>
    </row>
    <row r="595">
      <c r="A595" s="19" t="n"/>
      <c r="F595" s="20" t="n"/>
      <c r="Q595" s="10">
        <f>IF(E595="USD",CONFIG!$B$5,1)</f>
        <v/>
      </c>
      <c r="R595">
        <f>IF(AND(A595&lt;&gt;"",ISNUMBER(A595),B595&lt;&gt;"",C595&lt;&gt;"",OR(E595="USD",E595="CRC"),F595&gt;0,ISNUMBER(Q595),Q595&gt;0),"✓ OK","✗ ERROR: Revisa datos")</f>
        <v/>
      </c>
      <c r="S595" s="6">
        <f>IF(A595&lt;&gt;"",TODAY()-A595,"")</f>
        <v/>
      </c>
      <c r="T595" s="4">
        <f>IF(E595="USD",F595,IF(E595="CRC",F595/CONFIG!$B$5,""))</f>
        <v/>
      </c>
      <c r="U595" s="19">
        <f>IF(A595&lt;&gt;"",A595+30,"")</f>
        <v/>
      </c>
      <c r="V595">
        <f>IF(AND(C595="CxP",S595&gt;60),"Alta",IF(AND(C595="CxP",S595&gt;30),"Media",IF(C595="CxP","Baja","")))</f>
        <v/>
      </c>
      <c r="W595">
        <f>IF(AND(C595="CxC",S595&gt;90),"Alta",IF(AND(C595="CxC",S595&gt;60),"Media",IF(C595="CxC","Baja","")))</f>
        <v/>
      </c>
    </row>
    <row r="596">
      <c r="A596" s="19" t="n"/>
      <c r="F596" s="20" t="n"/>
      <c r="Q596" s="10">
        <f>IF(E596="USD",CONFIG!$B$5,1)</f>
        <v/>
      </c>
      <c r="R596">
        <f>IF(AND(A596&lt;&gt;"",ISNUMBER(A596),B596&lt;&gt;"",C596&lt;&gt;"",OR(E596="USD",E596="CRC"),F596&gt;0,ISNUMBER(Q596),Q596&gt;0),"✓ OK","✗ ERROR: Revisa datos")</f>
        <v/>
      </c>
      <c r="S596" s="6">
        <f>IF(A596&lt;&gt;"",TODAY()-A596,"")</f>
        <v/>
      </c>
      <c r="T596" s="4">
        <f>IF(E596="USD",F596,IF(E596="CRC",F596/CONFIG!$B$5,""))</f>
        <v/>
      </c>
      <c r="U596" s="19">
        <f>IF(A596&lt;&gt;"",A596+30,"")</f>
        <v/>
      </c>
      <c r="V596">
        <f>IF(AND(C596="CxP",S596&gt;60),"Alta",IF(AND(C596="CxP",S596&gt;30),"Media",IF(C596="CxP","Baja","")))</f>
        <v/>
      </c>
      <c r="W596">
        <f>IF(AND(C596="CxC",S596&gt;90),"Alta",IF(AND(C596="CxC",S596&gt;60),"Media",IF(C596="CxC","Baja","")))</f>
        <v/>
      </c>
    </row>
    <row r="597">
      <c r="A597" s="19" t="n"/>
      <c r="F597" s="20" t="n"/>
      <c r="Q597" s="10">
        <f>IF(E597="USD",CONFIG!$B$5,1)</f>
        <v/>
      </c>
      <c r="R597">
        <f>IF(AND(A597&lt;&gt;"",ISNUMBER(A597),B597&lt;&gt;"",C597&lt;&gt;"",OR(E597="USD",E597="CRC"),F597&gt;0,ISNUMBER(Q597),Q597&gt;0),"✓ OK","✗ ERROR: Revisa datos")</f>
        <v/>
      </c>
      <c r="S597" s="6">
        <f>IF(A597&lt;&gt;"",TODAY()-A597,"")</f>
        <v/>
      </c>
      <c r="T597" s="4">
        <f>IF(E597="USD",F597,IF(E597="CRC",F597/CONFIG!$B$5,""))</f>
        <v/>
      </c>
      <c r="U597" s="19">
        <f>IF(A597&lt;&gt;"",A597+30,"")</f>
        <v/>
      </c>
      <c r="V597">
        <f>IF(AND(C597="CxP",S597&gt;60),"Alta",IF(AND(C597="CxP",S597&gt;30),"Media",IF(C597="CxP","Baja","")))</f>
        <v/>
      </c>
      <c r="W597">
        <f>IF(AND(C597="CxC",S597&gt;90),"Alta",IF(AND(C597="CxC",S597&gt;60),"Media",IF(C597="CxC","Baja","")))</f>
        <v/>
      </c>
    </row>
    <row r="598">
      <c r="A598" s="19" t="n"/>
      <c r="F598" s="20" t="n"/>
      <c r="Q598" s="10">
        <f>IF(E598="USD",CONFIG!$B$5,1)</f>
        <v/>
      </c>
      <c r="R598">
        <f>IF(AND(A598&lt;&gt;"",ISNUMBER(A598),B598&lt;&gt;"",C598&lt;&gt;"",OR(E598="USD",E598="CRC"),F598&gt;0,ISNUMBER(Q598),Q598&gt;0),"✓ OK","✗ ERROR: Revisa datos")</f>
        <v/>
      </c>
      <c r="S598" s="6">
        <f>IF(A598&lt;&gt;"",TODAY()-A598,"")</f>
        <v/>
      </c>
      <c r="T598" s="4">
        <f>IF(E598="USD",F598,IF(E598="CRC",F598/CONFIG!$B$5,""))</f>
        <v/>
      </c>
      <c r="U598" s="19">
        <f>IF(A598&lt;&gt;"",A598+30,"")</f>
        <v/>
      </c>
      <c r="V598">
        <f>IF(AND(C598="CxP",S598&gt;60),"Alta",IF(AND(C598="CxP",S598&gt;30),"Media",IF(C598="CxP","Baja","")))</f>
        <v/>
      </c>
      <c r="W598">
        <f>IF(AND(C598="CxC",S598&gt;90),"Alta",IF(AND(C598="CxC",S598&gt;60),"Media",IF(C598="CxC","Baja","")))</f>
        <v/>
      </c>
    </row>
    <row r="599">
      <c r="A599" s="19" t="n"/>
      <c r="F599" s="20" t="n"/>
      <c r="Q599" s="10">
        <f>IF(E599="USD",CONFIG!$B$5,1)</f>
        <v/>
      </c>
      <c r="R599">
        <f>IF(AND(A599&lt;&gt;"",ISNUMBER(A599),B599&lt;&gt;"",C599&lt;&gt;"",OR(E599="USD",E599="CRC"),F599&gt;0,ISNUMBER(Q599),Q599&gt;0),"✓ OK","✗ ERROR: Revisa datos")</f>
        <v/>
      </c>
      <c r="S599" s="6">
        <f>IF(A599&lt;&gt;"",TODAY()-A599,"")</f>
        <v/>
      </c>
      <c r="T599" s="4">
        <f>IF(E599="USD",F599,IF(E599="CRC",F599/CONFIG!$B$5,""))</f>
        <v/>
      </c>
      <c r="U599" s="19">
        <f>IF(A599&lt;&gt;"",A599+30,"")</f>
        <v/>
      </c>
      <c r="V599">
        <f>IF(AND(C599="CxP",S599&gt;60),"Alta",IF(AND(C599="CxP",S599&gt;30),"Media",IF(C599="CxP","Baja","")))</f>
        <v/>
      </c>
      <c r="W599">
        <f>IF(AND(C599="CxC",S599&gt;90),"Alta",IF(AND(C599="CxC",S599&gt;60),"Media",IF(C599="CxC","Baja","")))</f>
        <v/>
      </c>
    </row>
    <row r="600">
      <c r="A600" s="19" t="n"/>
      <c r="F600" s="20" t="n"/>
      <c r="Q600" s="10">
        <f>IF(E600="USD",CONFIG!$B$5,1)</f>
        <v/>
      </c>
      <c r="R600">
        <f>IF(AND(A600&lt;&gt;"",ISNUMBER(A600),B600&lt;&gt;"",C600&lt;&gt;"",OR(E600="USD",E600="CRC"),F600&gt;0,ISNUMBER(Q600),Q600&gt;0),"✓ OK","✗ ERROR: Revisa datos")</f>
        <v/>
      </c>
      <c r="S600" s="6">
        <f>IF(A600&lt;&gt;"",TODAY()-A600,"")</f>
        <v/>
      </c>
      <c r="T600" s="4">
        <f>IF(E600="USD",F600,IF(E600="CRC",F600/CONFIG!$B$5,""))</f>
        <v/>
      </c>
      <c r="U600" s="19">
        <f>IF(A600&lt;&gt;"",A600+30,"")</f>
        <v/>
      </c>
      <c r="V600">
        <f>IF(AND(C600="CxP",S600&gt;60),"Alta",IF(AND(C600="CxP",S600&gt;30),"Media",IF(C600="CxP","Baja","")))</f>
        <v/>
      </c>
      <c r="W600">
        <f>IF(AND(C600="CxC",S600&gt;90),"Alta",IF(AND(C600="CxC",S600&gt;60),"Media",IF(C600="CxC","Baja","")))</f>
        <v/>
      </c>
    </row>
    <row r="601">
      <c r="A601" s="19" t="n"/>
      <c r="F601" s="20" t="n"/>
      <c r="Q601" s="10">
        <f>IF(E601="USD",CONFIG!$B$5,1)</f>
        <v/>
      </c>
      <c r="R601">
        <f>IF(AND(A601&lt;&gt;"",ISNUMBER(A601),B601&lt;&gt;"",C601&lt;&gt;"",OR(E601="USD",E601="CRC"),F601&gt;0,ISNUMBER(Q601),Q601&gt;0),"✓ OK","✗ ERROR: Revisa datos")</f>
        <v/>
      </c>
      <c r="S601" s="6">
        <f>IF(A601&lt;&gt;"",TODAY()-A601,"")</f>
        <v/>
      </c>
      <c r="T601" s="4">
        <f>IF(E601="USD",F601,IF(E601="CRC",F601/CONFIG!$B$5,""))</f>
        <v/>
      </c>
      <c r="U601" s="19">
        <f>IF(A601&lt;&gt;"",A601+30,"")</f>
        <v/>
      </c>
      <c r="V601">
        <f>IF(AND(C601="CxP",S601&gt;60),"Alta",IF(AND(C601="CxP",S601&gt;30),"Media",IF(C601="CxP","Baja","")))</f>
        <v/>
      </c>
      <c r="W601">
        <f>IF(AND(C601="CxC",S601&gt;90),"Alta",IF(AND(C601="CxC",S601&gt;60),"Media",IF(C601="CxC","Baja","")))</f>
        <v/>
      </c>
    </row>
    <row r="602">
      <c r="A602" s="19" t="n"/>
      <c r="F602" s="20" t="n"/>
      <c r="Q602" s="10">
        <f>IF(E602="USD",CONFIG!$B$5,1)</f>
        <v/>
      </c>
      <c r="R602">
        <f>IF(AND(A602&lt;&gt;"",ISNUMBER(A602),B602&lt;&gt;"",C602&lt;&gt;"",OR(E602="USD",E602="CRC"),F602&gt;0,ISNUMBER(Q602),Q602&gt;0),"✓ OK","✗ ERROR: Revisa datos")</f>
        <v/>
      </c>
      <c r="S602" s="6">
        <f>IF(A602&lt;&gt;"",TODAY()-A602,"")</f>
        <v/>
      </c>
      <c r="T602" s="4">
        <f>IF(E602="USD",F602,IF(E602="CRC",F602/CONFIG!$B$5,""))</f>
        <v/>
      </c>
      <c r="U602" s="19">
        <f>IF(A602&lt;&gt;"",A602+30,"")</f>
        <v/>
      </c>
      <c r="V602">
        <f>IF(AND(C602="CxP",S602&gt;60),"Alta",IF(AND(C602="CxP",S602&gt;30),"Media",IF(C602="CxP","Baja","")))</f>
        <v/>
      </c>
      <c r="W602">
        <f>IF(AND(C602="CxC",S602&gt;90),"Alta",IF(AND(C602="CxC",S602&gt;60),"Media",IF(C602="CxC","Baja","")))</f>
        <v/>
      </c>
    </row>
    <row r="603">
      <c r="A603" s="19" t="n"/>
      <c r="F603" s="20" t="n"/>
      <c r="Q603" s="10">
        <f>IF(E603="USD",CONFIG!$B$5,1)</f>
        <v/>
      </c>
      <c r="R603">
        <f>IF(AND(A603&lt;&gt;"",ISNUMBER(A603),B603&lt;&gt;"",C603&lt;&gt;"",OR(E603="USD",E603="CRC"),F603&gt;0,ISNUMBER(Q603),Q603&gt;0),"✓ OK","✗ ERROR: Revisa datos")</f>
        <v/>
      </c>
      <c r="S603" s="6">
        <f>IF(A603&lt;&gt;"",TODAY()-A603,"")</f>
        <v/>
      </c>
      <c r="T603" s="4">
        <f>IF(E603="USD",F603,IF(E603="CRC",F603/CONFIG!$B$5,""))</f>
        <v/>
      </c>
      <c r="U603" s="19">
        <f>IF(A603&lt;&gt;"",A603+30,"")</f>
        <v/>
      </c>
      <c r="V603">
        <f>IF(AND(C603="CxP",S603&gt;60),"Alta",IF(AND(C603="CxP",S603&gt;30),"Media",IF(C603="CxP","Baja","")))</f>
        <v/>
      </c>
      <c r="W603">
        <f>IF(AND(C603="CxC",S603&gt;90),"Alta",IF(AND(C603="CxC",S603&gt;60),"Media",IF(C603="CxC","Baja","")))</f>
        <v/>
      </c>
    </row>
    <row r="604">
      <c r="A604" s="19" t="n"/>
      <c r="F604" s="20" t="n"/>
      <c r="Q604" s="10">
        <f>IF(E604="USD",CONFIG!$B$5,1)</f>
        <v/>
      </c>
      <c r="R604">
        <f>IF(AND(A604&lt;&gt;"",ISNUMBER(A604),B604&lt;&gt;"",C604&lt;&gt;"",OR(E604="USD",E604="CRC"),F604&gt;0,ISNUMBER(Q604),Q604&gt;0),"✓ OK","✗ ERROR: Revisa datos")</f>
        <v/>
      </c>
      <c r="S604" s="6">
        <f>IF(A604&lt;&gt;"",TODAY()-A604,"")</f>
        <v/>
      </c>
      <c r="T604" s="4">
        <f>IF(E604="USD",F604,IF(E604="CRC",F604/CONFIG!$B$5,""))</f>
        <v/>
      </c>
      <c r="U604" s="19">
        <f>IF(A604&lt;&gt;"",A604+30,"")</f>
        <v/>
      </c>
      <c r="V604">
        <f>IF(AND(C604="CxP",S604&gt;60),"Alta",IF(AND(C604="CxP",S604&gt;30),"Media",IF(C604="CxP","Baja","")))</f>
        <v/>
      </c>
      <c r="W604">
        <f>IF(AND(C604="CxC",S604&gt;90),"Alta",IF(AND(C604="CxC",S604&gt;60),"Media",IF(C604="CxC","Baja","")))</f>
        <v/>
      </c>
    </row>
    <row r="605">
      <c r="A605" s="19" t="n"/>
      <c r="F605" s="20" t="n"/>
      <c r="Q605" s="10">
        <f>IF(E605="USD",CONFIG!$B$5,1)</f>
        <v/>
      </c>
      <c r="R605">
        <f>IF(AND(A605&lt;&gt;"",ISNUMBER(A605),B605&lt;&gt;"",C605&lt;&gt;"",OR(E605="USD",E605="CRC"),F605&gt;0,ISNUMBER(Q605),Q605&gt;0),"✓ OK","✗ ERROR: Revisa datos")</f>
        <v/>
      </c>
      <c r="S605" s="6">
        <f>IF(A605&lt;&gt;"",TODAY()-A605,"")</f>
        <v/>
      </c>
      <c r="T605" s="4">
        <f>IF(E605="USD",F605,IF(E605="CRC",F605/CONFIG!$B$5,""))</f>
        <v/>
      </c>
      <c r="U605" s="19">
        <f>IF(A605&lt;&gt;"",A605+30,"")</f>
        <v/>
      </c>
      <c r="V605">
        <f>IF(AND(C605="CxP",S605&gt;60),"Alta",IF(AND(C605="CxP",S605&gt;30),"Media",IF(C605="CxP","Baja","")))</f>
        <v/>
      </c>
      <c r="W605">
        <f>IF(AND(C605="CxC",S605&gt;90),"Alta",IF(AND(C605="CxC",S605&gt;60),"Media",IF(C605="CxC","Baja","")))</f>
        <v/>
      </c>
    </row>
    <row r="606">
      <c r="A606" s="19" t="n"/>
      <c r="F606" s="20" t="n"/>
      <c r="Q606" s="10">
        <f>IF(E606="USD",CONFIG!$B$5,1)</f>
        <v/>
      </c>
      <c r="R606">
        <f>IF(AND(A606&lt;&gt;"",ISNUMBER(A606),B606&lt;&gt;"",C606&lt;&gt;"",OR(E606="USD",E606="CRC"),F606&gt;0,ISNUMBER(Q606),Q606&gt;0),"✓ OK","✗ ERROR: Revisa datos")</f>
        <v/>
      </c>
      <c r="S606" s="6">
        <f>IF(A606&lt;&gt;"",TODAY()-A606,"")</f>
        <v/>
      </c>
      <c r="T606" s="4">
        <f>IF(E606="USD",F606,IF(E606="CRC",F606/CONFIG!$B$5,""))</f>
        <v/>
      </c>
      <c r="U606" s="19">
        <f>IF(A606&lt;&gt;"",A606+30,"")</f>
        <v/>
      </c>
      <c r="V606">
        <f>IF(AND(C606="CxP",S606&gt;60),"Alta",IF(AND(C606="CxP",S606&gt;30),"Media",IF(C606="CxP","Baja","")))</f>
        <v/>
      </c>
      <c r="W606">
        <f>IF(AND(C606="CxC",S606&gt;90),"Alta",IF(AND(C606="CxC",S606&gt;60),"Media",IF(C606="CxC","Baja","")))</f>
        <v/>
      </c>
    </row>
    <row r="607">
      <c r="A607" s="19" t="n"/>
      <c r="F607" s="20" t="n"/>
      <c r="Q607" s="10">
        <f>IF(E607="USD",CONFIG!$B$5,1)</f>
        <v/>
      </c>
      <c r="R607">
        <f>IF(AND(A607&lt;&gt;"",ISNUMBER(A607),B607&lt;&gt;"",C607&lt;&gt;"",OR(E607="USD",E607="CRC"),F607&gt;0,ISNUMBER(Q607),Q607&gt;0),"✓ OK","✗ ERROR: Revisa datos")</f>
        <v/>
      </c>
      <c r="S607" s="6">
        <f>IF(A607&lt;&gt;"",TODAY()-A607,"")</f>
        <v/>
      </c>
      <c r="T607" s="4">
        <f>IF(E607="USD",F607,IF(E607="CRC",F607/CONFIG!$B$5,""))</f>
        <v/>
      </c>
      <c r="U607" s="19">
        <f>IF(A607&lt;&gt;"",A607+30,"")</f>
        <v/>
      </c>
      <c r="V607">
        <f>IF(AND(C607="CxP",S607&gt;60),"Alta",IF(AND(C607="CxP",S607&gt;30),"Media",IF(C607="CxP","Baja","")))</f>
        <v/>
      </c>
      <c r="W607">
        <f>IF(AND(C607="CxC",S607&gt;90),"Alta",IF(AND(C607="CxC",S607&gt;60),"Media",IF(C607="CxC","Baja","")))</f>
        <v/>
      </c>
    </row>
    <row r="608">
      <c r="A608" s="19" t="n"/>
      <c r="F608" s="20" t="n"/>
      <c r="Q608" s="10">
        <f>IF(E608="USD",CONFIG!$B$5,1)</f>
        <v/>
      </c>
      <c r="R608">
        <f>IF(AND(A608&lt;&gt;"",ISNUMBER(A608),B608&lt;&gt;"",C608&lt;&gt;"",OR(E608="USD",E608="CRC"),F608&gt;0,ISNUMBER(Q608),Q608&gt;0),"✓ OK","✗ ERROR: Revisa datos")</f>
        <v/>
      </c>
      <c r="S608" s="6">
        <f>IF(A608&lt;&gt;"",TODAY()-A608,"")</f>
        <v/>
      </c>
      <c r="T608" s="4">
        <f>IF(E608="USD",F608,IF(E608="CRC",F608/CONFIG!$B$5,""))</f>
        <v/>
      </c>
      <c r="U608" s="19">
        <f>IF(A608&lt;&gt;"",A608+30,"")</f>
        <v/>
      </c>
      <c r="V608">
        <f>IF(AND(C608="CxP",S608&gt;60),"Alta",IF(AND(C608="CxP",S608&gt;30),"Media",IF(C608="CxP","Baja","")))</f>
        <v/>
      </c>
      <c r="W608">
        <f>IF(AND(C608="CxC",S608&gt;90),"Alta",IF(AND(C608="CxC",S608&gt;60),"Media",IF(C608="CxC","Baja","")))</f>
        <v/>
      </c>
    </row>
    <row r="609">
      <c r="A609" s="19" t="n"/>
      <c r="F609" s="20" t="n"/>
      <c r="Q609" s="10">
        <f>IF(E609="USD",CONFIG!$B$5,1)</f>
        <v/>
      </c>
      <c r="R609">
        <f>IF(AND(A609&lt;&gt;"",ISNUMBER(A609),B609&lt;&gt;"",C609&lt;&gt;"",OR(E609="USD",E609="CRC"),F609&gt;0,ISNUMBER(Q609),Q609&gt;0),"✓ OK","✗ ERROR: Revisa datos")</f>
        <v/>
      </c>
      <c r="S609" s="6">
        <f>IF(A609&lt;&gt;"",TODAY()-A609,"")</f>
        <v/>
      </c>
      <c r="T609" s="4">
        <f>IF(E609="USD",F609,IF(E609="CRC",F609/CONFIG!$B$5,""))</f>
        <v/>
      </c>
      <c r="U609" s="19">
        <f>IF(A609&lt;&gt;"",A609+30,"")</f>
        <v/>
      </c>
      <c r="V609">
        <f>IF(AND(C609="CxP",S609&gt;60),"Alta",IF(AND(C609="CxP",S609&gt;30),"Media",IF(C609="CxP","Baja","")))</f>
        <v/>
      </c>
      <c r="W609">
        <f>IF(AND(C609="CxC",S609&gt;90),"Alta",IF(AND(C609="CxC",S609&gt;60),"Media",IF(C609="CxC","Baja","")))</f>
        <v/>
      </c>
    </row>
    <row r="610">
      <c r="A610" s="19" t="n"/>
      <c r="F610" s="20" t="n"/>
      <c r="Q610" s="10">
        <f>IF(E610="USD",CONFIG!$B$5,1)</f>
        <v/>
      </c>
      <c r="R610">
        <f>IF(AND(A610&lt;&gt;"",ISNUMBER(A610),B610&lt;&gt;"",C610&lt;&gt;"",OR(E610="USD",E610="CRC"),F610&gt;0,ISNUMBER(Q610),Q610&gt;0),"✓ OK","✗ ERROR: Revisa datos")</f>
        <v/>
      </c>
      <c r="S610" s="6">
        <f>IF(A610&lt;&gt;"",TODAY()-A610,"")</f>
        <v/>
      </c>
      <c r="T610" s="4">
        <f>IF(E610="USD",F610,IF(E610="CRC",F610/CONFIG!$B$5,""))</f>
        <v/>
      </c>
      <c r="U610" s="19">
        <f>IF(A610&lt;&gt;"",A610+30,"")</f>
        <v/>
      </c>
      <c r="V610">
        <f>IF(AND(C610="CxP",S610&gt;60),"Alta",IF(AND(C610="CxP",S610&gt;30),"Media",IF(C610="CxP","Baja","")))</f>
        <v/>
      </c>
      <c r="W610">
        <f>IF(AND(C610="CxC",S610&gt;90),"Alta",IF(AND(C610="CxC",S610&gt;60),"Media",IF(C610="CxC","Baja","")))</f>
        <v/>
      </c>
    </row>
    <row r="611">
      <c r="A611" s="19" t="n"/>
      <c r="F611" s="20" t="n"/>
      <c r="Q611" s="10">
        <f>IF(E611="USD",CONFIG!$B$5,1)</f>
        <v/>
      </c>
      <c r="R611">
        <f>IF(AND(A611&lt;&gt;"",ISNUMBER(A611),B611&lt;&gt;"",C611&lt;&gt;"",OR(E611="USD",E611="CRC"),F611&gt;0,ISNUMBER(Q611),Q611&gt;0),"✓ OK","✗ ERROR: Revisa datos")</f>
        <v/>
      </c>
      <c r="S611" s="6">
        <f>IF(A611&lt;&gt;"",TODAY()-A611,"")</f>
        <v/>
      </c>
      <c r="T611" s="4">
        <f>IF(E611="USD",F611,IF(E611="CRC",F611/CONFIG!$B$5,""))</f>
        <v/>
      </c>
      <c r="U611" s="19">
        <f>IF(A611&lt;&gt;"",A611+30,"")</f>
        <v/>
      </c>
      <c r="V611">
        <f>IF(AND(C611="CxP",S611&gt;60),"Alta",IF(AND(C611="CxP",S611&gt;30),"Media",IF(C611="CxP","Baja","")))</f>
        <v/>
      </c>
      <c r="W611">
        <f>IF(AND(C611="CxC",S611&gt;90),"Alta",IF(AND(C611="CxC",S611&gt;60),"Media",IF(C611="CxC","Baja","")))</f>
        <v/>
      </c>
    </row>
    <row r="612">
      <c r="A612" s="19" t="n"/>
      <c r="F612" s="20" t="n"/>
      <c r="Q612" s="10">
        <f>IF(E612="USD",CONFIG!$B$5,1)</f>
        <v/>
      </c>
      <c r="R612">
        <f>IF(AND(A612&lt;&gt;"",ISNUMBER(A612),B612&lt;&gt;"",C612&lt;&gt;"",OR(E612="USD",E612="CRC"),F612&gt;0,ISNUMBER(Q612),Q612&gt;0),"✓ OK","✗ ERROR: Revisa datos")</f>
        <v/>
      </c>
      <c r="S612" s="6">
        <f>IF(A612&lt;&gt;"",TODAY()-A612,"")</f>
        <v/>
      </c>
      <c r="T612" s="4">
        <f>IF(E612="USD",F612,IF(E612="CRC",F612/CONFIG!$B$5,""))</f>
        <v/>
      </c>
      <c r="U612" s="19">
        <f>IF(A612&lt;&gt;"",A612+30,"")</f>
        <v/>
      </c>
      <c r="V612">
        <f>IF(AND(C612="CxP",S612&gt;60),"Alta",IF(AND(C612="CxP",S612&gt;30),"Media",IF(C612="CxP","Baja","")))</f>
        <v/>
      </c>
      <c r="W612">
        <f>IF(AND(C612="CxC",S612&gt;90),"Alta",IF(AND(C612="CxC",S612&gt;60),"Media",IF(C612="CxC","Baja","")))</f>
        <v/>
      </c>
    </row>
    <row r="613">
      <c r="A613" s="19" t="n"/>
      <c r="F613" s="20" t="n"/>
      <c r="Q613" s="10">
        <f>IF(E613="USD",CONFIG!$B$5,1)</f>
        <v/>
      </c>
      <c r="R613">
        <f>IF(AND(A613&lt;&gt;"",ISNUMBER(A613),B613&lt;&gt;"",C613&lt;&gt;"",OR(E613="USD",E613="CRC"),F613&gt;0,ISNUMBER(Q613),Q613&gt;0),"✓ OK","✗ ERROR: Revisa datos")</f>
        <v/>
      </c>
      <c r="S613" s="6">
        <f>IF(A613&lt;&gt;"",TODAY()-A613,"")</f>
        <v/>
      </c>
      <c r="T613" s="4">
        <f>IF(E613="USD",F613,IF(E613="CRC",F613/CONFIG!$B$5,""))</f>
        <v/>
      </c>
      <c r="U613" s="19">
        <f>IF(A613&lt;&gt;"",A613+30,"")</f>
        <v/>
      </c>
      <c r="V613">
        <f>IF(AND(C613="CxP",S613&gt;60),"Alta",IF(AND(C613="CxP",S613&gt;30),"Media",IF(C613="CxP","Baja","")))</f>
        <v/>
      </c>
      <c r="W613">
        <f>IF(AND(C613="CxC",S613&gt;90),"Alta",IF(AND(C613="CxC",S613&gt;60),"Media",IF(C613="CxC","Baja","")))</f>
        <v/>
      </c>
    </row>
    <row r="614">
      <c r="A614" s="19" t="n"/>
      <c r="F614" s="20" t="n"/>
      <c r="Q614" s="10">
        <f>IF(E614="USD",CONFIG!$B$5,1)</f>
        <v/>
      </c>
      <c r="R614">
        <f>IF(AND(A614&lt;&gt;"",ISNUMBER(A614),B614&lt;&gt;"",C614&lt;&gt;"",OR(E614="USD",E614="CRC"),F614&gt;0,ISNUMBER(Q614),Q614&gt;0),"✓ OK","✗ ERROR: Revisa datos")</f>
        <v/>
      </c>
      <c r="S614" s="6">
        <f>IF(A614&lt;&gt;"",TODAY()-A614,"")</f>
        <v/>
      </c>
      <c r="T614" s="4">
        <f>IF(E614="USD",F614,IF(E614="CRC",F614/CONFIG!$B$5,""))</f>
        <v/>
      </c>
      <c r="U614" s="19">
        <f>IF(A614&lt;&gt;"",A614+30,"")</f>
        <v/>
      </c>
      <c r="V614">
        <f>IF(AND(C614="CxP",S614&gt;60),"Alta",IF(AND(C614="CxP",S614&gt;30),"Media",IF(C614="CxP","Baja","")))</f>
        <v/>
      </c>
      <c r="W614">
        <f>IF(AND(C614="CxC",S614&gt;90),"Alta",IF(AND(C614="CxC",S614&gt;60),"Media",IF(C614="CxC","Baja","")))</f>
        <v/>
      </c>
    </row>
    <row r="615">
      <c r="A615" s="19" t="n"/>
      <c r="F615" s="20" t="n"/>
      <c r="Q615" s="10">
        <f>IF(E615="USD",CONFIG!$B$5,1)</f>
        <v/>
      </c>
      <c r="R615">
        <f>IF(AND(A615&lt;&gt;"",ISNUMBER(A615),B615&lt;&gt;"",C615&lt;&gt;"",OR(E615="USD",E615="CRC"),F615&gt;0,ISNUMBER(Q615),Q615&gt;0),"✓ OK","✗ ERROR: Revisa datos")</f>
        <v/>
      </c>
      <c r="S615" s="6">
        <f>IF(A615&lt;&gt;"",TODAY()-A615,"")</f>
        <v/>
      </c>
      <c r="T615" s="4">
        <f>IF(E615="USD",F615,IF(E615="CRC",F615/CONFIG!$B$5,""))</f>
        <v/>
      </c>
      <c r="U615" s="19">
        <f>IF(A615&lt;&gt;"",A615+30,"")</f>
        <v/>
      </c>
      <c r="V615">
        <f>IF(AND(C615="CxP",S615&gt;60),"Alta",IF(AND(C615="CxP",S615&gt;30),"Media",IF(C615="CxP","Baja","")))</f>
        <v/>
      </c>
      <c r="W615">
        <f>IF(AND(C615="CxC",S615&gt;90),"Alta",IF(AND(C615="CxC",S615&gt;60),"Media",IF(C615="CxC","Baja","")))</f>
        <v/>
      </c>
    </row>
    <row r="616">
      <c r="A616" s="19" t="n"/>
      <c r="F616" s="20" t="n"/>
      <c r="Q616" s="10">
        <f>IF(E616="USD",CONFIG!$B$5,1)</f>
        <v/>
      </c>
      <c r="R616">
        <f>IF(AND(A616&lt;&gt;"",ISNUMBER(A616),B616&lt;&gt;"",C616&lt;&gt;"",OR(E616="USD",E616="CRC"),F616&gt;0,ISNUMBER(Q616),Q616&gt;0),"✓ OK","✗ ERROR: Revisa datos")</f>
        <v/>
      </c>
      <c r="S616" s="6">
        <f>IF(A616&lt;&gt;"",TODAY()-A616,"")</f>
        <v/>
      </c>
      <c r="T616" s="4">
        <f>IF(E616="USD",F616,IF(E616="CRC",F616/CONFIG!$B$5,""))</f>
        <v/>
      </c>
      <c r="U616" s="19">
        <f>IF(A616&lt;&gt;"",A616+30,"")</f>
        <v/>
      </c>
      <c r="V616">
        <f>IF(AND(C616="CxP",S616&gt;60),"Alta",IF(AND(C616="CxP",S616&gt;30),"Media",IF(C616="CxP","Baja","")))</f>
        <v/>
      </c>
      <c r="W616">
        <f>IF(AND(C616="CxC",S616&gt;90),"Alta",IF(AND(C616="CxC",S616&gt;60),"Media",IF(C616="CxC","Baja","")))</f>
        <v/>
      </c>
    </row>
    <row r="617">
      <c r="A617" s="19" t="n"/>
      <c r="F617" s="20" t="n"/>
      <c r="Q617" s="10">
        <f>IF(E617="USD",CONFIG!$B$5,1)</f>
        <v/>
      </c>
      <c r="R617">
        <f>IF(AND(A617&lt;&gt;"",ISNUMBER(A617),B617&lt;&gt;"",C617&lt;&gt;"",OR(E617="USD",E617="CRC"),F617&gt;0,ISNUMBER(Q617),Q617&gt;0),"✓ OK","✗ ERROR: Revisa datos")</f>
        <v/>
      </c>
      <c r="S617" s="6">
        <f>IF(A617&lt;&gt;"",TODAY()-A617,"")</f>
        <v/>
      </c>
      <c r="T617" s="4">
        <f>IF(E617="USD",F617,IF(E617="CRC",F617/CONFIG!$B$5,""))</f>
        <v/>
      </c>
      <c r="U617" s="19">
        <f>IF(A617&lt;&gt;"",A617+30,"")</f>
        <v/>
      </c>
      <c r="V617">
        <f>IF(AND(C617="CxP",S617&gt;60),"Alta",IF(AND(C617="CxP",S617&gt;30),"Media",IF(C617="CxP","Baja","")))</f>
        <v/>
      </c>
      <c r="W617">
        <f>IF(AND(C617="CxC",S617&gt;90),"Alta",IF(AND(C617="CxC",S617&gt;60),"Media",IF(C617="CxC","Baja","")))</f>
        <v/>
      </c>
    </row>
    <row r="618">
      <c r="A618" s="19" t="n"/>
      <c r="F618" s="20" t="n"/>
      <c r="Q618" s="10">
        <f>IF(E618="USD",CONFIG!$B$5,1)</f>
        <v/>
      </c>
      <c r="R618">
        <f>IF(AND(A618&lt;&gt;"",ISNUMBER(A618),B618&lt;&gt;"",C618&lt;&gt;"",OR(E618="USD",E618="CRC"),F618&gt;0,ISNUMBER(Q618),Q618&gt;0),"✓ OK","✗ ERROR: Revisa datos")</f>
        <v/>
      </c>
      <c r="S618" s="6">
        <f>IF(A618&lt;&gt;"",TODAY()-A618,"")</f>
        <v/>
      </c>
      <c r="T618" s="4">
        <f>IF(E618="USD",F618,IF(E618="CRC",F618/CONFIG!$B$5,""))</f>
        <v/>
      </c>
      <c r="U618" s="19">
        <f>IF(A618&lt;&gt;"",A618+30,"")</f>
        <v/>
      </c>
      <c r="V618">
        <f>IF(AND(C618="CxP",S618&gt;60),"Alta",IF(AND(C618="CxP",S618&gt;30),"Media",IF(C618="CxP","Baja","")))</f>
        <v/>
      </c>
      <c r="W618">
        <f>IF(AND(C618="CxC",S618&gt;90),"Alta",IF(AND(C618="CxC",S618&gt;60),"Media",IF(C618="CxC","Baja","")))</f>
        <v/>
      </c>
    </row>
    <row r="619">
      <c r="A619" s="19" t="n"/>
      <c r="F619" s="20" t="n"/>
      <c r="Q619" s="10">
        <f>IF(E619="USD",CONFIG!$B$5,1)</f>
        <v/>
      </c>
      <c r="R619">
        <f>IF(AND(A619&lt;&gt;"",ISNUMBER(A619),B619&lt;&gt;"",C619&lt;&gt;"",OR(E619="USD",E619="CRC"),F619&gt;0,ISNUMBER(Q619),Q619&gt;0),"✓ OK","✗ ERROR: Revisa datos")</f>
        <v/>
      </c>
      <c r="S619" s="6">
        <f>IF(A619&lt;&gt;"",TODAY()-A619,"")</f>
        <v/>
      </c>
      <c r="T619" s="4">
        <f>IF(E619="USD",F619,IF(E619="CRC",F619/CONFIG!$B$5,""))</f>
        <v/>
      </c>
      <c r="U619" s="19">
        <f>IF(A619&lt;&gt;"",A619+30,"")</f>
        <v/>
      </c>
      <c r="V619">
        <f>IF(AND(C619="CxP",S619&gt;60),"Alta",IF(AND(C619="CxP",S619&gt;30),"Media",IF(C619="CxP","Baja","")))</f>
        <v/>
      </c>
      <c r="W619">
        <f>IF(AND(C619="CxC",S619&gt;90),"Alta",IF(AND(C619="CxC",S619&gt;60),"Media",IF(C619="CxC","Baja","")))</f>
        <v/>
      </c>
    </row>
    <row r="620">
      <c r="A620" s="19" t="n"/>
      <c r="F620" s="20" t="n"/>
      <c r="Q620" s="10">
        <f>IF(E620="USD",CONFIG!$B$5,1)</f>
        <v/>
      </c>
      <c r="R620">
        <f>IF(AND(A620&lt;&gt;"",ISNUMBER(A620),B620&lt;&gt;"",C620&lt;&gt;"",OR(E620="USD",E620="CRC"),F620&gt;0,ISNUMBER(Q620),Q620&gt;0),"✓ OK","✗ ERROR: Revisa datos")</f>
        <v/>
      </c>
      <c r="S620" s="6">
        <f>IF(A620&lt;&gt;"",TODAY()-A620,"")</f>
        <v/>
      </c>
      <c r="T620" s="4">
        <f>IF(E620="USD",F620,IF(E620="CRC",F620/CONFIG!$B$5,""))</f>
        <v/>
      </c>
      <c r="U620" s="19">
        <f>IF(A620&lt;&gt;"",A620+30,"")</f>
        <v/>
      </c>
      <c r="V620">
        <f>IF(AND(C620="CxP",S620&gt;60),"Alta",IF(AND(C620="CxP",S620&gt;30),"Media",IF(C620="CxP","Baja","")))</f>
        <v/>
      </c>
      <c r="W620">
        <f>IF(AND(C620="CxC",S620&gt;90),"Alta",IF(AND(C620="CxC",S620&gt;60),"Media",IF(C620="CxC","Baja","")))</f>
        <v/>
      </c>
    </row>
    <row r="621">
      <c r="A621" s="19" t="n"/>
      <c r="F621" s="20" t="n"/>
      <c r="Q621" s="10">
        <f>IF(E621="USD",CONFIG!$B$5,1)</f>
        <v/>
      </c>
      <c r="R621">
        <f>IF(AND(A621&lt;&gt;"",ISNUMBER(A621),B621&lt;&gt;"",C621&lt;&gt;"",OR(E621="USD",E621="CRC"),F621&gt;0,ISNUMBER(Q621),Q621&gt;0),"✓ OK","✗ ERROR: Revisa datos")</f>
        <v/>
      </c>
      <c r="S621" s="6">
        <f>IF(A621&lt;&gt;"",TODAY()-A621,"")</f>
        <v/>
      </c>
      <c r="T621" s="4">
        <f>IF(E621="USD",F621,IF(E621="CRC",F621/CONFIG!$B$5,""))</f>
        <v/>
      </c>
      <c r="U621" s="19">
        <f>IF(A621&lt;&gt;"",A621+30,"")</f>
        <v/>
      </c>
      <c r="V621">
        <f>IF(AND(C621="CxP",S621&gt;60),"Alta",IF(AND(C621="CxP",S621&gt;30),"Media",IF(C621="CxP","Baja","")))</f>
        <v/>
      </c>
      <c r="W621">
        <f>IF(AND(C621="CxC",S621&gt;90),"Alta",IF(AND(C621="CxC",S621&gt;60),"Media",IF(C621="CxC","Baja","")))</f>
        <v/>
      </c>
    </row>
    <row r="622">
      <c r="A622" s="19" t="n"/>
      <c r="F622" s="20" t="n"/>
      <c r="Q622" s="10">
        <f>IF(E622="USD",CONFIG!$B$5,1)</f>
        <v/>
      </c>
      <c r="R622">
        <f>IF(AND(A622&lt;&gt;"",ISNUMBER(A622),B622&lt;&gt;"",C622&lt;&gt;"",OR(E622="USD",E622="CRC"),F622&gt;0,ISNUMBER(Q622),Q622&gt;0),"✓ OK","✗ ERROR: Revisa datos")</f>
        <v/>
      </c>
      <c r="S622" s="6">
        <f>IF(A622&lt;&gt;"",TODAY()-A622,"")</f>
        <v/>
      </c>
      <c r="T622" s="4">
        <f>IF(E622="USD",F622,IF(E622="CRC",F622/CONFIG!$B$5,""))</f>
        <v/>
      </c>
      <c r="U622" s="19">
        <f>IF(A622&lt;&gt;"",A622+30,"")</f>
        <v/>
      </c>
      <c r="V622">
        <f>IF(AND(C622="CxP",S622&gt;60),"Alta",IF(AND(C622="CxP",S622&gt;30),"Media",IF(C622="CxP","Baja","")))</f>
        <v/>
      </c>
      <c r="W622">
        <f>IF(AND(C622="CxC",S622&gt;90),"Alta",IF(AND(C622="CxC",S622&gt;60),"Media",IF(C622="CxC","Baja","")))</f>
        <v/>
      </c>
    </row>
    <row r="623">
      <c r="A623" s="19" t="n"/>
      <c r="F623" s="20" t="n"/>
      <c r="Q623" s="10">
        <f>IF(E623="USD",CONFIG!$B$5,1)</f>
        <v/>
      </c>
      <c r="R623">
        <f>IF(AND(A623&lt;&gt;"",ISNUMBER(A623),B623&lt;&gt;"",C623&lt;&gt;"",OR(E623="USD",E623="CRC"),F623&gt;0,ISNUMBER(Q623),Q623&gt;0),"✓ OK","✗ ERROR: Revisa datos")</f>
        <v/>
      </c>
      <c r="S623" s="6">
        <f>IF(A623&lt;&gt;"",TODAY()-A623,"")</f>
        <v/>
      </c>
      <c r="T623" s="4">
        <f>IF(E623="USD",F623,IF(E623="CRC",F623/CONFIG!$B$5,""))</f>
        <v/>
      </c>
      <c r="U623" s="19">
        <f>IF(A623&lt;&gt;"",A623+30,"")</f>
        <v/>
      </c>
      <c r="V623">
        <f>IF(AND(C623="CxP",S623&gt;60),"Alta",IF(AND(C623="CxP",S623&gt;30),"Media",IF(C623="CxP","Baja","")))</f>
        <v/>
      </c>
      <c r="W623">
        <f>IF(AND(C623="CxC",S623&gt;90),"Alta",IF(AND(C623="CxC",S623&gt;60),"Media",IF(C623="CxC","Baja","")))</f>
        <v/>
      </c>
    </row>
    <row r="624">
      <c r="A624" s="19" t="n"/>
      <c r="F624" s="20" t="n"/>
      <c r="Q624" s="10">
        <f>IF(E624="USD",CONFIG!$B$5,1)</f>
        <v/>
      </c>
      <c r="R624">
        <f>IF(AND(A624&lt;&gt;"",ISNUMBER(A624),B624&lt;&gt;"",C624&lt;&gt;"",OR(E624="USD",E624="CRC"),F624&gt;0,ISNUMBER(Q624),Q624&gt;0),"✓ OK","✗ ERROR: Revisa datos")</f>
        <v/>
      </c>
      <c r="S624" s="6">
        <f>IF(A624&lt;&gt;"",TODAY()-A624,"")</f>
        <v/>
      </c>
      <c r="T624" s="4">
        <f>IF(E624="USD",F624,IF(E624="CRC",F624/CONFIG!$B$5,""))</f>
        <v/>
      </c>
      <c r="U624" s="19">
        <f>IF(A624&lt;&gt;"",A624+30,"")</f>
        <v/>
      </c>
      <c r="V624">
        <f>IF(AND(C624="CxP",S624&gt;60),"Alta",IF(AND(C624="CxP",S624&gt;30),"Media",IF(C624="CxP","Baja","")))</f>
        <v/>
      </c>
      <c r="W624">
        <f>IF(AND(C624="CxC",S624&gt;90),"Alta",IF(AND(C624="CxC",S624&gt;60),"Media",IF(C624="CxC","Baja","")))</f>
        <v/>
      </c>
    </row>
    <row r="625">
      <c r="A625" s="19" t="n"/>
      <c r="F625" s="20" t="n"/>
      <c r="Q625" s="10">
        <f>IF(E625="USD",CONFIG!$B$5,1)</f>
        <v/>
      </c>
      <c r="R625">
        <f>IF(AND(A625&lt;&gt;"",ISNUMBER(A625),B625&lt;&gt;"",C625&lt;&gt;"",OR(E625="USD",E625="CRC"),F625&gt;0,ISNUMBER(Q625),Q625&gt;0),"✓ OK","✗ ERROR: Revisa datos")</f>
        <v/>
      </c>
      <c r="S625" s="6">
        <f>IF(A625&lt;&gt;"",TODAY()-A625,"")</f>
        <v/>
      </c>
      <c r="T625" s="4">
        <f>IF(E625="USD",F625,IF(E625="CRC",F625/CONFIG!$B$5,""))</f>
        <v/>
      </c>
      <c r="U625" s="19">
        <f>IF(A625&lt;&gt;"",A625+30,"")</f>
        <v/>
      </c>
      <c r="V625">
        <f>IF(AND(C625="CxP",S625&gt;60),"Alta",IF(AND(C625="CxP",S625&gt;30),"Media",IF(C625="CxP","Baja","")))</f>
        <v/>
      </c>
      <c r="W625">
        <f>IF(AND(C625="CxC",S625&gt;90),"Alta",IF(AND(C625="CxC",S625&gt;60),"Media",IF(C625="CxC","Baja","")))</f>
        <v/>
      </c>
    </row>
    <row r="626">
      <c r="A626" s="19" t="n"/>
      <c r="F626" s="20" t="n"/>
      <c r="Q626" s="10">
        <f>IF(E626="USD",CONFIG!$B$5,1)</f>
        <v/>
      </c>
      <c r="R626">
        <f>IF(AND(A626&lt;&gt;"",ISNUMBER(A626),B626&lt;&gt;"",C626&lt;&gt;"",OR(E626="USD",E626="CRC"),F626&gt;0,ISNUMBER(Q626),Q626&gt;0),"✓ OK","✗ ERROR: Revisa datos")</f>
        <v/>
      </c>
      <c r="S626" s="6">
        <f>IF(A626&lt;&gt;"",TODAY()-A626,"")</f>
        <v/>
      </c>
      <c r="T626" s="4">
        <f>IF(E626="USD",F626,IF(E626="CRC",F626/CONFIG!$B$5,""))</f>
        <v/>
      </c>
      <c r="U626" s="19">
        <f>IF(A626&lt;&gt;"",A626+30,"")</f>
        <v/>
      </c>
      <c r="V626">
        <f>IF(AND(C626="CxP",S626&gt;60),"Alta",IF(AND(C626="CxP",S626&gt;30),"Media",IF(C626="CxP","Baja","")))</f>
        <v/>
      </c>
      <c r="W626">
        <f>IF(AND(C626="CxC",S626&gt;90),"Alta",IF(AND(C626="CxC",S626&gt;60),"Media",IF(C626="CxC","Baja","")))</f>
        <v/>
      </c>
    </row>
    <row r="627">
      <c r="A627" s="19" t="n"/>
      <c r="F627" s="20" t="n"/>
      <c r="Q627" s="10">
        <f>IF(E627="USD",CONFIG!$B$5,1)</f>
        <v/>
      </c>
      <c r="R627">
        <f>IF(AND(A627&lt;&gt;"",ISNUMBER(A627),B627&lt;&gt;"",C627&lt;&gt;"",OR(E627="USD",E627="CRC"),F627&gt;0,ISNUMBER(Q627),Q627&gt;0),"✓ OK","✗ ERROR: Revisa datos")</f>
        <v/>
      </c>
      <c r="S627" s="6">
        <f>IF(A627&lt;&gt;"",TODAY()-A627,"")</f>
        <v/>
      </c>
      <c r="T627" s="4">
        <f>IF(E627="USD",F627,IF(E627="CRC",F627/CONFIG!$B$5,""))</f>
        <v/>
      </c>
      <c r="U627" s="19">
        <f>IF(A627&lt;&gt;"",A627+30,"")</f>
        <v/>
      </c>
      <c r="V627">
        <f>IF(AND(C627="CxP",S627&gt;60),"Alta",IF(AND(C627="CxP",S627&gt;30),"Media",IF(C627="CxP","Baja","")))</f>
        <v/>
      </c>
      <c r="W627">
        <f>IF(AND(C627="CxC",S627&gt;90),"Alta",IF(AND(C627="CxC",S627&gt;60),"Media",IF(C627="CxC","Baja","")))</f>
        <v/>
      </c>
    </row>
    <row r="628">
      <c r="A628" s="19" t="n"/>
      <c r="F628" s="20" t="n"/>
      <c r="Q628" s="10">
        <f>IF(E628="USD",CONFIG!$B$5,1)</f>
        <v/>
      </c>
      <c r="R628">
        <f>IF(AND(A628&lt;&gt;"",ISNUMBER(A628),B628&lt;&gt;"",C628&lt;&gt;"",OR(E628="USD",E628="CRC"),F628&gt;0,ISNUMBER(Q628),Q628&gt;0),"✓ OK","✗ ERROR: Revisa datos")</f>
        <v/>
      </c>
      <c r="S628" s="6">
        <f>IF(A628&lt;&gt;"",TODAY()-A628,"")</f>
        <v/>
      </c>
      <c r="T628" s="4">
        <f>IF(E628="USD",F628,IF(E628="CRC",F628/CONFIG!$B$5,""))</f>
        <v/>
      </c>
      <c r="U628" s="19">
        <f>IF(A628&lt;&gt;"",A628+30,"")</f>
        <v/>
      </c>
      <c r="V628">
        <f>IF(AND(C628="CxP",S628&gt;60),"Alta",IF(AND(C628="CxP",S628&gt;30),"Media",IF(C628="CxP","Baja","")))</f>
        <v/>
      </c>
      <c r="W628">
        <f>IF(AND(C628="CxC",S628&gt;90),"Alta",IF(AND(C628="CxC",S628&gt;60),"Media",IF(C628="CxC","Baja","")))</f>
        <v/>
      </c>
    </row>
    <row r="629">
      <c r="A629" s="19" t="n"/>
      <c r="F629" s="20" t="n"/>
      <c r="Q629" s="10">
        <f>IF(E629="USD",CONFIG!$B$5,1)</f>
        <v/>
      </c>
      <c r="R629">
        <f>IF(AND(A629&lt;&gt;"",ISNUMBER(A629),B629&lt;&gt;"",C629&lt;&gt;"",OR(E629="USD",E629="CRC"),F629&gt;0,ISNUMBER(Q629),Q629&gt;0),"✓ OK","✗ ERROR: Revisa datos")</f>
        <v/>
      </c>
      <c r="S629" s="6">
        <f>IF(A629&lt;&gt;"",TODAY()-A629,"")</f>
        <v/>
      </c>
      <c r="T629" s="4">
        <f>IF(E629="USD",F629,IF(E629="CRC",F629/CONFIG!$B$5,""))</f>
        <v/>
      </c>
      <c r="U629" s="19">
        <f>IF(A629&lt;&gt;"",A629+30,"")</f>
        <v/>
      </c>
      <c r="V629">
        <f>IF(AND(C629="CxP",S629&gt;60),"Alta",IF(AND(C629="CxP",S629&gt;30),"Media",IF(C629="CxP","Baja","")))</f>
        <v/>
      </c>
      <c r="W629">
        <f>IF(AND(C629="CxC",S629&gt;90),"Alta",IF(AND(C629="CxC",S629&gt;60),"Media",IF(C629="CxC","Baja","")))</f>
        <v/>
      </c>
    </row>
    <row r="630">
      <c r="A630" s="19" t="n"/>
      <c r="F630" s="20" t="n"/>
      <c r="Q630" s="10">
        <f>IF(E630="USD",CONFIG!$B$5,1)</f>
        <v/>
      </c>
      <c r="R630">
        <f>IF(AND(A630&lt;&gt;"",ISNUMBER(A630),B630&lt;&gt;"",C630&lt;&gt;"",OR(E630="USD",E630="CRC"),F630&gt;0,ISNUMBER(Q630),Q630&gt;0),"✓ OK","✗ ERROR: Revisa datos")</f>
        <v/>
      </c>
      <c r="S630" s="6">
        <f>IF(A630&lt;&gt;"",TODAY()-A630,"")</f>
        <v/>
      </c>
      <c r="T630" s="4">
        <f>IF(E630="USD",F630,IF(E630="CRC",F630/CONFIG!$B$5,""))</f>
        <v/>
      </c>
      <c r="U630" s="19">
        <f>IF(A630&lt;&gt;"",A630+30,"")</f>
        <v/>
      </c>
      <c r="V630">
        <f>IF(AND(C630="CxP",S630&gt;60),"Alta",IF(AND(C630="CxP",S630&gt;30),"Media",IF(C630="CxP","Baja","")))</f>
        <v/>
      </c>
      <c r="W630">
        <f>IF(AND(C630="CxC",S630&gt;90),"Alta",IF(AND(C630="CxC",S630&gt;60),"Media",IF(C630="CxC","Baja","")))</f>
        <v/>
      </c>
    </row>
    <row r="631">
      <c r="A631" s="19" t="n"/>
      <c r="F631" s="20" t="n"/>
      <c r="Q631" s="10">
        <f>IF(E631="USD",CONFIG!$B$5,1)</f>
        <v/>
      </c>
      <c r="R631">
        <f>IF(AND(A631&lt;&gt;"",ISNUMBER(A631),B631&lt;&gt;"",C631&lt;&gt;"",OR(E631="USD",E631="CRC"),F631&gt;0,ISNUMBER(Q631),Q631&gt;0),"✓ OK","✗ ERROR: Revisa datos")</f>
        <v/>
      </c>
      <c r="S631" s="6">
        <f>IF(A631&lt;&gt;"",TODAY()-A631,"")</f>
        <v/>
      </c>
      <c r="T631" s="4">
        <f>IF(E631="USD",F631,IF(E631="CRC",F631/CONFIG!$B$5,""))</f>
        <v/>
      </c>
      <c r="U631" s="19">
        <f>IF(A631&lt;&gt;"",A631+30,"")</f>
        <v/>
      </c>
      <c r="V631">
        <f>IF(AND(C631="CxP",S631&gt;60),"Alta",IF(AND(C631="CxP",S631&gt;30),"Media",IF(C631="CxP","Baja","")))</f>
        <v/>
      </c>
      <c r="W631">
        <f>IF(AND(C631="CxC",S631&gt;90),"Alta",IF(AND(C631="CxC",S631&gt;60),"Media",IF(C631="CxC","Baja","")))</f>
        <v/>
      </c>
    </row>
    <row r="632">
      <c r="A632" s="19" t="n"/>
      <c r="F632" s="20" t="n"/>
      <c r="Q632" s="10">
        <f>IF(E632="USD",CONFIG!$B$5,1)</f>
        <v/>
      </c>
      <c r="R632">
        <f>IF(AND(A632&lt;&gt;"",ISNUMBER(A632),B632&lt;&gt;"",C632&lt;&gt;"",OR(E632="USD",E632="CRC"),F632&gt;0,ISNUMBER(Q632),Q632&gt;0),"✓ OK","✗ ERROR: Revisa datos")</f>
        <v/>
      </c>
      <c r="S632" s="6">
        <f>IF(A632&lt;&gt;"",TODAY()-A632,"")</f>
        <v/>
      </c>
      <c r="T632" s="4">
        <f>IF(E632="USD",F632,IF(E632="CRC",F632/CONFIG!$B$5,""))</f>
        <v/>
      </c>
      <c r="U632" s="19">
        <f>IF(A632&lt;&gt;"",A632+30,"")</f>
        <v/>
      </c>
      <c r="V632">
        <f>IF(AND(C632="CxP",S632&gt;60),"Alta",IF(AND(C632="CxP",S632&gt;30),"Media",IF(C632="CxP","Baja","")))</f>
        <v/>
      </c>
      <c r="W632">
        <f>IF(AND(C632="CxC",S632&gt;90),"Alta",IF(AND(C632="CxC",S632&gt;60),"Media",IF(C632="CxC","Baja","")))</f>
        <v/>
      </c>
    </row>
    <row r="633">
      <c r="A633" s="19" t="n"/>
      <c r="F633" s="20" t="n"/>
      <c r="Q633" s="10">
        <f>IF(E633="USD",CONFIG!$B$5,1)</f>
        <v/>
      </c>
      <c r="R633">
        <f>IF(AND(A633&lt;&gt;"",ISNUMBER(A633),B633&lt;&gt;"",C633&lt;&gt;"",OR(E633="USD",E633="CRC"),F633&gt;0,ISNUMBER(Q633),Q633&gt;0),"✓ OK","✗ ERROR: Revisa datos")</f>
        <v/>
      </c>
      <c r="S633" s="6">
        <f>IF(A633&lt;&gt;"",TODAY()-A633,"")</f>
        <v/>
      </c>
      <c r="T633" s="4">
        <f>IF(E633="USD",F633,IF(E633="CRC",F633/CONFIG!$B$5,""))</f>
        <v/>
      </c>
      <c r="U633" s="19">
        <f>IF(A633&lt;&gt;"",A633+30,"")</f>
        <v/>
      </c>
      <c r="V633">
        <f>IF(AND(C633="CxP",S633&gt;60),"Alta",IF(AND(C633="CxP",S633&gt;30),"Media",IF(C633="CxP","Baja","")))</f>
        <v/>
      </c>
      <c r="W633">
        <f>IF(AND(C633="CxC",S633&gt;90),"Alta",IF(AND(C633="CxC",S633&gt;60),"Media",IF(C633="CxC","Baja","")))</f>
        <v/>
      </c>
    </row>
    <row r="634">
      <c r="A634" s="19" t="n"/>
      <c r="F634" s="20" t="n"/>
      <c r="Q634" s="10">
        <f>IF(E634="USD",CONFIG!$B$5,1)</f>
        <v/>
      </c>
      <c r="R634">
        <f>IF(AND(A634&lt;&gt;"",ISNUMBER(A634),B634&lt;&gt;"",C634&lt;&gt;"",OR(E634="USD",E634="CRC"),F634&gt;0,ISNUMBER(Q634),Q634&gt;0),"✓ OK","✗ ERROR: Revisa datos")</f>
        <v/>
      </c>
      <c r="S634" s="6">
        <f>IF(A634&lt;&gt;"",TODAY()-A634,"")</f>
        <v/>
      </c>
      <c r="T634" s="4">
        <f>IF(E634="USD",F634,IF(E634="CRC",F634/CONFIG!$B$5,""))</f>
        <v/>
      </c>
      <c r="U634" s="19">
        <f>IF(A634&lt;&gt;"",A634+30,"")</f>
        <v/>
      </c>
      <c r="V634">
        <f>IF(AND(C634="CxP",S634&gt;60),"Alta",IF(AND(C634="CxP",S634&gt;30),"Media",IF(C634="CxP","Baja","")))</f>
        <v/>
      </c>
      <c r="W634">
        <f>IF(AND(C634="CxC",S634&gt;90),"Alta",IF(AND(C634="CxC",S634&gt;60),"Media",IF(C634="CxC","Baja","")))</f>
        <v/>
      </c>
    </row>
    <row r="635">
      <c r="A635" s="19" t="n"/>
      <c r="F635" s="20" t="n"/>
      <c r="Q635" s="10">
        <f>IF(E635="USD",CONFIG!$B$5,1)</f>
        <v/>
      </c>
      <c r="R635">
        <f>IF(AND(A635&lt;&gt;"",ISNUMBER(A635),B635&lt;&gt;"",C635&lt;&gt;"",OR(E635="USD",E635="CRC"),F635&gt;0,ISNUMBER(Q635),Q635&gt;0),"✓ OK","✗ ERROR: Revisa datos")</f>
        <v/>
      </c>
      <c r="S635" s="6">
        <f>IF(A635&lt;&gt;"",TODAY()-A635,"")</f>
        <v/>
      </c>
      <c r="T635" s="4">
        <f>IF(E635="USD",F635,IF(E635="CRC",F635/CONFIG!$B$5,""))</f>
        <v/>
      </c>
      <c r="U635" s="19">
        <f>IF(A635&lt;&gt;"",A635+30,"")</f>
        <v/>
      </c>
      <c r="V635">
        <f>IF(AND(C635="CxP",S635&gt;60),"Alta",IF(AND(C635="CxP",S635&gt;30),"Media",IF(C635="CxP","Baja","")))</f>
        <v/>
      </c>
      <c r="W635">
        <f>IF(AND(C635="CxC",S635&gt;90),"Alta",IF(AND(C635="CxC",S635&gt;60),"Media",IF(C635="CxC","Baja","")))</f>
        <v/>
      </c>
    </row>
    <row r="636">
      <c r="A636" s="19" t="n"/>
      <c r="F636" s="20" t="n"/>
      <c r="Q636" s="10">
        <f>IF(E636="USD",CONFIG!$B$5,1)</f>
        <v/>
      </c>
      <c r="R636">
        <f>IF(AND(A636&lt;&gt;"",ISNUMBER(A636),B636&lt;&gt;"",C636&lt;&gt;"",OR(E636="USD",E636="CRC"),F636&gt;0,ISNUMBER(Q636),Q636&gt;0),"✓ OK","✗ ERROR: Revisa datos")</f>
        <v/>
      </c>
      <c r="S636" s="6">
        <f>IF(A636&lt;&gt;"",TODAY()-A636,"")</f>
        <v/>
      </c>
      <c r="T636" s="4">
        <f>IF(E636="USD",F636,IF(E636="CRC",F636/CONFIG!$B$5,""))</f>
        <v/>
      </c>
      <c r="U636" s="19">
        <f>IF(A636&lt;&gt;"",A636+30,"")</f>
        <v/>
      </c>
      <c r="V636">
        <f>IF(AND(C636="CxP",S636&gt;60),"Alta",IF(AND(C636="CxP",S636&gt;30),"Media",IF(C636="CxP","Baja","")))</f>
        <v/>
      </c>
      <c r="W636">
        <f>IF(AND(C636="CxC",S636&gt;90),"Alta",IF(AND(C636="CxC",S636&gt;60),"Media",IF(C636="CxC","Baja","")))</f>
        <v/>
      </c>
    </row>
    <row r="637">
      <c r="A637" s="19" t="n"/>
      <c r="F637" s="20" t="n"/>
      <c r="Q637" s="10">
        <f>IF(E637="USD",CONFIG!$B$5,1)</f>
        <v/>
      </c>
      <c r="R637">
        <f>IF(AND(A637&lt;&gt;"",ISNUMBER(A637),B637&lt;&gt;"",C637&lt;&gt;"",OR(E637="USD",E637="CRC"),F637&gt;0,ISNUMBER(Q637),Q637&gt;0),"✓ OK","✗ ERROR: Revisa datos")</f>
        <v/>
      </c>
      <c r="S637" s="6">
        <f>IF(A637&lt;&gt;"",TODAY()-A637,"")</f>
        <v/>
      </c>
      <c r="T637" s="4">
        <f>IF(E637="USD",F637,IF(E637="CRC",F637/CONFIG!$B$5,""))</f>
        <v/>
      </c>
      <c r="U637" s="19">
        <f>IF(A637&lt;&gt;"",A637+30,"")</f>
        <v/>
      </c>
      <c r="V637">
        <f>IF(AND(C637="CxP",S637&gt;60),"Alta",IF(AND(C637="CxP",S637&gt;30),"Media",IF(C637="CxP","Baja","")))</f>
        <v/>
      </c>
      <c r="W637">
        <f>IF(AND(C637="CxC",S637&gt;90),"Alta",IF(AND(C637="CxC",S637&gt;60),"Media",IF(C637="CxC","Baja","")))</f>
        <v/>
      </c>
    </row>
    <row r="638">
      <c r="A638" s="19" t="n"/>
      <c r="F638" s="20" t="n"/>
      <c r="Q638" s="10">
        <f>IF(E638="USD",CONFIG!$B$5,1)</f>
        <v/>
      </c>
      <c r="R638">
        <f>IF(AND(A638&lt;&gt;"",ISNUMBER(A638),B638&lt;&gt;"",C638&lt;&gt;"",OR(E638="USD",E638="CRC"),F638&gt;0,ISNUMBER(Q638),Q638&gt;0),"✓ OK","✗ ERROR: Revisa datos")</f>
        <v/>
      </c>
      <c r="S638" s="6">
        <f>IF(A638&lt;&gt;"",TODAY()-A638,"")</f>
        <v/>
      </c>
      <c r="T638" s="4">
        <f>IF(E638="USD",F638,IF(E638="CRC",F638/CONFIG!$B$5,""))</f>
        <v/>
      </c>
      <c r="U638" s="19">
        <f>IF(A638&lt;&gt;"",A638+30,"")</f>
        <v/>
      </c>
      <c r="V638">
        <f>IF(AND(C638="CxP",S638&gt;60),"Alta",IF(AND(C638="CxP",S638&gt;30),"Media",IF(C638="CxP","Baja","")))</f>
        <v/>
      </c>
      <c r="W638">
        <f>IF(AND(C638="CxC",S638&gt;90),"Alta",IF(AND(C638="CxC",S638&gt;60),"Media",IF(C638="CxC","Baja","")))</f>
        <v/>
      </c>
    </row>
    <row r="639">
      <c r="A639" s="19" t="n"/>
      <c r="F639" s="20" t="n"/>
      <c r="Q639" s="10">
        <f>IF(E639="USD",CONFIG!$B$5,1)</f>
        <v/>
      </c>
      <c r="R639">
        <f>IF(AND(A639&lt;&gt;"",ISNUMBER(A639),B639&lt;&gt;"",C639&lt;&gt;"",OR(E639="USD",E639="CRC"),F639&gt;0,ISNUMBER(Q639),Q639&gt;0),"✓ OK","✗ ERROR: Revisa datos")</f>
        <v/>
      </c>
      <c r="S639" s="6">
        <f>IF(A639&lt;&gt;"",TODAY()-A639,"")</f>
        <v/>
      </c>
      <c r="T639" s="4">
        <f>IF(E639="USD",F639,IF(E639="CRC",F639/CONFIG!$B$5,""))</f>
        <v/>
      </c>
      <c r="U639" s="19">
        <f>IF(A639&lt;&gt;"",A639+30,"")</f>
        <v/>
      </c>
      <c r="V639">
        <f>IF(AND(C639="CxP",S639&gt;60),"Alta",IF(AND(C639="CxP",S639&gt;30),"Media",IF(C639="CxP","Baja","")))</f>
        <v/>
      </c>
      <c r="W639">
        <f>IF(AND(C639="CxC",S639&gt;90),"Alta",IF(AND(C639="CxC",S639&gt;60),"Media",IF(C639="CxC","Baja","")))</f>
        <v/>
      </c>
    </row>
    <row r="640">
      <c r="A640" s="19" t="n"/>
      <c r="F640" s="20" t="n"/>
      <c r="Q640" s="10">
        <f>IF(E640="USD",CONFIG!$B$5,1)</f>
        <v/>
      </c>
      <c r="R640">
        <f>IF(AND(A640&lt;&gt;"",ISNUMBER(A640),B640&lt;&gt;"",C640&lt;&gt;"",OR(E640="USD",E640="CRC"),F640&gt;0,ISNUMBER(Q640),Q640&gt;0),"✓ OK","✗ ERROR: Revisa datos")</f>
        <v/>
      </c>
      <c r="S640" s="6">
        <f>IF(A640&lt;&gt;"",TODAY()-A640,"")</f>
        <v/>
      </c>
      <c r="T640" s="4">
        <f>IF(E640="USD",F640,IF(E640="CRC",F640/CONFIG!$B$5,""))</f>
        <v/>
      </c>
      <c r="U640" s="19">
        <f>IF(A640&lt;&gt;"",A640+30,"")</f>
        <v/>
      </c>
      <c r="V640">
        <f>IF(AND(C640="CxP",S640&gt;60),"Alta",IF(AND(C640="CxP",S640&gt;30),"Media",IF(C640="CxP","Baja","")))</f>
        <v/>
      </c>
      <c r="W640">
        <f>IF(AND(C640="CxC",S640&gt;90),"Alta",IF(AND(C640="CxC",S640&gt;60),"Media",IF(C640="CxC","Baja","")))</f>
        <v/>
      </c>
    </row>
    <row r="641">
      <c r="A641" s="19" t="n"/>
      <c r="F641" s="20" t="n"/>
      <c r="Q641" s="10">
        <f>IF(E641="USD",CONFIG!$B$5,1)</f>
        <v/>
      </c>
      <c r="R641">
        <f>IF(AND(A641&lt;&gt;"",ISNUMBER(A641),B641&lt;&gt;"",C641&lt;&gt;"",OR(E641="USD",E641="CRC"),F641&gt;0,ISNUMBER(Q641),Q641&gt;0),"✓ OK","✗ ERROR: Revisa datos")</f>
        <v/>
      </c>
      <c r="S641" s="6">
        <f>IF(A641&lt;&gt;"",TODAY()-A641,"")</f>
        <v/>
      </c>
      <c r="T641" s="4">
        <f>IF(E641="USD",F641,IF(E641="CRC",F641/CONFIG!$B$5,""))</f>
        <v/>
      </c>
      <c r="U641" s="19">
        <f>IF(A641&lt;&gt;"",A641+30,"")</f>
        <v/>
      </c>
      <c r="V641">
        <f>IF(AND(C641="CxP",S641&gt;60),"Alta",IF(AND(C641="CxP",S641&gt;30),"Media",IF(C641="CxP","Baja","")))</f>
        <v/>
      </c>
      <c r="W641">
        <f>IF(AND(C641="CxC",S641&gt;90),"Alta",IF(AND(C641="CxC",S641&gt;60),"Media",IF(C641="CxC","Baja","")))</f>
        <v/>
      </c>
    </row>
    <row r="642">
      <c r="A642" s="19" t="n"/>
      <c r="F642" s="20" t="n"/>
      <c r="Q642" s="10">
        <f>IF(E642="USD",CONFIG!$B$5,1)</f>
        <v/>
      </c>
      <c r="R642">
        <f>IF(AND(A642&lt;&gt;"",ISNUMBER(A642),B642&lt;&gt;"",C642&lt;&gt;"",OR(E642="USD",E642="CRC"),F642&gt;0,ISNUMBER(Q642),Q642&gt;0),"✓ OK","✗ ERROR: Revisa datos")</f>
        <v/>
      </c>
      <c r="S642" s="6">
        <f>IF(A642&lt;&gt;"",TODAY()-A642,"")</f>
        <v/>
      </c>
      <c r="T642" s="4">
        <f>IF(E642="USD",F642,IF(E642="CRC",F642/CONFIG!$B$5,""))</f>
        <v/>
      </c>
      <c r="U642" s="19">
        <f>IF(A642&lt;&gt;"",A642+30,"")</f>
        <v/>
      </c>
      <c r="V642">
        <f>IF(AND(C642="CxP",S642&gt;60),"Alta",IF(AND(C642="CxP",S642&gt;30),"Media",IF(C642="CxP","Baja","")))</f>
        <v/>
      </c>
      <c r="W642">
        <f>IF(AND(C642="CxC",S642&gt;90),"Alta",IF(AND(C642="CxC",S642&gt;60),"Media",IF(C642="CxC","Baja","")))</f>
        <v/>
      </c>
    </row>
    <row r="643">
      <c r="A643" s="19" t="n"/>
      <c r="F643" s="20" t="n"/>
      <c r="Q643" s="10">
        <f>IF(E643="USD",CONFIG!$B$5,1)</f>
        <v/>
      </c>
      <c r="R643">
        <f>IF(AND(A643&lt;&gt;"",ISNUMBER(A643),B643&lt;&gt;"",C643&lt;&gt;"",OR(E643="USD",E643="CRC"),F643&gt;0,ISNUMBER(Q643),Q643&gt;0),"✓ OK","✗ ERROR: Revisa datos")</f>
        <v/>
      </c>
      <c r="S643" s="6">
        <f>IF(A643&lt;&gt;"",TODAY()-A643,"")</f>
        <v/>
      </c>
      <c r="T643" s="4">
        <f>IF(E643="USD",F643,IF(E643="CRC",F643/CONFIG!$B$5,""))</f>
        <v/>
      </c>
      <c r="U643" s="19">
        <f>IF(A643&lt;&gt;"",A643+30,"")</f>
        <v/>
      </c>
      <c r="V643">
        <f>IF(AND(C643="CxP",S643&gt;60),"Alta",IF(AND(C643="CxP",S643&gt;30),"Media",IF(C643="CxP","Baja","")))</f>
        <v/>
      </c>
      <c r="W643">
        <f>IF(AND(C643="CxC",S643&gt;90),"Alta",IF(AND(C643="CxC",S643&gt;60),"Media",IF(C643="CxC","Baja","")))</f>
        <v/>
      </c>
    </row>
    <row r="644">
      <c r="A644" s="19" t="n"/>
      <c r="F644" s="20" t="n"/>
      <c r="Q644" s="10">
        <f>IF(E644="USD",CONFIG!$B$5,1)</f>
        <v/>
      </c>
      <c r="R644">
        <f>IF(AND(A644&lt;&gt;"",ISNUMBER(A644),B644&lt;&gt;"",C644&lt;&gt;"",OR(E644="USD",E644="CRC"),F644&gt;0,ISNUMBER(Q644),Q644&gt;0),"✓ OK","✗ ERROR: Revisa datos")</f>
        <v/>
      </c>
      <c r="S644" s="6">
        <f>IF(A644&lt;&gt;"",TODAY()-A644,"")</f>
        <v/>
      </c>
      <c r="T644" s="4">
        <f>IF(E644="USD",F644,IF(E644="CRC",F644/CONFIG!$B$5,""))</f>
        <v/>
      </c>
      <c r="U644" s="19">
        <f>IF(A644&lt;&gt;"",A644+30,"")</f>
        <v/>
      </c>
      <c r="V644">
        <f>IF(AND(C644="CxP",S644&gt;60),"Alta",IF(AND(C644="CxP",S644&gt;30),"Media",IF(C644="CxP","Baja","")))</f>
        <v/>
      </c>
      <c r="W644">
        <f>IF(AND(C644="CxC",S644&gt;90),"Alta",IF(AND(C644="CxC",S644&gt;60),"Media",IF(C644="CxC","Baja","")))</f>
        <v/>
      </c>
    </row>
    <row r="645">
      <c r="A645" s="19" t="n"/>
      <c r="F645" s="20" t="n"/>
      <c r="Q645" s="10">
        <f>IF(E645="USD",CONFIG!$B$5,1)</f>
        <v/>
      </c>
      <c r="R645">
        <f>IF(AND(A645&lt;&gt;"",ISNUMBER(A645),B645&lt;&gt;"",C645&lt;&gt;"",OR(E645="USD",E645="CRC"),F645&gt;0,ISNUMBER(Q645),Q645&gt;0),"✓ OK","✗ ERROR: Revisa datos")</f>
        <v/>
      </c>
      <c r="S645" s="6">
        <f>IF(A645&lt;&gt;"",TODAY()-A645,"")</f>
        <v/>
      </c>
      <c r="T645" s="4">
        <f>IF(E645="USD",F645,IF(E645="CRC",F645/CONFIG!$B$5,""))</f>
        <v/>
      </c>
      <c r="U645" s="19">
        <f>IF(A645&lt;&gt;"",A645+30,"")</f>
        <v/>
      </c>
      <c r="V645">
        <f>IF(AND(C645="CxP",S645&gt;60),"Alta",IF(AND(C645="CxP",S645&gt;30),"Media",IF(C645="CxP","Baja","")))</f>
        <v/>
      </c>
      <c r="W645">
        <f>IF(AND(C645="CxC",S645&gt;90),"Alta",IF(AND(C645="CxC",S645&gt;60),"Media",IF(C645="CxC","Baja","")))</f>
        <v/>
      </c>
    </row>
    <row r="646">
      <c r="A646" s="19" t="n"/>
      <c r="F646" s="20" t="n"/>
      <c r="Q646" s="10">
        <f>IF(E646="USD",CONFIG!$B$5,1)</f>
        <v/>
      </c>
      <c r="R646">
        <f>IF(AND(A646&lt;&gt;"",ISNUMBER(A646),B646&lt;&gt;"",C646&lt;&gt;"",OR(E646="USD",E646="CRC"),F646&gt;0,ISNUMBER(Q646),Q646&gt;0),"✓ OK","✗ ERROR: Revisa datos")</f>
        <v/>
      </c>
      <c r="S646" s="6">
        <f>IF(A646&lt;&gt;"",TODAY()-A646,"")</f>
        <v/>
      </c>
      <c r="T646" s="4">
        <f>IF(E646="USD",F646,IF(E646="CRC",F646/CONFIG!$B$5,""))</f>
        <v/>
      </c>
      <c r="U646" s="19">
        <f>IF(A646&lt;&gt;"",A646+30,"")</f>
        <v/>
      </c>
      <c r="V646">
        <f>IF(AND(C646="CxP",S646&gt;60),"Alta",IF(AND(C646="CxP",S646&gt;30),"Media",IF(C646="CxP","Baja","")))</f>
        <v/>
      </c>
      <c r="W646">
        <f>IF(AND(C646="CxC",S646&gt;90),"Alta",IF(AND(C646="CxC",S646&gt;60),"Media",IF(C646="CxC","Baja","")))</f>
        <v/>
      </c>
    </row>
    <row r="647">
      <c r="A647" s="19" t="n"/>
      <c r="F647" s="20" t="n"/>
      <c r="Q647" s="10">
        <f>IF(E647="USD",CONFIG!$B$5,1)</f>
        <v/>
      </c>
      <c r="R647">
        <f>IF(AND(A647&lt;&gt;"",ISNUMBER(A647),B647&lt;&gt;"",C647&lt;&gt;"",OR(E647="USD",E647="CRC"),F647&gt;0,ISNUMBER(Q647),Q647&gt;0),"✓ OK","✗ ERROR: Revisa datos")</f>
        <v/>
      </c>
      <c r="S647" s="6">
        <f>IF(A647&lt;&gt;"",TODAY()-A647,"")</f>
        <v/>
      </c>
      <c r="T647" s="4">
        <f>IF(E647="USD",F647,IF(E647="CRC",F647/CONFIG!$B$5,""))</f>
        <v/>
      </c>
      <c r="U647" s="19">
        <f>IF(A647&lt;&gt;"",A647+30,"")</f>
        <v/>
      </c>
      <c r="V647">
        <f>IF(AND(C647="CxP",S647&gt;60),"Alta",IF(AND(C647="CxP",S647&gt;30),"Media",IF(C647="CxP","Baja","")))</f>
        <v/>
      </c>
      <c r="W647">
        <f>IF(AND(C647="CxC",S647&gt;90),"Alta",IF(AND(C647="CxC",S647&gt;60),"Media",IF(C647="CxC","Baja","")))</f>
        <v/>
      </c>
    </row>
    <row r="648">
      <c r="A648" s="19" t="n"/>
      <c r="F648" s="20" t="n"/>
      <c r="Q648" s="10">
        <f>IF(E648="USD",CONFIG!$B$5,1)</f>
        <v/>
      </c>
      <c r="R648">
        <f>IF(AND(A648&lt;&gt;"",ISNUMBER(A648),B648&lt;&gt;"",C648&lt;&gt;"",OR(E648="USD",E648="CRC"),F648&gt;0,ISNUMBER(Q648),Q648&gt;0),"✓ OK","✗ ERROR: Revisa datos")</f>
        <v/>
      </c>
      <c r="S648" s="6">
        <f>IF(A648&lt;&gt;"",TODAY()-A648,"")</f>
        <v/>
      </c>
      <c r="T648" s="4">
        <f>IF(E648="USD",F648,IF(E648="CRC",F648/CONFIG!$B$5,""))</f>
        <v/>
      </c>
      <c r="U648" s="19">
        <f>IF(A648&lt;&gt;"",A648+30,"")</f>
        <v/>
      </c>
      <c r="V648">
        <f>IF(AND(C648="CxP",S648&gt;60),"Alta",IF(AND(C648="CxP",S648&gt;30),"Media",IF(C648="CxP","Baja","")))</f>
        <v/>
      </c>
      <c r="W648">
        <f>IF(AND(C648="CxC",S648&gt;90),"Alta",IF(AND(C648="CxC",S648&gt;60),"Media",IF(C648="CxC","Baja","")))</f>
        <v/>
      </c>
    </row>
    <row r="649">
      <c r="A649" s="19" t="n"/>
      <c r="F649" s="20" t="n"/>
      <c r="Q649" s="10">
        <f>IF(E649="USD",CONFIG!$B$5,1)</f>
        <v/>
      </c>
      <c r="R649">
        <f>IF(AND(A649&lt;&gt;"",ISNUMBER(A649),B649&lt;&gt;"",C649&lt;&gt;"",OR(E649="USD",E649="CRC"),F649&gt;0,ISNUMBER(Q649),Q649&gt;0),"✓ OK","✗ ERROR: Revisa datos")</f>
        <v/>
      </c>
      <c r="S649" s="6">
        <f>IF(A649&lt;&gt;"",TODAY()-A649,"")</f>
        <v/>
      </c>
      <c r="T649" s="4">
        <f>IF(E649="USD",F649,IF(E649="CRC",F649/CONFIG!$B$5,""))</f>
        <v/>
      </c>
      <c r="U649" s="19">
        <f>IF(A649&lt;&gt;"",A649+30,"")</f>
        <v/>
      </c>
      <c r="V649">
        <f>IF(AND(C649="CxP",S649&gt;60),"Alta",IF(AND(C649="CxP",S649&gt;30),"Media",IF(C649="CxP","Baja","")))</f>
        <v/>
      </c>
      <c r="W649">
        <f>IF(AND(C649="CxC",S649&gt;90),"Alta",IF(AND(C649="CxC",S649&gt;60),"Media",IF(C649="CxC","Baja","")))</f>
        <v/>
      </c>
    </row>
    <row r="650">
      <c r="A650" s="19" t="n"/>
      <c r="F650" s="20" t="n"/>
      <c r="Q650" s="10">
        <f>IF(E650="USD",CONFIG!$B$5,1)</f>
        <v/>
      </c>
      <c r="R650">
        <f>IF(AND(A650&lt;&gt;"",ISNUMBER(A650),B650&lt;&gt;"",C650&lt;&gt;"",OR(E650="USD",E650="CRC"),F650&gt;0,ISNUMBER(Q650),Q650&gt;0),"✓ OK","✗ ERROR: Revisa datos")</f>
        <v/>
      </c>
      <c r="S650" s="6">
        <f>IF(A650&lt;&gt;"",TODAY()-A650,"")</f>
        <v/>
      </c>
      <c r="T650" s="4">
        <f>IF(E650="USD",F650,IF(E650="CRC",F650/CONFIG!$B$5,""))</f>
        <v/>
      </c>
      <c r="U650" s="19">
        <f>IF(A650&lt;&gt;"",A650+30,"")</f>
        <v/>
      </c>
      <c r="V650">
        <f>IF(AND(C650="CxP",S650&gt;60),"Alta",IF(AND(C650="CxP",S650&gt;30),"Media",IF(C650="CxP","Baja","")))</f>
        <v/>
      </c>
      <c r="W650">
        <f>IF(AND(C650="CxC",S650&gt;90),"Alta",IF(AND(C650="CxC",S650&gt;60),"Media",IF(C650="CxC","Baja","")))</f>
        <v/>
      </c>
    </row>
    <row r="651">
      <c r="A651" s="19" t="n"/>
      <c r="F651" s="20" t="n"/>
      <c r="Q651" s="10">
        <f>IF(E651="USD",CONFIG!$B$5,1)</f>
        <v/>
      </c>
      <c r="R651">
        <f>IF(AND(A651&lt;&gt;"",ISNUMBER(A651),B651&lt;&gt;"",C651&lt;&gt;"",OR(E651="USD",E651="CRC"),F651&gt;0,ISNUMBER(Q651),Q651&gt;0),"✓ OK","✗ ERROR: Revisa datos")</f>
        <v/>
      </c>
      <c r="S651" s="6">
        <f>IF(A651&lt;&gt;"",TODAY()-A651,"")</f>
        <v/>
      </c>
      <c r="T651" s="4">
        <f>IF(E651="USD",F651,IF(E651="CRC",F651/CONFIG!$B$5,""))</f>
        <v/>
      </c>
      <c r="U651" s="19">
        <f>IF(A651&lt;&gt;"",A651+30,"")</f>
        <v/>
      </c>
      <c r="V651">
        <f>IF(AND(C651="CxP",S651&gt;60),"Alta",IF(AND(C651="CxP",S651&gt;30),"Media",IF(C651="CxP","Baja","")))</f>
        <v/>
      </c>
      <c r="W651">
        <f>IF(AND(C651="CxC",S651&gt;90),"Alta",IF(AND(C651="CxC",S651&gt;60),"Media",IF(C651="CxC","Baja","")))</f>
        <v/>
      </c>
    </row>
    <row r="652">
      <c r="A652" s="19" t="n"/>
      <c r="F652" s="20" t="n"/>
      <c r="Q652" s="10">
        <f>IF(E652="USD",CONFIG!$B$5,1)</f>
        <v/>
      </c>
      <c r="R652">
        <f>IF(AND(A652&lt;&gt;"",ISNUMBER(A652),B652&lt;&gt;"",C652&lt;&gt;"",OR(E652="USD",E652="CRC"),F652&gt;0,ISNUMBER(Q652),Q652&gt;0),"✓ OK","✗ ERROR: Revisa datos")</f>
        <v/>
      </c>
      <c r="S652" s="6">
        <f>IF(A652&lt;&gt;"",TODAY()-A652,"")</f>
        <v/>
      </c>
      <c r="T652" s="4">
        <f>IF(E652="USD",F652,IF(E652="CRC",F652/CONFIG!$B$5,""))</f>
        <v/>
      </c>
      <c r="U652" s="19">
        <f>IF(A652&lt;&gt;"",A652+30,"")</f>
        <v/>
      </c>
      <c r="V652">
        <f>IF(AND(C652="CxP",S652&gt;60),"Alta",IF(AND(C652="CxP",S652&gt;30),"Media",IF(C652="CxP","Baja","")))</f>
        <v/>
      </c>
      <c r="W652">
        <f>IF(AND(C652="CxC",S652&gt;90),"Alta",IF(AND(C652="CxC",S652&gt;60),"Media",IF(C652="CxC","Baja","")))</f>
        <v/>
      </c>
    </row>
    <row r="653">
      <c r="A653" s="19" t="n"/>
      <c r="F653" s="20" t="n"/>
      <c r="Q653" s="10">
        <f>IF(E653="USD",CONFIG!$B$5,1)</f>
        <v/>
      </c>
      <c r="R653">
        <f>IF(AND(A653&lt;&gt;"",ISNUMBER(A653),B653&lt;&gt;"",C653&lt;&gt;"",OR(E653="USD",E653="CRC"),F653&gt;0,ISNUMBER(Q653),Q653&gt;0),"✓ OK","✗ ERROR: Revisa datos")</f>
        <v/>
      </c>
      <c r="S653" s="6">
        <f>IF(A653&lt;&gt;"",TODAY()-A653,"")</f>
        <v/>
      </c>
      <c r="T653" s="4">
        <f>IF(E653="USD",F653,IF(E653="CRC",F653/CONFIG!$B$5,""))</f>
        <v/>
      </c>
      <c r="U653" s="19">
        <f>IF(A653&lt;&gt;"",A653+30,"")</f>
        <v/>
      </c>
      <c r="V653">
        <f>IF(AND(C653="CxP",S653&gt;60),"Alta",IF(AND(C653="CxP",S653&gt;30),"Media",IF(C653="CxP","Baja","")))</f>
        <v/>
      </c>
      <c r="W653">
        <f>IF(AND(C653="CxC",S653&gt;90),"Alta",IF(AND(C653="CxC",S653&gt;60),"Media",IF(C653="CxC","Baja","")))</f>
        <v/>
      </c>
    </row>
    <row r="654">
      <c r="A654" s="19" t="n"/>
      <c r="F654" s="20" t="n"/>
      <c r="Q654" s="10">
        <f>IF(E654="USD",CONFIG!$B$5,1)</f>
        <v/>
      </c>
      <c r="R654">
        <f>IF(AND(A654&lt;&gt;"",ISNUMBER(A654),B654&lt;&gt;"",C654&lt;&gt;"",OR(E654="USD",E654="CRC"),F654&gt;0,ISNUMBER(Q654),Q654&gt;0),"✓ OK","✗ ERROR: Revisa datos")</f>
        <v/>
      </c>
      <c r="S654" s="6">
        <f>IF(A654&lt;&gt;"",TODAY()-A654,"")</f>
        <v/>
      </c>
      <c r="T654" s="4">
        <f>IF(E654="USD",F654,IF(E654="CRC",F654/CONFIG!$B$5,""))</f>
        <v/>
      </c>
      <c r="U654" s="19">
        <f>IF(A654&lt;&gt;"",A654+30,"")</f>
        <v/>
      </c>
      <c r="V654">
        <f>IF(AND(C654="CxP",S654&gt;60),"Alta",IF(AND(C654="CxP",S654&gt;30),"Media",IF(C654="CxP","Baja","")))</f>
        <v/>
      </c>
      <c r="W654">
        <f>IF(AND(C654="CxC",S654&gt;90),"Alta",IF(AND(C654="CxC",S654&gt;60),"Media",IF(C654="CxC","Baja","")))</f>
        <v/>
      </c>
    </row>
    <row r="655">
      <c r="A655" s="19" t="n"/>
      <c r="F655" s="20" t="n"/>
      <c r="Q655" s="10">
        <f>IF(E655="USD",CONFIG!$B$5,1)</f>
        <v/>
      </c>
      <c r="R655">
        <f>IF(AND(A655&lt;&gt;"",ISNUMBER(A655),B655&lt;&gt;"",C655&lt;&gt;"",OR(E655="USD",E655="CRC"),F655&gt;0,ISNUMBER(Q655),Q655&gt;0),"✓ OK","✗ ERROR: Revisa datos")</f>
        <v/>
      </c>
      <c r="S655" s="6">
        <f>IF(A655&lt;&gt;"",TODAY()-A655,"")</f>
        <v/>
      </c>
      <c r="T655" s="4">
        <f>IF(E655="USD",F655,IF(E655="CRC",F655/CONFIG!$B$5,""))</f>
        <v/>
      </c>
      <c r="U655" s="19">
        <f>IF(A655&lt;&gt;"",A655+30,"")</f>
        <v/>
      </c>
      <c r="V655">
        <f>IF(AND(C655="CxP",S655&gt;60),"Alta",IF(AND(C655="CxP",S655&gt;30),"Media",IF(C655="CxP","Baja","")))</f>
        <v/>
      </c>
      <c r="W655">
        <f>IF(AND(C655="CxC",S655&gt;90),"Alta",IF(AND(C655="CxC",S655&gt;60),"Media",IF(C655="CxC","Baja","")))</f>
        <v/>
      </c>
    </row>
    <row r="656">
      <c r="A656" s="19" t="n"/>
      <c r="F656" s="20" t="n"/>
      <c r="Q656" s="10">
        <f>IF(E656="USD",CONFIG!$B$5,1)</f>
        <v/>
      </c>
      <c r="R656">
        <f>IF(AND(A656&lt;&gt;"",ISNUMBER(A656),B656&lt;&gt;"",C656&lt;&gt;"",OR(E656="USD",E656="CRC"),F656&gt;0,ISNUMBER(Q656),Q656&gt;0),"✓ OK","✗ ERROR: Revisa datos")</f>
        <v/>
      </c>
      <c r="S656" s="6">
        <f>IF(A656&lt;&gt;"",TODAY()-A656,"")</f>
        <v/>
      </c>
      <c r="T656" s="4">
        <f>IF(E656="USD",F656,IF(E656="CRC",F656/CONFIG!$B$5,""))</f>
        <v/>
      </c>
      <c r="U656" s="19">
        <f>IF(A656&lt;&gt;"",A656+30,"")</f>
        <v/>
      </c>
      <c r="V656">
        <f>IF(AND(C656="CxP",S656&gt;60),"Alta",IF(AND(C656="CxP",S656&gt;30),"Media",IF(C656="CxP","Baja","")))</f>
        <v/>
      </c>
      <c r="W656">
        <f>IF(AND(C656="CxC",S656&gt;90),"Alta",IF(AND(C656="CxC",S656&gt;60),"Media",IF(C656="CxC","Baja","")))</f>
        <v/>
      </c>
    </row>
    <row r="657">
      <c r="A657" s="19" t="n"/>
      <c r="F657" s="20" t="n"/>
      <c r="Q657" s="10">
        <f>IF(E657="USD",CONFIG!$B$5,1)</f>
        <v/>
      </c>
      <c r="R657">
        <f>IF(AND(A657&lt;&gt;"",ISNUMBER(A657),B657&lt;&gt;"",C657&lt;&gt;"",OR(E657="USD",E657="CRC"),F657&gt;0,ISNUMBER(Q657),Q657&gt;0),"✓ OK","✗ ERROR: Revisa datos")</f>
        <v/>
      </c>
      <c r="S657" s="6">
        <f>IF(A657&lt;&gt;"",TODAY()-A657,"")</f>
        <v/>
      </c>
      <c r="T657" s="4">
        <f>IF(E657="USD",F657,IF(E657="CRC",F657/CONFIG!$B$5,""))</f>
        <v/>
      </c>
      <c r="U657" s="19">
        <f>IF(A657&lt;&gt;"",A657+30,"")</f>
        <v/>
      </c>
      <c r="V657">
        <f>IF(AND(C657="CxP",S657&gt;60),"Alta",IF(AND(C657="CxP",S657&gt;30),"Media",IF(C657="CxP","Baja","")))</f>
        <v/>
      </c>
      <c r="W657">
        <f>IF(AND(C657="CxC",S657&gt;90),"Alta",IF(AND(C657="CxC",S657&gt;60),"Media",IF(C657="CxC","Baja","")))</f>
        <v/>
      </c>
    </row>
    <row r="658">
      <c r="A658" s="19" t="n"/>
      <c r="F658" s="20" t="n"/>
      <c r="Q658" s="10">
        <f>IF(E658="USD",CONFIG!$B$5,1)</f>
        <v/>
      </c>
      <c r="R658">
        <f>IF(AND(A658&lt;&gt;"",ISNUMBER(A658),B658&lt;&gt;"",C658&lt;&gt;"",OR(E658="USD",E658="CRC"),F658&gt;0,ISNUMBER(Q658),Q658&gt;0),"✓ OK","✗ ERROR: Revisa datos")</f>
        <v/>
      </c>
      <c r="S658" s="6">
        <f>IF(A658&lt;&gt;"",TODAY()-A658,"")</f>
        <v/>
      </c>
      <c r="T658" s="4">
        <f>IF(E658="USD",F658,IF(E658="CRC",F658/CONFIG!$B$5,""))</f>
        <v/>
      </c>
      <c r="U658" s="19">
        <f>IF(A658&lt;&gt;"",A658+30,"")</f>
        <v/>
      </c>
      <c r="V658">
        <f>IF(AND(C658="CxP",S658&gt;60),"Alta",IF(AND(C658="CxP",S658&gt;30),"Media",IF(C658="CxP","Baja","")))</f>
        <v/>
      </c>
      <c r="W658">
        <f>IF(AND(C658="CxC",S658&gt;90),"Alta",IF(AND(C658="CxC",S658&gt;60),"Media",IF(C658="CxC","Baja","")))</f>
        <v/>
      </c>
    </row>
    <row r="659">
      <c r="A659" s="19" t="n"/>
      <c r="F659" s="20" t="n"/>
      <c r="Q659" s="10">
        <f>IF(E659="USD",CONFIG!$B$5,1)</f>
        <v/>
      </c>
      <c r="R659">
        <f>IF(AND(A659&lt;&gt;"",ISNUMBER(A659),B659&lt;&gt;"",C659&lt;&gt;"",OR(E659="USD",E659="CRC"),F659&gt;0,ISNUMBER(Q659),Q659&gt;0),"✓ OK","✗ ERROR: Revisa datos")</f>
        <v/>
      </c>
      <c r="S659" s="6">
        <f>IF(A659&lt;&gt;"",TODAY()-A659,"")</f>
        <v/>
      </c>
      <c r="T659" s="4">
        <f>IF(E659="USD",F659,IF(E659="CRC",F659/CONFIG!$B$5,""))</f>
        <v/>
      </c>
      <c r="U659" s="19">
        <f>IF(A659&lt;&gt;"",A659+30,"")</f>
        <v/>
      </c>
      <c r="V659">
        <f>IF(AND(C659="CxP",S659&gt;60),"Alta",IF(AND(C659="CxP",S659&gt;30),"Media",IF(C659="CxP","Baja","")))</f>
        <v/>
      </c>
      <c r="W659">
        <f>IF(AND(C659="CxC",S659&gt;90),"Alta",IF(AND(C659="CxC",S659&gt;60),"Media",IF(C659="CxC","Baja","")))</f>
        <v/>
      </c>
    </row>
    <row r="660">
      <c r="A660" s="19" t="n"/>
      <c r="F660" s="20" t="n"/>
      <c r="Q660" s="10">
        <f>IF(E660="USD",CONFIG!$B$5,1)</f>
        <v/>
      </c>
      <c r="R660">
        <f>IF(AND(A660&lt;&gt;"",ISNUMBER(A660),B660&lt;&gt;"",C660&lt;&gt;"",OR(E660="USD",E660="CRC"),F660&gt;0,ISNUMBER(Q660),Q660&gt;0),"✓ OK","✗ ERROR: Revisa datos")</f>
        <v/>
      </c>
      <c r="S660" s="6">
        <f>IF(A660&lt;&gt;"",TODAY()-A660,"")</f>
        <v/>
      </c>
      <c r="T660" s="4">
        <f>IF(E660="USD",F660,IF(E660="CRC",F660/CONFIG!$B$5,""))</f>
        <v/>
      </c>
      <c r="U660" s="19">
        <f>IF(A660&lt;&gt;"",A660+30,"")</f>
        <v/>
      </c>
      <c r="V660">
        <f>IF(AND(C660="CxP",S660&gt;60),"Alta",IF(AND(C660="CxP",S660&gt;30),"Media",IF(C660="CxP","Baja","")))</f>
        <v/>
      </c>
      <c r="W660">
        <f>IF(AND(C660="CxC",S660&gt;90),"Alta",IF(AND(C660="CxC",S660&gt;60),"Media",IF(C660="CxC","Baja","")))</f>
        <v/>
      </c>
    </row>
    <row r="661">
      <c r="A661" s="19" t="n"/>
      <c r="F661" s="20" t="n"/>
      <c r="Q661" s="10">
        <f>IF(E661="USD",CONFIG!$B$5,1)</f>
        <v/>
      </c>
      <c r="R661">
        <f>IF(AND(A661&lt;&gt;"",ISNUMBER(A661),B661&lt;&gt;"",C661&lt;&gt;"",OR(E661="USD",E661="CRC"),F661&gt;0,ISNUMBER(Q661),Q661&gt;0),"✓ OK","✗ ERROR: Revisa datos")</f>
        <v/>
      </c>
      <c r="S661" s="6">
        <f>IF(A661&lt;&gt;"",TODAY()-A661,"")</f>
        <v/>
      </c>
      <c r="T661" s="4">
        <f>IF(E661="USD",F661,IF(E661="CRC",F661/CONFIG!$B$5,""))</f>
        <v/>
      </c>
      <c r="U661" s="19">
        <f>IF(A661&lt;&gt;"",A661+30,"")</f>
        <v/>
      </c>
      <c r="V661">
        <f>IF(AND(C661="CxP",S661&gt;60),"Alta",IF(AND(C661="CxP",S661&gt;30),"Media",IF(C661="CxP","Baja","")))</f>
        <v/>
      </c>
      <c r="W661">
        <f>IF(AND(C661="CxC",S661&gt;90),"Alta",IF(AND(C661="CxC",S661&gt;60),"Media",IF(C661="CxC","Baja","")))</f>
        <v/>
      </c>
    </row>
    <row r="662">
      <c r="A662" s="19" t="n"/>
      <c r="F662" s="20" t="n"/>
      <c r="Q662" s="10">
        <f>IF(E662="USD",CONFIG!$B$5,1)</f>
        <v/>
      </c>
      <c r="R662">
        <f>IF(AND(A662&lt;&gt;"",ISNUMBER(A662),B662&lt;&gt;"",C662&lt;&gt;"",OR(E662="USD",E662="CRC"),F662&gt;0,ISNUMBER(Q662),Q662&gt;0),"✓ OK","✗ ERROR: Revisa datos")</f>
        <v/>
      </c>
      <c r="S662" s="6">
        <f>IF(A662&lt;&gt;"",TODAY()-A662,"")</f>
        <v/>
      </c>
      <c r="T662" s="4">
        <f>IF(E662="USD",F662,IF(E662="CRC",F662/CONFIG!$B$5,""))</f>
        <v/>
      </c>
      <c r="U662" s="19">
        <f>IF(A662&lt;&gt;"",A662+30,"")</f>
        <v/>
      </c>
      <c r="V662">
        <f>IF(AND(C662="CxP",S662&gt;60),"Alta",IF(AND(C662="CxP",S662&gt;30),"Media",IF(C662="CxP","Baja","")))</f>
        <v/>
      </c>
      <c r="W662">
        <f>IF(AND(C662="CxC",S662&gt;90),"Alta",IF(AND(C662="CxC",S662&gt;60),"Media",IF(C662="CxC","Baja","")))</f>
        <v/>
      </c>
    </row>
    <row r="663">
      <c r="A663" s="19" t="n"/>
      <c r="F663" s="20" t="n"/>
      <c r="Q663" s="10">
        <f>IF(E663="USD",CONFIG!$B$5,1)</f>
        <v/>
      </c>
      <c r="R663">
        <f>IF(AND(A663&lt;&gt;"",ISNUMBER(A663),B663&lt;&gt;"",C663&lt;&gt;"",OR(E663="USD",E663="CRC"),F663&gt;0,ISNUMBER(Q663),Q663&gt;0),"✓ OK","✗ ERROR: Revisa datos")</f>
        <v/>
      </c>
      <c r="S663" s="6">
        <f>IF(A663&lt;&gt;"",TODAY()-A663,"")</f>
        <v/>
      </c>
      <c r="T663" s="4">
        <f>IF(E663="USD",F663,IF(E663="CRC",F663/CONFIG!$B$5,""))</f>
        <v/>
      </c>
      <c r="U663" s="19">
        <f>IF(A663&lt;&gt;"",A663+30,"")</f>
        <v/>
      </c>
      <c r="V663">
        <f>IF(AND(C663="CxP",S663&gt;60),"Alta",IF(AND(C663="CxP",S663&gt;30),"Media",IF(C663="CxP","Baja","")))</f>
        <v/>
      </c>
      <c r="W663">
        <f>IF(AND(C663="CxC",S663&gt;90),"Alta",IF(AND(C663="CxC",S663&gt;60),"Media",IF(C663="CxC","Baja","")))</f>
        <v/>
      </c>
    </row>
    <row r="664">
      <c r="A664" s="19" t="n"/>
      <c r="F664" s="20" t="n"/>
      <c r="Q664" s="10">
        <f>IF(E664="USD",CONFIG!$B$5,1)</f>
        <v/>
      </c>
      <c r="R664">
        <f>IF(AND(A664&lt;&gt;"",ISNUMBER(A664),B664&lt;&gt;"",C664&lt;&gt;"",OR(E664="USD",E664="CRC"),F664&gt;0,ISNUMBER(Q664),Q664&gt;0),"✓ OK","✗ ERROR: Revisa datos")</f>
        <v/>
      </c>
      <c r="S664" s="6">
        <f>IF(A664&lt;&gt;"",TODAY()-A664,"")</f>
        <v/>
      </c>
      <c r="T664" s="4">
        <f>IF(E664="USD",F664,IF(E664="CRC",F664/CONFIG!$B$5,""))</f>
        <v/>
      </c>
      <c r="U664" s="19">
        <f>IF(A664&lt;&gt;"",A664+30,"")</f>
        <v/>
      </c>
      <c r="V664">
        <f>IF(AND(C664="CxP",S664&gt;60),"Alta",IF(AND(C664="CxP",S664&gt;30),"Media",IF(C664="CxP","Baja","")))</f>
        <v/>
      </c>
      <c r="W664">
        <f>IF(AND(C664="CxC",S664&gt;90),"Alta",IF(AND(C664="CxC",S664&gt;60),"Media",IF(C664="CxC","Baja","")))</f>
        <v/>
      </c>
    </row>
    <row r="665">
      <c r="A665" s="19" t="n"/>
      <c r="F665" s="20" t="n"/>
      <c r="Q665" s="10">
        <f>IF(E665="USD",CONFIG!$B$5,1)</f>
        <v/>
      </c>
      <c r="R665">
        <f>IF(AND(A665&lt;&gt;"",ISNUMBER(A665),B665&lt;&gt;"",C665&lt;&gt;"",OR(E665="USD",E665="CRC"),F665&gt;0,ISNUMBER(Q665),Q665&gt;0),"✓ OK","✗ ERROR: Revisa datos")</f>
        <v/>
      </c>
      <c r="S665" s="6">
        <f>IF(A665&lt;&gt;"",TODAY()-A665,"")</f>
        <v/>
      </c>
      <c r="T665" s="4">
        <f>IF(E665="USD",F665,IF(E665="CRC",F665/CONFIG!$B$5,""))</f>
        <v/>
      </c>
      <c r="U665" s="19">
        <f>IF(A665&lt;&gt;"",A665+30,"")</f>
        <v/>
      </c>
      <c r="V665">
        <f>IF(AND(C665="CxP",S665&gt;60),"Alta",IF(AND(C665="CxP",S665&gt;30),"Media",IF(C665="CxP","Baja","")))</f>
        <v/>
      </c>
      <c r="W665">
        <f>IF(AND(C665="CxC",S665&gt;90),"Alta",IF(AND(C665="CxC",S665&gt;60),"Media",IF(C665="CxC","Baja","")))</f>
        <v/>
      </c>
    </row>
    <row r="666">
      <c r="A666" s="19" t="n"/>
      <c r="F666" s="20" t="n"/>
      <c r="Q666" s="10">
        <f>IF(E666="USD",CONFIG!$B$5,1)</f>
        <v/>
      </c>
      <c r="R666">
        <f>IF(AND(A666&lt;&gt;"",ISNUMBER(A666),B666&lt;&gt;"",C666&lt;&gt;"",OR(E666="USD",E666="CRC"),F666&gt;0,ISNUMBER(Q666),Q666&gt;0),"✓ OK","✗ ERROR: Revisa datos")</f>
        <v/>
      </c>
      <c r="S666" s="6">
        <f>IF(A666&lt;&gt;"",TODAY()-A666,"")</f>
        <v/>
      </c>
      <c r="T666" s="4">
        <f>IF(E666="USD",F666,IF(E666="CRC",F666/CONFIG!$B$5,""))</f>
        <v/>
      </c>
      <c r="U666" s="19">
        <f>IF(A666&lt;&gt;"",A666+30,"")</f>
        <v/>
      </c>
      <c r="V666">
        <f>IF(AND(C666="CxP",S666&gt;60),"Alta",IF(AND(C666="CxP",S666&gt;30),"Media",IF(C666="CxP","Baja","")))</f>
        <v/>
      </c>
      <c r="W666">
        <f>IF(AND(C666="CxC",S666&gt;90),"Alta",IF(AND(C666="CxC",S666&gt;60),"Media",IF(C666="CxC","Baja","")))</f>
        <v/>
      </c>
    </row>
    <row r="667">
      <c r="A667" s="19" t="n"/>
      <c r="F667" s="20" t="n"/>
      <c r="Q667" s="10">
        <f>IF(E667="USD",CONFIG!$B$5,1)</f>
        <v/>
      </c>
      <c r="R667">
        <f>IF(AND(A667&lt;&gt;"",ISNUMBER(A667),B667&lt;&gt;"",C667&lt;&gt;"",OR(E667="USD",E667="CRC"),F667&gt;0,ISNUMBER(Q667),Q667&gt;0),"✓ OK","✗ ERROR: Revisa datos")</f>
        <v/>
      </c>
      <c r="S667" s="6">
        <f>IF(A667&lt;&gt;"",TODAY()-A667,"")</f>
        <v/>
      </c>
      <c r="T667" s="4">
        <f>IF(E667="USD",F667,IF(E667="CRC",F667/CONFIG!$B$5,""))</f>
        <v/>
      </c>
      <c r="U667" s="19">
        <f>IF(A667&lt;&gt;"",A667+30,"")</f>
        <v/>
      </c>
      <c r="V667">
        <f>IF(AND(C667="CxP",S667&gt;60),"Alta",IF(AND(C667="CxP",S667&gt;30),"Media",IF(C667="CxP","Baja","")))</f>
        <v/>
      </c>
      <c r="W667">
        <f>IF(AND(C667="CxC",S667&gt;90),"Alta",IF(AND(C667="CxC",S667&gt;60),"Media",IF(C667="CxC","Baja","")))</f>
        <v/>
      </c>
    </row>
    <row r="668">
      <c r="A668" s="19" t="n"/>
      <c r="F668" s="20" t="n"/>
      <c r="Q668" s="10">
        <f>IF(E668="USD",CONFIG!$B$5,1)</f>
        <v/>
      </c>
      <c r="R668">
        <f>IF(AND(A668&lt;&gt;"",ISNUMBER(A668),B668&lt;&gt;"",C668&lt;&gt;"",OR(E668="USD",E668="CRC"),F668&gt;0,ISNUMBER(Q668),Q668&gt;0),"✓ OK","✗ ERROR: Revisa datos")</f>
        <v/>
      </c>
      <c r="S668" s="6">
        <f>IF(A668&lt;&gt;"",TODAY()-A668,"")</f>
        <v/>
      </c>
      <c r="T668" s="4">
        <f>IF(E668="USD",F668,IF(E668="CRC",F668/CONFIG!$B$5,""))</f>
        <v/>
      </c>
      <c r="U668" s="19">
        <f>IF(A668&lt;&gt;"",A668+30,"")</f>
        <v/>
      </c>
      <c r="V668">
        <f>IF(AND(C668="CxP",S668&gt;60),"Alta",IF(AND(C668="CxP",S668&gt;30),"Media",IF(C668="CxP","Baja","")))</f>
        <v/>
      </c>
      <c r="W668">
        <f>IF(AND(C668="CxC",S668&gt;90),"Alta",IF(AND(C668="CxC",S668&gt;60),"Media",IF(C668="CxC","Baja","")))</f>
        <v/>
      </c>
    </row>
    <row r="669">
      <c r="A669" s="19" t="n"/>
      <c r="F669" s="20" t="n"/>
      <c r="Q669" s="10">
        <f>IF(E669="USD",CONFIG!$B$5,1)</f>
        <v/>
      </c>
      <c r="R669">
        <f>IF(AND(A669&lt;&gt;"",ISNUMBER(A669),B669&lt;&gt;"",C669&lt;&gt;"",OR(E669="USD",E669="CRC"),F669&gt;0,ISNUMBER(Q669),Q669&gt;0),"✓ OK","✗ ERROR: Revisa datos")</f>
        <v/>
      </c>
      <c r="S669" s="6">
        <f>IF(A669&lt;&gt;"",TODAY()-A669,"")</f>
        <v/>
      </c>
      <c r="T669" s="4">
        <f>IF(E669="USD",F669,IF(E669="CRC",F669/CONFIG!$B$5,""))</f>
        <v/>
      </c>
      <c r="U669" s="19">
        <f>IF(A669&lt;&gt;"",A669+30,"")</f>
        <v/>
      </c>
      <c r="V669">
        <f>IF(AND(C669="CxP",S669&gt;60),"Alta",IF(AND(C669="CxP",S669&gt;30),"Media",IF(C669="CxP","Baja","")))</f>
        <v/>
      </c>
      <c r="W669">
        <f>IF(AND(C669="CxC",S669&gt;90),"Alta",IF(AND(C669="CxC",S669&gt;60),"Media",IF(C669="CxC","Baja","")))</f>
        <v/>
      </c>
    </row>
    <row r="670">
      <c r="A670" s="19" t="n"/>
      <c r="F670" s="20" t="n"/>
      <c r="Q670" s="10">
        <f>IF(E670="USD",CONFIG!$B$5,1)</f>
        <v/>
      </c>
      <c r="R670">
        <f>IF(AND(A670&lt;&gt;"",ISNUMBER(A670),B670&lt;&gt;"",C670&lt;&gt;"",OR(E670="USD",E670="CRC"),F670&gt;0,ISNUMBER(Q670),Q670&gt;0),"✓ OK","✗ ERROR: Revisa datos")</f>
        <v/>
      </c>
      <c r="S670" s="6">
        <f>IF(A670&lt;&gt;"",TODAY()-A670,"")</f>
        <v/>
      </c>
      <c r="T670" s="4">
        <f>IF(E670="USD",F670,IF(E670="CRC",F670/CONFIG!$B$5,""))</f>
        <v/>
      </c>
      <c r="U670" s="19">
        <f>IF(A670&lt;&gt;"",A670+30,"")</f>
        <v/>
      </c>
      <c r="V670">
        <f>IF(AND(C670="CxP",S670&gt;60),"Alta",IF(AND(C670="CxP",S670&gt;30),"Media",IF(C670="CxP","Baja","")))</f>
        <v/>
      </c>
      <c r="W670">
        <f>IF(AND(C670="CxC",S670&gt;90),"Alta",IF(AND(C670="CxC",S670&gt;60),"Media",IF(C670="CxC","Baja","")))</f>
        <v/>
      </c>
    </row>
    <row r="671">
      <c r="A671" s="19" t="n"/>
      <c r="F671" s="20" t="n"/>
      <c r="Q671" s="10">
        <f>IF(E671="USD",CONFIG!$B$5,1)</f>
        <v/>
      </c>
      <c r="R671">
        <f>IF(AND(A671&lt;&gt;"",ISNUMBER(A671),B671&lt;&gt;"",C671&lt;&gt;"",OR(E671="USD",E671="CRC"),F671&gt;0,ISNUMBER(Q671),Q671&gt;0),"✓ OK","✗ ERROR: Revisa datos")</f>
        <v/>
      </c>
      <c r="S671" s="6">
        <f>IF(A671&lt;&gt;"",TODAY()-A671,"")</f>
        <v/>
      </c>
      <c r="T671" s="4">
        <f>IF(E671="USD",F671,IF(E671="CRC",F671/CONFIG!$B$5,""))</f>
        <v/>
      </c>
      <c r="U671" s="19">
        <f>IF(A671&lt;&gt;"",A671+30,"")</f>
        <v/>
      </c>
      <c r="V671">
        <f>IF(AND(C671="CxP",S671&gt;60),"Alta",IF(AND(C671="CxP",S671&gt;30),"Media",IF(C671="CxP","Baja","")))</f>
        <v/>
      </c>
      <c r="W671">
        <f>IF(AND(C671="CxC",S671&gt;90),"Alta",IF(AND(C671="CxC",S671&gt;60),"Media",IF(C671="CxC","Baja","")))</f>
        <v/>
      </c>
    </row>
    <row r="672">
      <c r="A672" s="19" t="n"/>
      <c r="F672" s="20" t="n"/>
      <c r="Q672" s="10">
        <f>IF(E672="USD",CONFIG!$B$5,1)</f>
        <v/>
      </c>
      <c r="R672">
        <f>IF(AND(A672&lt;&gt;"",ISNUMBER(A672),B672&lt;&gt;"",C672&lt;&gt;"",OR(E672="USD",E672="CRC"),F672&gt;0,ISNUMBER(Q672),Q672&gt;0),"✓ OK","✗ ERROR: Revisa datos")</f>
        <v/>
      </c>
      <c r="S672" s="6">
        <f>IF(A672&lt;&gt;"",TODAY()-A672,"")</f>
        <v/>
      </c>
      <c r="T672" s="4">
        <f>IF(E672="USD",F672,IF(E672="CRC",F672/CONFIG!$B$5,""))</f>
        <v/>
      </c>
      <c r="U672" s="19">
        <f>IF(A672&lt;&gt;"",A672+30,"")</f>
        <v/>
      </c>
      <c r="V672">
        <f>IF(AND(C672="CxP",S672&gt;60),"Alta",IF(AND(C672="CxP",S672&gt;30),"Media",IF(C672="CxP","Baja","")))</f>
        <v/>
      </c>
      <c r="W672">
        <f>IF(AND(C672="CxC",S672&gt;90),"Alta",IF(AND(C672="CxC",S672&gt;60),"Media",IF(C672="CxC","Baja","")))</f>
        <v/>
      </c>
    </row>
    <row r="673">
      <c r="A673" s="19" t="n"/>
      <c r="F673" s="20" t="n"/>
      <c r="Q673" s="10">
        <f>IF(E673="USD",CONFIG!$B$5,1)</f>
        <v/>
      </c>
      <c r="R673">
        <f>IF(AND(A673&lt;&gt;"",ISNUMBER(A673),B673&lt;&gt;"",C673&lt;&gt;"",OR(E673="USD",E673="CRC"),F673&gt;0,ISNUMBER(Q673),Q673&gt;0),"✓ OK","✗ ERROR: Revisa datos")</f>
        <v/>
      </c>
      <c r="S673" s="6">
        <f>IF(A673&lt;&gt;"",TODAY()-A673,"")</f>
        <v/>
      </c>
      <c r="T673" s="4">
        <f>IF(E673="USD",F673,IF(E673="CRC",F673/CONFIG!$B$5,""))</f>
        <v/>
      </c>
      <c r="U673" s="19">
        <f>IF(A673&lt;&gt;"",A673+30,"")</f>
        <v/>
      </c>
      <c r="V673">
        <f>IF(AND(C673="CxP",S673&gt;60),"Alta",IF(AND(C673="CxP",S673&gt;30),"Media",IF(C673="CxP","Baja","")))</f>
        <v/>
      </c>
      <c r="W673">
        <f>IF(AND(C673="CxC",S673&gt;90),"Alta",IF(AND(C673="CxC",S673&gt;60),"Media",IF(C673="CxC","Baja","")))</f>
        <v/>
      </c>
    </row>
    <row r="674">
      <c r="A674" s="19" t="n"/>
      <c r="F674" s="20" t="n"/>
      <c r="Q674" s="10">
        <f>IF(E674="USD",CONFIG!$B$5,1)</f>
        <v/>
      </c>
      <c r="R674">
        <f>IF(AND(A674&lt;&gt;"",ISNUMBER(A674),B674&lt;&gt;"",C674&lt;&gt;"",OR(E674="USD",E674="CRC"),F674&gt;0,ISNUMBER(Q674),Q674&gt;0),"✓ OK","✗ ERROR: Revisa datos")</f>
        <v/>
      </c>
      <c r="S674" s="6">
        <f>IF(A674&lt;&gt;"",TODAY()-A674,"")</f>
        <v/>
      </c>
      <c r="T674" s="4">
        <f>IF(E674="USD",F674,IF(E674="CRC",F674/CONFIG!$B$5,""))</f>
        <v/>
      </c>
      <c r="U674" s="19">
        <f>IF(A674&lt;&gt;"",A674+30,"")</f>
        <v/>
      </c>
      <c r="V674">
        <f>IF(AND(C674="CxP",S674&gt;60),"Alta",IF(AND(C674="CxP",S674&gt;30),"Media",IF(C674="CxP","Baja","")))</f>
        <v/>
      </c>
      <c r="W674">
        <f>IF(AND(C674="CxC",S674&gt;90),"Alta",IF(AND(C674="CxC",S674&gt;60),"Media",IF(C674="CxC","Baja","")))</f>
        <v/>
      </c>
    </row>
    <row r="675">
      <c r="A675" s="19" t="n"/>
      <c r="F675" s="20" t="n"/>
      <c r="Q675" s="10">
        <f>IF(E675="USD",CONFIG!$B$5,1)</f>
        <v/>
      </c>
      <c r="R675">
        <f>IF(AND(A675&lt;&gt;"",ISNUMBER(A675),B675&lt;&gt;"",C675&lt;&gt;"",OR(E675="USD",E675="CRC"),F675&gt;0,ISNUMBER(Q675),Q675&gt;0),"✓ OK","✗ ERROR: Revisa datos")</f>
        <v/>
      </c>
      <c r="S675" s="6">
        <f>IF(A675&lt;&gt;"",TODAY()-A675,"")</f>
        <v/>
      </c>
      <c r="T675" s="4">
        <f>IF(E675="USD",F675,IF(E675="CRC",F675/CONFIG!$B$5,""))</f>
        <v/>
      </c>
      <c r="U675" s="19">
        <f>IF(A675&lt;&gt;"",A675+30,"")</f>
        <v/>
      </c>
      <c r="V675">
        <f>IF(AND(C675="CxP",S675&gt;60),"Alta",IF(AND(C675="CxP",S675&gt;30),"Media",IF(C675="CxP","Baja","")))</f>
        <v/>
      </c>
      <c r="W675">
        <f>IF(AND(C675="CxC",S675&gt;90),"Alta",IF(AND(C675="CxC",S675&gt;60),"Media",IF(C675="CxC","Baja","")))</f>
        <v/>
      </c>
    </row>
    <row r="676">
      <c r="A676" s="19" t="n"/>
      <c r="F676" s="20" t="n"/>
      <c r="Q676" s="10">
        <f>IF(E676="USD",CONFIG!$B$5,1)</f>
        <v/>
      </c>
      <c r="R676">
        <f>IF(AND(A676&lt;&gt;"",ISNUMBER(A676),B676&lt;&gt;"",C676&lt;&gt;"",OR(E676="USD",E676="CRC"),F676&gt;0,ISNUMBER(Q676),Q676&gt;0),"✓ OK","✗ ERROR: Revisa datos")</f>
        <v/>
      </c>
      <c r="S676" s="6">
        <f>IF(A676&lt;&gt;"",TODAY()-A676,"")</f>
        <v/>
      </c>
      <c r="T676" s="4">
        <f>IF(E676="USD",F676,IF(E676="CRC",F676/CONFIG!$B$5,""))</f>
        <v/>
      </c>
      <c r="U676" s="19">
        <f>IF(A676&lt;&gt;"",A676+30,"")</f>
        <v/>
      </c>
      <c r="V676">
        <f>IF(AND(C676="CxP",S676&gt;60),"Alta",IF(AND(C676="CxP",S676&gt;30),"Media",IF(C676="CxP","Baja","")))</f>
        <v/>
      </c>
      <c r="W676">
        <f>IF(AND(C676="CxC",S676&gt;90),"Alta",IF(AND(C676="CxC",S676&gt;60),"Media",IF(C676="CxC","Baja","")))</f>
        <v/>
      </c>
    </row>
    <row r="677">
      <c r="A677" s="19" t="n"/>
      <c r="F677" s="20" t="n"/>
      <c r="Q677" s="10">
        <f>IF(E677="USD",CONFIG!$B$5,1)</f>
        <v/>
      </c>
      <c r="R677">
        <f>IF(AND(A677&lt;&gt;"",ISNUMBER(A677),B677&lt;&gt;"",C677&lt;&gt;"",OR(E677="USD",E677="CRC"),F677&gt;0,ISNUMBER(Q677),Q677&gt;0),"✓ OK","✗ ERROR: Revisa datos")</f>
        <v/>
      </c>
      <c r="S677" s="6">
        <f>IF(A677&lt;&gt;"",TODAY()-A677,"")</f>
        <v/>
      </c>
      <c r="T677" s="4">
        <f>IF(E677="USD",F677,IF(E677="CRC",F677/CONFIG!$B$5,""))</f>
        <v/>
      </c>
      <c r="U677" s="19">
        <f>IF(A677&lt;&gt;"",A677+30,"")</f>
        <v/>
      </c>
      <c r="V677">
        <f>IF(AND(C677="CxP",S677&gt;60),"Alta",IF(AND(C677="CxP",S677&gt;30),"Media",IF(C677="CxP","Baja","")))</f>
        <v/>
      </c>
      <c r="W677">
        <f>IF(AND(C677="CxC",S677&gt;90),"Alta",IF(AND(C677="CxC",S677&gt;60),"Media",IF(C677="CxC","Baja","")))</f>
        <v/>
      </c>
    </row>
    <row r="678">
      <c r="A678" s="19" t="n"/>
      <c r="F678" s="20" t="n"/>
      <c r="Q678" s="10">
        <f>IF(E678="USD",CONFIG!$B$5,1)</f>
        <v/>
      </c>
      <c r="R678">
        <f>IF(AND(A678&lt;&gt;"",ISNUMBER(A678),B678&lt;&gt;"",C678&lt;&gt;"",OR(E678="USD",E678="CRC"),F678&gt;0,ISNUMBER(Q678),Q678&gt;0),"✓ OK","✗ ERROR: Revisa datos")</f>
        <v/>
      </c>
      <c r="S678" s="6">
        <f>IF(A678&lt;&gt;"",TODAY()-A678,"")</f>
        <v/>
      </c>
      <c r="T678" s="4">
        <f>IF(E678="USD",F678,IF(E678="CRC",F678/CONFIG!$B$5,""))</f>
        <v/>
      </c>
      <c r="U678" s="19">
        <f>IF(A678&lt;&gt;"",A678+30,"")</f>
        <v/>
      </c>
      <c r="V678">
        <f>IF(AND(C678="CxP",S678&gt;60),"Alta",IF(AND(C678="CxP",S678&gt;30),"Media",IF(C678="CxP","Baja","")))</f>
        <v/>
      </c>
      <c r="W678">
        <f>IF(AND(C678="CxC",S678&gt;90),"Alta",IF(AND(C678="CxC",S678&gt;60),"Media",IF(C678="CxC","Baja","")))</f>
        <v/>
      </c>
    </row>
    <row r="679">
      <c r="A679" s="19" t="n"/>
      <c r="F679" s="20" t="n"/>
      <c r="Q679" s="10">
        <f>IF(E679="USD",CONFIG!$B$5,1)</f>
        <v/>
      </c>
      <c r="R679">
        <f>IF(AND(A679&lt;&gt;"",ISNUMBER(A679),B679&lt;&gt;"",C679&lt;&gt;"",OR(E679="USD",E679="CRC"),F679&gt;0,ISNUMBER(Q679),Q679&gt;0),"✓ OK","✗ ERROR: Revisa datos")</f>
        <v/>
      </c>
      <c r="S679" s="6">
        <f>IF(A679&lt;&gt;"",TODAY()-A679,"")</f>
        <v/>
      </c>
      <c r="T679" s="4">
        <f>IF(E679="USD",F679,IF(E679="CRC",F679/CONFIG!$B$5,""))</f>
        <v/>
      </c>
      <c r="U679" s="19">
        <f>IF(A679&lt;&gt;"",A679+30,"")</f>
        <v/>
      </c>
      <c r="V679">
        <f>IF(AND(C679="CxP",S679&gt;60),"Alta",IF(AND(C679="CxP",S679&gt;30),"Media",IF(C679="CxP","Baja","")))</f>
        <v/>
      </c>
      <c r="W679">
        <f>IF(AND(C679="CxC",S679&gt;90),"Alta",IF(AND(C679="CxC",S679&gt;60),"Media",IF(C679="CxC","Baja","")))</f>
        <v/>
      </c>
    </row>
    <row r="680">
      <c r="A680" s="19" t="n"/>
      <c r="F680" s="20" t="n"/>
      <c r="Q680" s="10">
        <f>IF(E680="USD",CONFIG!$B$5,1)</f>
        <v/>
      </c>
      <c r="R680">
        <f>IF(AND(A680&lt;&gt;"",ISNUMBER(A680),B680&lt;&gt;"",C680&lt;&gt;"",OR(E680="USD",E680="CRC"),F680&gt;0,ISNUMBER(Q680),Q680&gt;0),"✓ OK","✗ ERROR: Revisa datos")</f>
        <v/>
      </c>
      <c r="S680" s="6">
        <f>IF(A680&lt;&gt;"",TODAY()-A680,"")</f>
        <v/>
      </c>
      <c r="T680" s="4">
        <f>IF(E680="USD",F680,IF(E680="CRC",F680/CONFIG!$B$5,""))</f>
        <v/>
      </c>
      <c r="U680" s="19">
        <f>IF(A680&lt;&gt;"",A680+30,"")</f>
        <v/>
      </c>
      <c r="V680">
        <f>IF(AND(C680="CxP",S680&gt;60),"Alta",IF(AND(C680="CxP",S680&gt;30),"Media",IF(C680="CxP","Baja","")))</f>
        <v/>
      </c>
      <c r="W680">
        <f>IF(AND(C680="CxC",S680&gt;90),"Alta",IF(AND(C680="CxC",S680&gt;60),"Media",IF(C680="CxC","Baja","")))</f>
        <v/>
      </c>
    </row>
    <row r="681">
      <c r="A681" s="19" t="n"/>
      <c r="F681" s="20" t="n"/>
      <c r="Q681" s="10">
        <f>IF(E681="USD",CONFIG!$B$5,1)</f>
        <v/>
      </c>
      <c r="R681">
        <f>IF(AND(A681&lt;&gt;"",ISNUMBER(A681),B681&lt;&gt;"",C681&lt;&gt;"",OR(E681="USD",E681="CRC"),F681&gt;0,ISNUMBER(Q681),Q681&gt;0),"✓ OK","✗ ERROR: Revisa datos")</f>
        <v/>
      </c>
      <c r="S681" s="6">
        <f>IF(A681&lt;&gt;"",TODAY()-A681,"")</f>
        <v/>
      </c>
      <c r="T681" s="4">
        <f>IF(E681="USD",F681,IF(E681="CRC",F681/CONFIG!$B$5,""))</f>
        <v/>
      </c>
      <c r="U681" s="19">
        <f>IF(A681&lt;&gt;"",A681+30,"")</f>
        <v/>
      </c>
      <c r="V681">
        <f>IF(AND(C681="CxP",S681&gt;60),"Alta",IF(AND(C681="CxP",S681&gt;30),"Media",IF(C681="CxP","Baja","")))</f>
        <v/>
      </c>
      <c r="W681">
        <f>IF(AND(C681="CxC",S681&gt;90),"Alta",IF(AND(C681="CxC",S681&gt;60),"Media",IF(C681="CxC","Baja","")))</f>
        <v/>
      </c>
    </row>
    <row r="682">
      <c r="A682" s="19" t="n"/>
      <c r="F682" s="20" t="n"/>
      <c r="Q682" s="10">
        <f>IF(E682="USD",CONFIG!$B$5,1)</f>
        <v/>
      </c>
      <c r="R682">
        <f>IF(AND(A682&lt;&gt;"",ISNUMBER(A682),B682&lt;&gt;"",C682&lt;&gt;"",OR(E682="USD",E682="CRC"),F682&gt;0,ISNUMBER(Q682),Q682&gt;0),"✓ OK","✗ ERROR: Revisa datos")</f>
        <v/>
      </c>
      <c r="S682" s="6">
        <f>IF(A682&lt;&gt;"",TODAY()-A682,"")</f>
        <v/>
      </c>
      <c r="T682" s="4">
        <f>IF(E682="USD",F682,IF(E682="CRC",F682/CONFIG!$B$5,""))</f>
        <v/>
      </c>
      <c r="U682" s="19">
        <f>IF(A682&lt;&gt;"",A682+30,"")</f>
        <v/>
      </c>
      <c r="V682">
        <f>IF(AND(C682="CxP",S682&gt;60),"Alta",IF(AND(C682="CxP",S682&gt;30),"Media",IF(C682="CxP","Baja","")))</f>
        <v/>
      </c>
      <c r="W682">
        <f>IF(AND(C682="CxC",S682&gt;90),"Alta",IF(AND(C682="CxC",S682&gt;60),"Media",IF(C682="CxC","Baja","")))</f>
        <v/>
      </c>
    </row>
    <row r="683">
      <c r="A683" s="19" t="n"/>
      <c r="F683" s="20" t="n"/>
      <c r="Q683" s="10">
        <f>IF(E683="USD",CONFIG!$B$5,1)</f>
        <v/>
      </c>
      <c r="R683">
        <f>IF(AND(A683&lt;&gt;"",ISNUMBER(A683),B683&lt;&gt;"",C683&lt;&gt;"",OR(E683="USD",E683="CRC"),F683&gt;0,ISNUMBER(Q683),Q683&gt;0),"✓ OK","✗ ERROR: Revisa datos")</f>
        <v/>
      </c>
      <c r="S683" s="6">
        <f>IF(A683&lt;&gt;"",TODAY()-A683,"")</f>
        <v/>
      </c>
      <c r="T683" s="4">
        <f>IF(E683="USD",F683,IF(E683="CRC",F683/CONFIG!$B$5,""))</f>
        <v/>
      </c>
      <c r="U683" s="19">
        <f>IF(A683&lt;&gt;"",A683+30,"")</f>
        <v/>
      </c>
      <c r="V683">
        <f>IF(AND(C683="CxP",S683&gt;60),"Alta",IF(AND(C683="CxP",S683&gt;30),"Media",IF(C683="CxP","Baja","")))</f>
        <v/>
      </c>
      <c r="W683">
        <f>IF(AND(C683="CxC",S683&gt;90),"Alta",IF(AND(C683="CxC",S683&gt;60),"Media",IF(C683="CxC","Baja","")))</f>
        <v/>
      </c>
    </row>
    <row r="684">
      <c r="A684" s="19" t="n"/>
      <c r="F684" s="20" t="n"/>
      <c r="Q684" s="10">
        <f>IF(E684="USD",CONFIG!$B$5,1)</f>
        <v/>
      </c>
      <c r="R684">
        <f>IF(AND(A684&lt;&gt;"",ISNUMBER(A684),B684&lt;&gt;"",C684&lt;&gt;"",OR(E684="USD",E684="CRC"),F684&gt;0,ISNUMBER(Q684),Q684&gt;0),"✓ OK","✗ ERROR: Revisa datos")</f>
        <v/>
      </c>
      <c r="S684" s="6">
        <f>IF(A684&lt;&gt;"",TODAY()-A684,"")</f>
        <v/>
      </c>
      <c r="T684" s="4">
        <f>IF(E684="USD",F684,IF(E684="CRC",F684/CONFIG!$B$5,""))</f>
        <v/>
      </c>
      <c r="U684" s="19">
        <f>IF(A684&lt;&gt;"",A684+30,"")</f>
        <v/>
      </c>
      <c r="V684">
        <f>IF(AND(C684="CxP",S684&gt;60),"Alta",IF(AND(C684="CxP",S684&gt;30),"Media",IF(C684="CxP","Baja","")))</f>
        <v/>
      </c>
      <c r="W684">
        <f>IF(AND(C684="CxC",S684&gt;90),"Alta",IF(AND(C684="CxC",S684&gt;60),"Media",IF(C684="CxC","Baja","")))</f>
        <v/>
      </c>
    </row>
    <row r="685">
      <c r="A685" s="19" t="n"/>
      <c r="F685" s="20" t="n"/>
      <c r="Q685" s="10">
        <f>IF(E685="USD",CONFIG!$B$5,1)</f>
        <v/>
      </c>
      <c r="R685">
        <f>IF(AND(A685&lt;&gt;"",ISNUMBER(A685),B685&lt;&gt;"",C685&lt;&gt;"",OR(E685="USD",E685="CRC"),F685&gt;0,ISNUMBER(Q685),Q685&gt;0),"✓ OK","✗ ERROR: Revisa datos")</f>
        <v/>
      </c>
      <c r="S685" s="6">
        <f>IF(A685&lt;&gt;"",TODAY()-A685,"")</f>
        <v/>
      </c>
      <c r="T685" s="4">
        <f>IF(E685="USD",F685,IF(E685="CRC",F685/CONFIG!$B$5,""))</f>
        <v/>
      </c>
      <c r="U685" s="19">
        <f>IF(A685&lt;&gt;"",A685+30,"")</f>
        <v/>
      </c>
      <c r="V685">
        <f>IF(AND(C685="CxP",S685&gt;60),"Alta",IF(AND(C685="CxP",S685&gt;30),"Media",IF(C685="CxP","Baja","")))</f>
        <v/>
      </c>
      <c r="W685">
        <f>IF(AND(C685="CxC",S685&gt;90),"Alta",IF(AND(C685="CxC",S685&gt;60),"Media",IF(C685="CxC","Baja","")))</f>
        <v/>
      </c>
    </row>
    <row r="686">
      <c r="A686" s="19" t="n"/>
      <c r="F686" s="20" t="n"/>
      <c r="Q686" s="10">
        <f>IF(E686="USD",CONFIG!$B$5,1)</f>
        <v/>
      </c>
      <c r="R686">
        <f>IF(AND(A686&lt;&gt;"",ISNUMBER(A686),B686&lt;&gt;"",C686&lt;&gt;"",OR(E686="USD",E686="CRC"),F686&gt;0,ISNUMBER(Q686),Q686&gt;0),"✓ OK","✗ ERROR: Revisa datos")</f>
        <v/>
      </c>
      <c r="S686" s="6">
        <f>IF(A686&lt;&gt;"",TODAY()-A686,"")</f>
        <v/>
      </c>
      <c r="T686" s="4">
        <f>IF(E686="USD",F686,IF(E686="CRC",F686/CONFIG!$B$5,""))</f>
        <v/>
      </c>
      <c r="U686" s="19">
        <f>IF(A686&lt;&gt;"",A686+30,"")</f>
        <v/>
      </c>
      <c r="V686">
        <f>IF(AND(C686="CxP",S686&gt;60),"Alta",IF(AND(C686="CxP",S686&gt;30),"Media",IF(C686="CxP","Baja","")))</f>
        <v/>
      </c>
      <c r="W686">
        <f>IF(AND(C686="CxC",S686&gt;90),"Alta",IF(AND(C686="CxC",S686&gt;60),"Media",IF(C686="CxC","Baja","")))</f>
        <v/>
      </c>
    </row>
    <row r="687">
      <c r="A687" s="19" t="n"/>
      <c r="F687" s="20" t="n"/>
      <c r="Q687" s="10">
        <f>IF(E687="USD",CONFIG!$B$5,1)</f>
        <v/>
      </c>
      <c r="R687">
        <f>IF(AND(A687&lt;&gt;"",ISNUMBER(A687),B687&lt;&gt;"",C687&lt;&gt;"",OR(E687="USD",E687="CRC"),F687&gt;0,ISNUMBER(Q687),Q687&gt;0),"✓ OK","✗ ERROR: Revisa datos")</f>
        <v/>
      </c>
      <c r="S687" s="6">
        <f>IF(A687&lt;&gt;"",TODAY()-A687,"")</f>
        <v/>
      </c>
      <c r="T687" s="4">
        <f>IF(E687="USD",F687,IF(E687="CRC",F687/CONFIG!$B$5,""))</f>
        <v/>
      </c>
      <c r="U687" s="19">
        <f>IF(A687&lt;&gt;"",A687+30,"")</f>
        <v/>
      </c>
      <c r="V687">
        <f>IF(AND(C687="CxP",S687&gt;60),"Alta",IF(AND(C687="CxP",S687&gt;30),"Media",IF(C687="CxP","Baja","")))</f>
        <v/>
      </c>
      <c r="W687">
        <f>IF(AND(C687="CxC",S687&gt;90),"Alta",IF(AND(C687="CxC",S687&gt;60),"Media",IF(C687="CxC","Baja","")))</f>
        <v/>
      </c>
    </row>
    <row r="688">
      <c r="A688" s="19" t="n"/>
      <c r="F688" s="20" t="n"/>
      <c r="Q688" s="10">
        <f>IF(E688="USD",CONFIG!$B$5,1)</f>
        <v/>
      </c>
      <c r="R688">
        <f>IF(AND(A688&lt;&gt;"",ISNUMBER(A688),B688&lt;&gt;"",C688&lt;&gt;"",OR(E688="USD",E688="CRC"),F688&gt;0,ISNUMBER(Q688),Q688&gt;0),"✓ OK","✗ ERROR: Revisa datos")</f>
        <v/>
      </c>
      <c r="S688" s="6">
        <f>IF(A688&lt;&gt;"",TODAY()-A688,"")</f>
        <v/>
      </c>
      <c r="T688" s="4">
        <f>IF(E688="USD",F688,IF(E688="CRC",F688/CONFIG!$B$5,""))</f>
        <v/>
      </c>
      <c r="U688" s="19">
        <f>IF(A688&lt;&gt;"",A688+30,"")</f>
        <v/>
      </c>
      <c r="V688">
        <f>IF(AND(C688="CxP",S688&gt;60),"Alta",IF(AND(C688="CxP",S688&gt;30),"Media",IF(C688="CxP","Baja","")))</f>
        <v/>
      </c>
      <c r="W688">
        <f>IF(AND(C688="CxC",S688&gt;90),"Alta",IF(AND(C688="CxC",S688&gt;60),"Media",IF(C688="CxC","Baja","")))</f>
        <v/>
      </c>
    </row>
    <row r="689">
      <c r="A689" s="19" t="n"/>
      <c r="F689" s="20" t="n"/>
      <c r="Q689" s="10">
        <f>IF(E689="USD",CONFIG!$B$5,1)</f>
        <v/>
      </c>
      <c r="R689">
        <f>IF(AND(A689&lt;&gt;"",ISNUMBER(A689),B689&lt;&gt;"",C689&lt;&gt;"",OR(E689="USD",E689="CRC"),F689&gt;0,ISNUMBER(Q689),Q689&gt;0),"✓ OK","✗ ERROR: Revisa datos")</f>
        <v/>
      </c>
      <c r="S689" s="6">
        <f>IF(A689&lt;&gt;"",TODAY()-A689,"")</f>
        <v/>
      </c>
      <c r="T689" s="4">
        <f>IF(E689="USD",F689,IF(E689="CRC",F689/CONFIG!$B$5,""))</f>
        <v/>
      </c>
      <c r="U689" s="19">
        <f>IF(A689&lt;&gt;"",A689+30,"")</f>
        <v/>
      </c>
      <c r="V689">
        <f>IF(AND(C689="CxP",S689&gt;60),"Alta",IF(AND(C689="CxP",S689&gt;30),"Media",IF(C689="CxP","Baja","")))</f>
        <v/>
      </c>
      <c r="W689">
        <f>IF(AND(C689="CxC",S689&gt;90),"Alta",IF(AND(C689="CxC",S689&gt;60),"Media",IF(C689="CxC","Baja","")))</f>
        <v/>
      </c>
    </row>
    <row r="690">
      <c r="A690" s="19" t="n"/>
      <c r="F690" s="20" t="n"/>
      <c r="Q690" s="10">
        <f>IF(E690="USD",CONFIG!$B$5,1)</f>
        <v/>
      </c>
      <c r="R690">
        <f>IF(AND(A690&lt;&gt;"",ISNUMBER(A690),B690&lt;&gt;"",C690&lt;&gt;"",OR(E690="USD",E690="CRC"),F690&gt;0,ISNUMBER(Q690),Q690&gt;0),"✓ OK","✗ ERROR: Revisa datos")</f>
        <v/>
      </c>
      <c r="S690" s="6">
        <f>IF(A690&lt;&gt;"",TODAY()-A690,"")</f>
        <v/>
      </c>
      <c r="T690" s="4">
        <f>IF(E690="USD",F690,IF(E690="CRC",F690/CONFIG!$B$5,""))</f>
        <v/>
      </c>
      <c r="U690" s="19">
        <f>IF(A690&lt;&gt;"",A690+30,"")</f>
        <v/>
      </c>
      <c r="V690">
        <f>IF(AND(C690="CxP",S690&gt;60),"Alta",IF(AND(C690="CxP",S690&gt;30),"Media",IF(C690="CxP","Baja","")))</f>
        <v/>
      </c>
      <c r="W690">
        <f>IF(AND(C690="CxC",S690&gt;90),"Alta",IF(AND(C690="CxC",S690&gt;60),"Media",IF(C690="CxC","Baja","")))</f>
        <v/>
      </c>
    </row>
    <row r="691">
      <c r="A691" s="19" t="n"/>
      <c r="F691" s="20" t="n"/>
      <c r="Q691" s="10">
        <f>IF(E691="USD",CONFIG!$B$5,1)</f>
        <v/>
      </c>
      <c r="R691">
        <f>IF(AND(A691&lt;&gt;"",ISNUMBER(A691),B691&lt;&gt;"",C691&lt;&gt;"",OR(E691="USD",E691="CRC"),F691&gt;0,ISNUMBER(Q691),Q691&gt;0),"✓ OK","✗ ERROR: Revisa datos")</f>
        <v/>
      </c>
      <c r="S691" s="6">
        <f>IF(A691&lt;&gt;"",TODAY()-A691,"")</f>
        <v/>
      </c>
      <c r="T691" s="4">
        <f>IF(E691="USD",F691,IF(E691="CRC",F691/CONFIG!$B$5,""))</f>
        <v/>
      </c>
      <c r="U691" s="19">
        <f>IF(A691&lt;&gt;"",A691+30,"")</f>
        <v/>
      </c>
      <c r="V691">
        <f>IF(AND(C691="CxP",S691&gt;60),"Alta",IF(AND(C691="CxP",S691&gt;30),"Media",IF(C691="CxP","Baja","")))</f>
        <v/>
      </c>
      <c r="W691">
        <f>IF(AND(C691="CxC",S691&gt;90),"Alta",IF(AND(C691="CxC",S691&gt;60),"Media",IF(C691="CxC","Baja","")))</f>
        <v/>
      </c>
    </row>
    <row r="692">
      <c r="A692" s="19" t="n"/>
      <c r="F692" s="20" t="n"/>
      <c r="Q692" s="10">
        <f>IF(E692="USD",CONFIG!$B$5,1)</f>
        <v/>
      </c>
      <c r="R692">
        <f>IF(AND(A692&lt;&gt;"",ISNUMBER(A692),B692&lt;&gt;"",C692&lt;&gt;"",OR(E692="USD",E692="CRC"),F692&gt;0,ISNUMBER(Q692),Q692&gt;0),"✓ OK","✗ ERROR: Revisa datos")</f>
        <v/>
      </c>
      <c r="S692" s="6">
        <f>IF(A692&lt;&gt;"",TODAY()-A692,"")</f>
        <v/>
      </c>
      <c r="T692" s="4">
        <f>IF(E692="USD",F692,IF(E692="CRC",F692/CONFIG!$B$5,""))</f>
        <v/>
      </c>
      <c r="U692" s="19">
        <f>IF(A692&lt;&gt;"",A692+30,"")</f>
        <v/>
      </c>
      <c r="V692">
        <f>IF(AND(C692="CxP",S692&gt;60),"Alta",IF(AND(C692="CxP",S692&gt;30),"Media",IF(C692="CxP","Baja","")))</f>
        <v/>
      </c>
      <c r="W692">
        <f>IF(AND(C692="CxC",S692&gt;90),"Alta",IF(AND(C692="CxC",S692&gt;60),"Media",IF(C692="CxC","Baja","")))</f>
        <v/>
      </c>
    </row>
    <row r="693">
      <c r="A693" s="19" t="n"/>
      <c r="F693" s="20" t="n"/>
      <c r="Q693" s="10">
        <f>IF(E693="USD",CONFIG!$B$5,1)</f>
        <v/>
      </c>
      <c r="R693">
        <f>IF(AND(A693&lt;&gt;"",ISNUMBER(A693),B693&lt;&gt;"",C693&lt;&gt;"",OR(E693="USD",E693="CRC"),F693&gt;0,ISNUMBER(Q693),Q693&gt;0),"✓ OK","✗ ERROR: Revisa datos")</f>
        <v/>
      </c>
      <c r="S693" s="6">
        <f>IF(A693&lt;&gt;"",TODAY()-A693,"")</f>
        <v/>
      </c>
      <c r="T693" s="4">
        <f>IF(E693="USD",F693,IF(E693="CRC",F693/CONFIG!$B$5,""))</f>
        <v/>
      </c>
      <c r="U693" s="19">
        <f>IF(A693&lt;&gt;"",A693+30,"")</f>
        <v/>
      </c>
      <c r="V693">
        <f>IF(AND(C693="CxP",S693&gt;60),"Alta",IF(AND(C693="CxP",S693&gt;30),"Media",IF(C693="CxP","Baja","")))</f>
        <v/>
      </c>
      <c r="W693">
        <f>IF(AND(C693="CxC",S693&gt;90),"Alta",IF(AND(C693="CxC",S693&gt;60),"Media",IF(C693="CxC","Baja","")))</f>
        <v/>
      </c>
    </row>
    <row r="694">
      <c r="A694" s="19" t="n"/>
      <c r="F694" s="20" t="n"/>
      <c r="Q694" s="10">
        <f>IF(E694="USD",CONFIG!$B$5,1)</f>
        <v/>
      </c>
      <c r="R694">
        <f>IF(AND(A694&lt;&gt;"",ISNUMBER(A694),B694&lt;&gt;"",C694&lt;&gt;"",OR(E694="USD",E694="CRC"),F694&gt;0,ISNUMBER(Q694),Q694&gt;0),"✓ OK","✗ ERROR: Revisa datos")</f>
        <v/>
      </c>
      <c r="S694" s="6">
        <f>IF(A694&lt;&gt;"",TODAY()-A694,"")</f>
        <v/>
      </c>
      <c r="T694" s="4">
        <f>IF(E694="USD",F694,IF(E694="CRC",F694/CONFIG!$B$5,""))</f>
        <v/>
      </c>
      <c r="U694" s="19">
        <f>IF(A694&lt;&gt;"",A694+30,"")</f>
        <v/>
      </c>
      <c r="V694">
        <f>IF(AND(C694="CxP",S694&gt;60),"Alta",IF(AND(C694="CxP",S694&gt;30),"Media",IF(C694="CxP","Baja","")))</f>
        <v/>
      </c>
      <c r="W694">
        <f>IF(AND(C694="CxC",S694&gt;90),"Alta",IF(AND(C694="CxC",S694&gt;60),"Media",IF(C694="CxC","Baja","")))</f>
        <v/>
      </c>
    </row>
    <row r="695">
      <c r="A695" s="19" t="n"/>
      <c r="F695" s="20" t="n"/>
      <c r="Q695" s="10">
        <f>IF(E695="USD",CONFIG!$B$5,1)</f>
        <v/>
      </c>
      <c r="R695">
        <f>IF(AND(A695&lt;&gt;"",ISNUMBER(A695),B695&lt;&gt;"",C695&lt;&gt;"",OR(E695="USD",E695="CRC"),F695&gt;0,ISNUMBER(Q695),Q695&gt;0),"✓ OK","✗ ERROR: Revisa datos")</f>
        <v/>
      </c>
      <c r="S695" s="6">
        <f>IF(A695&lt;&gt;"",TODAY()-A695,"")</f>
        <v/>
      </c>
      <c r="T695" s="4">
        <f>IF(E695="USD",F695,IF(E695="CRC",F695/CONFIG!$B$5,""))</f>
        <v/>
      </c>
      <c r="U695" s="19">
        <f>IF(A695&lt;&gt;"",A695+30,"")</f>
        <v/>
      </c>
      <c r="V695">
        <f>IF(AND(C695="CxP",S695&gt;60),"Alta",IF(AND(C695="CxP",S695&gt;30),"Media",IF(C695="CxP","Baja","")))</f>
        <v/>
      </c>
      <c r="W695">
        <f>IF(AND(C695="CxC",S695&gt;90),"Alta",IF(AND(C695="CxC",S695&gt;60),"Media",IF(C695="CxC","Baja","")))</f>
        <v/>
      </c>
    </row>
    <row r="696">
      <c r="A696" s="19" t="n"/>
      <c r="F696" s="20" t="n"/>
      <c r="Q696" s="10">
        <f>IF(E696="USD",CONFIG!$B$5,1)</f>
        <v/>
      </c>
      <c r="R696">
        <f>IF(AND(A696&lt;&gt;"",ISNUMBER(A696),B696&lt;&gt;"",C696&lt;&gt;"",OR(E696="USD",E696="CRC"),F696&gt;0,ISNUMBER(Q696),Q696&gt;0),"✓ OK","✗ ERROR: Revisa datos")</f>
        <v/>
      </c>
      <c r="S696" s="6">
        <f>IF(A696&lt;&gt;"",TODAY()-A696,"")</f>
        <v/>
      </c>
      <c r="T696" s="4">
        <f>IF(E696="USD",F696,IF(E696="CRC",F696/CONFIG!$B$5,""))</f>
        <v/>
      </c>
      <c r="U696" s="19">
        <f>IF(A696&lt;&gt;"",A696+30,"")</f>
        <v/>
      </c>
      <c r="V696">
        <f>IF(AND(C696="CxP",S696&gt;60),"Alta",IF(AND(C696="CxP",S696&gt;30),"Media",IF(C696="CxP","Baja","")))</f>
        <v/>
      </c>
      <c r="W696">
        <f>IF(AND(C696="CxC",S696&gt;90),"Alta",IF(AND(C696="CxC",S696&gt;60),"Media",IF(C696="CxC","Baja","")))</f>
        <v/>
      </c>
    </row>
    <row r="697">
      <c r="A697" s="19" t="n"/>
      <c r="F697" s="20" t="n"/>
      <c r="Q697" s="10">
        <f>IF(E697="USD",CONFIG!$B$5,1)</f>
        <v/>
      </c>
      <c r="R697">
        <f>IF(AND(A697&lt;&gt;"",ISNUMBER(A697),B697&lt;&gt;"",C697&lt;&gt;"",OR(E697="USD",E697="CRC"),F697&gt;0,ISNUMBER(Q697),Q697&gt;0),"✓ OK","✗ ERROR: Revisa datos")</f>
        <v/>
      </c>
      <c r="S697" s="6">
        <f>IF(A697&lt;&gt;"",TODAY()-A697,"")</f>
        <v/>
      </c>
      <c r="T697" s="4">
        <f>IF(E697="USD",F697,IF(E697="CRC",F697/CONFIG!$B$5,""))</f>
        <v/>
      </c>
      <c r="U697" s="19">
        <f>IF(A697&lt;&gt;"",A697+30,"")</f>
        <v/>
      </c>
      <c r="V697">
        <f>IF(AND(C697="CxP",S697&gt;60),"Alta",IF(AND(C697="CxP",S697&gt;30),"Media",IF(C697="CxP","Baja","")))</f>
        <v/>
      </c>
      <c r="W697">
        <f>IF(AND(C697="CxC",S697&gt;90),"Alta",IF(AND(C697="CxC",S697&gt;60),"Media",IF(C697="CxC","Baja","")))</f>
        <v/>
      </c>
    </row>
    <row r="698">
      <c r="A698" s="19" t="n"/>
      <c r="F698" s="20" t="n"/>
      <c r="Q698" s="10">
        <f>IF(E698="USD",CONFIG!$B$5,1)</f>
        <v/>
      </c>
      <c r="R698">
        <f>IF(AND(A698&lt;&gt;"",ISNUMBER(A698),B698&lt;&gt;"",C698&lt;&gt;"",OR(E698="USD",E698="CRC"),F698&gt;0,ISNUMBER(Q698),Q698&gt;0),"✓ OK","✗ ERROR: Revisa datos")</f>
        <v/>
      </c>
      <c r="S698" s="6">
        <f>IF(A698&lt;&gt;"",TODAY()-A698,"")</f>
        <v/>
      </c>
      <c r="T698" s="4">
        <f>IF(E698="USD",F698,IF(E698="CRC",F698/CONFIG!$B$5,""))</f>
        <v/>
      </c>
      <c r="U698" s="19">
        <f>IF(A698&lt;&gt;"",A698+30,"")</f>
        <v/>
      </c>
      <c r="V698">
        <f>IF(AND(C698="CxP",S698&gt;60),"Alta",IF(AND(C698="CxP",S698&gt;30),"Media",IF(C698="CxP","Baja","")))</f>
        <v/>
      </c>
      <c r="W698">
        <f>IF(AND(C698="CxC",S698&gt;90),"Alta",IF(AND(C698="CxC",S698&gt;60),"Media",IF(C698="CxC","Baja","")))</f>
        <v/>
      </c>
    </row>
    <row r="699">
      <c r="A699" s="19" t="n"/>
      <c r="F699" s="20" t="n"/>
      <c r="Q699" s="10">
        <f>IF(E699="USD",CONFIG!$B$5,1)</f>
        <v/>
      </c>
      <c r="R699">
        <f>IF(AND(A699&lt;&gt;"",ISNUMBER(A699),B699&lt;&gt;"",C699&lt;&gt;"",OR(E699="USD",E699="CRC"),F699&gt;0,ISNUMBER(Q699),Q699&gt;0),"✓ OK","✗ ERROR: Revisa datos")</f>
        <v/>
      </c>
      <c r="S699" s="6">
        <f>IF(A699&lt;&gt;"",TODAY()-A699,"")</f>
        <v/>
      </c>
      <c r="T699" s="4">
        <f>IF(E699="USD",F699,IF(E699="CRC",F699/CONFIG!$B$5,""))</f>
        <v/>
      </c>
      <c r="U699" s="19">
        <f>IF(A699&lt;&gt;"",A699+30,"")</f>
        <v/>
      </c>
      <c r="V699">
        <f>IF(AND(C699="CxP",S699&gt;60),"Alta",IF(AND(C699="CxP",S699&gt;30),"Media",IF(C699="CxP","Baja","")))</f>
        <v/>
      </c>
      <c r="W699">
        <f>IF(AND(C699="CxC",S699&gt;90),"Alta",IF(AND(C699="CxC",S699&gt;60),"Media",IF(C699="CxC","Baja","")))</f>
        <v/>
      </c>
    </row>
    <row r="700">
      <c r="A700" s="19" t="n"/>
      <c r="F700" s="20" t="n"/>
      <c r="Q700" s="10">
        <f>IF(E700="USD",CONFIG!$B$5,1)</f>
        <v/>
      </c>
      <c r="R700">
        <f>IF(AND(A700&lt;&gt;"",ISNUMBER(A700),B700&lt;&gt;"",C700&lt;&gt;"",OR(E700="USD",E700="CRC"),F700&gt;0,ISNUMBER(Q700),Q700&gt;0),"✓ OK","✗ ERROR: Revisa datos")</f>
        <v/>
      </c>
      <c r="S700" s="6">
        <f>IF(A700&lt;&gt;"",TODAY()-A700,"")</f>
        <v/>
      </c>
      <c r="T700" s="4">
        <f>IF(E700="USD",F700,IF(E700="CRC",F700/CONFIG!$B$5,""))</f>
        <v/>
      </c>
      <c r="U700" s="19">
        <f>IF(A700&lt;&gt;"",A700+30,"")</f>
        <v/>
      </c>
      <c r="V700">
        <f>IF(AND(C700="CxP",S700&gt;60),"Alta",IF(AND(C700="CxP",S700&gt;30),"Media",IF(C700="CxP","Baja","")))</f>
        <v/>
      </c>
      <c r="W700">
        <f>IF(AND(C700="CxC",S700&gt;90),"Alta",IF(AND(C700="CxC",S700&gt;60),"Media",IF(C700="CxC","Baja","")))</f>
        <v/>
      </c>
    </row>
    <row r="701">
      <c r="A701" s="19" t="n"/>
      <c r="F701" s="20" t="n"/>
      <c r="Q701" s="10">
        <f>IF(E701="USD",CONFIG!$B$5,1)</f>
        <v/>
      </c>
      <c r="R701">
        <f>IF(AND(A701&lt;&gt;"",ISNUMBER(A701),B701&lt;&gt;"",C701&lt;&gt;"",OR(E701="USD",E701="CRC"),F701&gt;0,ISNUMBER(Q701),Q701&gt;0),"✓ OK","✗ ERROR: Revisa datos")</f>
        <v/>
      </c>
      <c r="S701" s="6">
        <f>IF(A701&lt;&gt;"",TODAY()-A701,"")</f>
        <v/>
      </c>
      <c r="T701" s="4">
        <f>IF(E701="USD",F701,IF(E701="CRC",F701/CONFIG!$B$5,""))</f>
        <v/>
      </c>
      <c r="U701" s="19">
        <f>IF(A701&lt;&gt;"",A701+30,"")</f>
        <v/>
      </c>
      <c r="V701">
        <f>IF(AND(C701="CxP",S701&gt;60),"Alta",IF(AND(C701="CxP",S701&gt;30),"Media",IF(C701="CxP","Baja","")))</f>
        <v/>
      </c>
      <c r="W701">
        <f>IF(AND(C701="CxC",S701&gt;90),"Alta",IF(AND(C701="CxC",S701&gt;60),"Media",IF(C701="CxC","Baja","")))</f>
        <v/>
      </c>
    </row>
    <row r="702">
      <c r="A702" s="19" t="n"/>
      <c r="F702" s="20" t="n"/>
      <c r="Q702" s="10">
        <f>IF(E702="USD",CONFIG!$B$5,1)</f>
        <v/>
      </c>
      <c r="R702">
        <f>IF(AND(A702&lt;&gt;"",ISNUMBER(A702),B702&lt;&gt;"",C702&lt;&gt;"",OR(E702="USD",E702="CRC"),F702&gt;0,ISNUMBER(Q702),Q702&gt;0),"✓ OK","✗ ERROR: Revisa datos")</f>
        <v/>
      </c>
      <c r="S702" s="6">
        <f>IF(A702&lt;&gt;"",TODAY()-A702,"")</f>
        <v/>
      </c>
      <c r="T702" s="4">
        <f>IF(E702="USD",F702,IF(E702="CRC",F702/CONFIG!$B$5,""))</f>
        <v/>
      </c>
      <c r="U702" s="19">
        <f>IF(A702&lt;&gt;"",A702+30,"")</f>
        <v/>
      </c>
      <c r="V702">
        <f>IF(AND(C702="CxP",S702&gt;60),"Alta",IF(AND(C702="CxP",S702&gt;30),"Media",IF(C702="CxP","Baja","")))</f>
        <v/>
      </c>
      <c r="W702">
        <f>IF(AND(C702="CxC",S702&gt;90),"Alta",IF(AND(C702="CxC",S702&gt;60),"Media",IF(C702="CxC","Baja","")))</f>
        <v/>
      </c>
    </row>
    <row r="703">
      <c r="A703" s="19" t="n"/>
      <c r="F703" s="20" t="n"/>
      <c r="Q703" s="10">
        <f>IF(E703="USD",CONFIG!$B$5,1)</f>
        <v/>
      </c>
      <c r="R703">
        <f>IF(AND(A703&lt;&gt;"",ISNUMBER(A703),B703&lt;&gt;"",C703&lt;&gt;"",OR(E703="USD",E703="CRC"),F703&gt;0,ISNUMBER(Q703),Q703&gt;0),"✓ OK","✗ ERROR: Revisa datos")</f>
        <v/>
      </c>
      <c r="S703" s="6">
        <f>IF(A703&lt;&gt;"",TODAY()-A703,"")</f>
        <v/>
      </c>
      <c r="T703" s="4">
        <f>IF(E703="USD",F703,IF(E703="CRC",F703/CONFIG!$B$5,""))</f>
        <v/>
      </c>
      <c r="U703" s="19">
        <f>IF(A703&lt;&gt;"",A703+30,"")</f>
        <v/>
      </c>
      <c r="V703">
        <f>IF(AND(C703="CxP",S703&gt;60),"Alta",IF(AND(C703="CxP",S703&gt;30),"Media",IF(C703="CxP","Baja","")))</f>
        <v/>
      </c>
      <c r="W703">
        <f>IF(AND(C703="CxC",S703&gt;90),"Alta",IF(AND(C703="CxC",S703&gt;60),"Media",IF(C703="CxC","Baja","")))</f>
        <v/>
      </c>
    </row>
    <row r="704">
      <c r="A704" s="19" t="n"/>
      <c r="F704" s="20" t="n"/>
      <c r="Q704" s="10">
        <f>IF(E704="USD",CONFIG!$B$5,1)</f>
        <v/>
      </c>
      <c r="R704">
        <f>IF(AND(A704&lt;&gt;"",ISNUMBER(A704),B704&lt;&gt;"",C704&lt;&gt;"",OR(E704="USD",E704="CRC"),F704&gt;0,ISNUMBER(Q704),Q704&gt;0),"✓ OK","✗ ERROR: Revisa datos")</f>
        <v/>
      </c>
      <c r="S704" s="6">
        <f>IF(A704&lt;&gt;"",TODAY()-A704,"")</f>
        <v/>
      </c>
      <c r="T704" s="4">
        <f>IF(E704="USD",F704,IF(E704="CRC",F704/CONFIG!$B$5,""))</f>
        <v/>
      </c>
      <c r="U704" s="19">
        <f>IF(A704&lt;&gt;"",A704+30,"")</f>
        <v/>
      </c>
      <c r="V704">
        <f>IF(AND(C704="CxP",S704&gt;60),"Alta",IF(AND(C704="CxP",S704&gt;30),"Media",IF(C704="CxP","Baja","")))</f>
        <v/>
      </c>
      <c r="W704">
        <f>IF(AND(C704="CxC",S704&gt;90),"Alta",IF(AND(C704="CxC",S704&gt;60),"Media",IF(C704="CxC","Baja","")))</f>
        <v/>
      </c>
    </row>
    <row r="705">
      <c r="A705" s="19" t="n"/>
      <c r="F705" s="20" t="n"/>
      <c r="Q705" s="10">
        <f>IF(E705="USD",CONFIG!$B$5,1)</f>
        <v/>
      </c>
      <c r="R705">
        <f>IF(AND(A705&lt;&gt;"",ISNUMBER(A705),B705&lt;&gt;"",C705&lt;&gt;"",OR(E705="USD",E705="CRC"),F705&gt;0,ISNUMBER(Q705),Q705&gt;0),"✓ OK","✗ ERROR: Revisa datos")</f>
        <v/>
      </c>
      <c r="S705" s="6">
        <f>IF(A705&lt;&gt;"",TODAY()-A705,"")</f>
        <v/>
      </c>
      <c r="T705" s="4">
        <f>IF(E705="USD",F705,IF(E705="CRC",F705/CONFIG!$B$5,""))</f>
        <v/>
      </c>
      <c r="U705" s="19">
        <f>IF(A705&lt;&gt;"",A705+30,"")</f>
        <v/>
      </c>
      <c r="V705">
        <f>IF(AND(C705="CxP",S705&gt;60),"Alta",IF(AND(C705="CxP",S705&gt;30),"Media",IF(C705="CxP","Baja","")))</f>
        <v/>
      </c>
      <c r="W705">
        <f>IF(AND(C705="CxC",S705&gt;90),"Alta",IF(AND(C705="CxC",S705&gt;60),"Media",IF(C705="CxC","Baja","")))</f>
        <v/>
      </c>
    </row>
    <row r="706">
      <c r="A706" s="19" t="n"/>
      <c r="F706" s="20" t="n"/>
      <c r="Q706" s="10">
        <f>IF(E706="USD",CONFIG!$B$5,1)</f>
        <v/>
      </c>
      <c r="R706">
        <f>IF(AND(A706&lt;&gt;"",ISNUMBER(A706),B706&lt;&gt;"",C706&lt;&gt;"",OR(E706="USD",E706="CRC"),F706&gt;0,ISNUMBER(Q706),Q706&gt;0),"✓ OK","✗ ERROR: Revisa datos")</f>
        <v/>
      </c>
      <c r="S706" s="6">
        <f>IF(A706&lt;&gt;"",TODAY()-A706,"")</f>
        <v/>
      </c>
      <c r="T706" s="4">
        <f>IF(E706="USD",F706,IF(E706="CRC",F706/CONFIG!$B$5,""))</f>
        <v/>
      </c>
      <c r="U706" s="19">
        <f>IF(A706&lt;&gt;"",A706+30,"")</f>
        <v/>
      </c>
      <c r="V706">
        <f>IF(AND(C706="CxP",S706&gt;60),"Alta",IF(AND(C706="CxP",S706&gt;30),"Media",IF(C706="CxP","Baja","")))</f>
        <v/>
      </c>
      <c r="W706">
        <f>IF(AND(C706="CxC",S706&gt;90),"Alta",IF(AND(C706="CxC",S706&gt;60),"Media",IF(C706="CxC","Baja","")))</f>
        <v/>
      </c>
    </row>
    <row r="707">
      <c r="A707" s="19" t="n"/>
      <c r="F707" s="20" t="n"/>
      <c r="Q707" s="10">
        <f>IF(E707="USD",CONFIG!$B$5,1)</f>
        <v/>
      </c>
      <c r="R707">
        <f>IF(AND(A707&lt;&gt;"",ISNUMBER(A707),B707&lt;&gt;"",C707&lt;&gt;"",OR(E707="USD",E707="CRC"),F707&gt;0,ISNUMBER(Q707),Q707&gt;0),"✓ OK","✗ ERROR: Revisa datos")</f>
        <v/>
      </c>
      <c r="S707" s="6">
        <f>IF(A707&lt;&gt;"",TODAY()-A707,"")</f>
        <v/>
      </c>
      <c r="T707" s="4">
        <f>IF(E707="USD",F707,IF(E707="CRC",F707/CONFIG!$B$5,""))</f>
        <v/>
      </c>
      <c r="U707" s="19">
        <f>IF(A707&lt;&gt;"",A707+30,"")</f>
        <v/>
      </c>
      <c r="V707">
        <f>IF(AND(C707="CxP",S707&gt;60),"Alta",IF(AND(C707="CxP",S707&gt;30),"Media",IF(C707="CxP","Baja","")))</f>
        <v/>
      </c>
      <c r="W707">
        <f>IF(AND(C707="CxC",S707&gt;90),"Alta",IF(AND(C707="CxC",S707&gt;60),"Media",IF(C707="CxC","Baja","")))</f>
        <v/>
      </c>
    </row>
    <row r="708">
      <c r="A708" s="19" t="n"/>
      <c r="F708" s="20" t="n"/>
      <c r="Q708" s="10">
        <f>IF(E708="USD",CONFIG!$B$5,1)</f>
        <v/>
      </c>
      <c r="R708">
        <f>IF(AND(A708&lt;&gt;"",ISNUMBER(A708),B708&lt;&gt;"",C708&lt;&gt;"",OR(E708="USD",E708="CRC"),F708&gt;0,ISNUMBER(Q708),Q708&gt;0),"✓ OK","✗ ERROR: Revisa datos")</f>
        <v/>
      </c>
      <c r="S708" s="6">
        <f>IF(A708&lt;&gt;"",TODAY()-A708,"")</f>
        <v/>
      </c>
      <c r="T708" s="4">
        <f>IF(E708="USD",F708,IF(E708="CRC",F708/CONFIG!$B$5,""))</f>
        <v/>
      </c>
      <c r="U708" s="19">
        <f>IF(A708&lt;&gt;"",A708+30,"")</f>
        <v/>
      </c>
      <c r="V708">
        <f>IF(AND(C708="CxP",S708&gt;60),"Alta",IF(AND(C708="CxP",S708&gt;30),"Media",IF(C708="CxP","Baja","")))</f>
        <v/>
      </c>
      <c r="W708">
        <f>IF(AND(C708="CxC",S708&gt;90),"Alta",IF(AND(C708="CxC",S708&gt;60),"Media",IF(C708="CxC","Baja","")))</f>
        <v/>
      </c>
    </row>
    <row r="709">
      <c r="A709" s="19" t="n"/>
      <c r="F709" s="20" t="n"/>
      <c r="Q709" s="10">
        <f>IF(E709="USD",CONFIG!$B$5,1)</f>
        <v/>
      </c>
      <c r="R709">
        <f>IF(AND(A709&lt;&gt;"",ISNUMBER(A709),B709&lt;&gt;"",C709&lt;&gt;"",OR(E709="USD",E709="CRC"),F709&gt;0,ISNUMBER(Q709),Q709&gt;0),"✓ OK","✗ ERROR: Revisa datos")</f>
        <v/>
      </c>
      <c r="S709" s="6">
        <f>IF(A709&lt;&gt;"",TODAY()-A709,"")</f>
        <v/>
      </c>
      <c r="T709" s="4">
        <f>IF(E709="USD",F709,IF(E709="CRC",F709/CONFIG!$B$5,""))</f>
        <v/>
      </c>
      <c r="U709" s="19">
        <f>IF(A709&lt;&gt;"",A709+30,"")</f>
        <v/>
      </c>
      <c r="V709">
        <f>IF(AND(C709="CxP",S709&gt;60),"Alta",IF(AND(C709="CxP",S709&gt;30),"Media",IF(C709="CxP","Baja","")))</f>
        <v/>
      </c>
      <c r="W709">
        <f>IF(AND(C709="CxC",S709&gt;90),"Alta",IF(AND(C709="CxC",S709&gt;60),"Media",IF(C709="CxC","Baja","")))</f>
        <v/>
      </c>
    </row>
    <row r="710">
      <c r="A710" s="19" t="n"/>
      <c r="F710" s="20" t="n"/>
      <c r="Q710" s="10">
        <f>IF(E710="USD",CONFIG!$B$5,1)</f>
        <v/>
      </c>
      <c r="R710">
        <f>IF(AND(A710&lt;&gt;"",ISNUMBER(A710),B710&lt;&gt;"",C710&lt;&gt;"",OR(E710="USD",E710="CRC"),F710&gt;0,ISNUMBER(Q710),Q710&gt;0),"✓ OK","✗ ERROR: Revisa datos")</f>
        <v/>
      </c>
      <c r="S710" s="6">
        <f>IF(A710&lt;&gt;"",TODAY()-A710,"")</f>
        <v/>
      </c>
      <c r="T710" s="4">
        <f>IF(E710="USD",F710,IF(E710="CRC",F710/CONFIG!$B$5,""))</f>
        <v/>
      </c>
      <c r="U710" s="19">
        <f>IF(A710&lt;&gt;"",A710+30,"")</f>
        <v/>
      </c>
      <c r="V710">
        <f>IF(AND(C710="CxP",S710&gt;60),"Alta",IF(AND(C710="CxP",S710&gt;30),"Media",IF(C710="CxP","Baja","")))</f>
        <v/>
      </c>
      <c r="W710">
        <f>IF(AND(C710="CxC",S710&gt;90),"Alta",IF(AND(C710="CxC",S710&gt;60),"Media",IF(C710="CxC","Baja","")))</f>
        <v/>
      </c>
    </row>
    <row r="711">
      <c r="A711" s="19" t="n"/>
      <c r="F711" s="20" t="n"/>
      <c r="Q711" s="10">
        <f>IF(E711="USD",CONFIG!$B$5,1)</f>
        <v/>
      </c>
      <c r="R711">
        <f>IF(AND(A711&lt;&gt;"",ISNUMBER(A711),B711&lt;&gt;"",C711&lt;&gt;"",OR(E711="USD",E711="CRC"),F711&gt;0,ISNUMBER(Q711),Q711&gt;0),"✓ OK","✗ ERROR: Revisa datos")</f>
        <v/>
      </c>
      <c r="S711" s="6">
        <f>IF(A711&lt;&gt;"",TODAY()-A711,"")</f>
        <v/>
      </c>
      <c r="T711" s="4">
        <f>IF(E711="USD",F711,IF(E711="CRC",F711/CONFIG!$B$5,""))</f>
        <v/>
      </c>
      <c r="U711" s="19">
        <f>IF(A711&lt;&gt;"",A711+30,"")</f>
        <v/>
      </c>
      <c r="V711">
        <f>IF(AND(C711="CxP",S711&gt;60),"Alta",IF(AND(C711="CxP",S711&gt;30),"Media",IF(C711="CxP","Baja","")))</f>
        <v/>
      </c>
      <c r="W711">
        <f>IF(AND(C711="CxC",S711&gt;90),"Alta",IF(AND(C711="CxC",S711&gt;60),"Media",IF(C711="CxC","Baja","")))</f>
        <v/>
      </c>
    </row>
    <row r="712">
      <c r="A712" s="19" t="n"/>
      <c r="F712" s="20" t="n"/>
      <c r="Q712" s="10">
        <f>IF(E712="USD",CONFIG!$B$5,1)</f>
        <v/>
      </c>
      <c r="R712">
        <f>IF(AND(A712&lt;&gt;"",ISNUMBER(A712),B712&lt;&gt;"",C712&lt;&gt;"",OR(E712="USD",E712="CRC"),F712&gt;0,ISNUMBER(Q712),Q712&gt;0),"✓ OK","✗ ERROR: Revisa datos")</f>
        <v/>
      </c>
      <c r="S712" s="6">
        <f>IF(A712&lt;&gt;"",TODAY()-A712,"")</f>
        <v/>
      </c>
      <c r="T712" s="4">
        <f>IF(E712="USD",F712,IF(E712="CRC",F712/CONFIG!$B$5,""))</f>
        <v/>
      </c>
      <c r="U712" s="19">
        <f>IF(A712&lt;&gt;"",A712+30,"")</f>
        <v/>
      </c>
      <c r="V712">
        <f>IF(AND(C712="CxP",S712&gt;60),"Alta",IF(AND(C712="CxP",S712&gt;30),"Media",IF(C712="CxP","Baja","")))</f>
        <v/>
      </c>
      <c r="W712">
        <f>IF(AND(C712="CxC",S712&gt;90),"Alta",IF(AND(C712="CxC",S712&gt;60),"Media",IF(C712="CxC","Baja","")))</f>
        <v/>
      </c>
    </row>
    <row r="713">
      <c r="A713" s="19" t="n"/>
      <c r="F713" s="20" t="n"/>
      <c r="Q713" s="10">
        <f>IF(E713="USD",CONFIG!$B$5,1)</f>
        <v/>
      </c>
      <c r="R713">
        <f>IF(AND(A713&lt;&gt;"",ISNUMBER(A713),B713&lt;&gt;"",C713&lt;&gt;"",OR(E713="USD",E713="CRC"),F713&gt;0,ISNUMBER(Q713),Q713&gt;0),"✓ OK","✗ ERROR: Revisa datos")</f>
        <v/>
      </c>
      <c r="S713" s="6">
        <f>IF(A713&lt;&gt;"",TODAY()-A713,"")</f>
        <v/>
      </c>
      <c r="T713" s="4">
        <f>IF(E713="USD",F713,IF(E713="CRC",F713/CONFIG!$B$5,""))</f>
        <v/>
      </c>
      <c r="U713" s="19">
        <f>IF(A713&lt;&gt;"",A713+30,"")</f>
        <v/>
      </c>
      <c r="V713">
        <f>IF(AND(C713="CxP",S713&gt;60),"Alta",IF(AND(C713="CxP",S713&gt;30),"Media",IF(C713="CxP","Baja","")))</f>
        <v/>
      </c>
      <c r="W713">
        <f>IF(AND(C713="CxC",S713&gt;90),"Alta",IF(AND(C713="CxC",S713&gt;60),"Media",IF(C713="CxC","Baja","")))</f>
        <v/>
      </c>
    </row>
    <row r="714">
      <c r="A714" s="19" t="n"/>
      <c r="F714" s="20" t="n"/>
      <c r="Q714" s="10">
        <f>IF(E714="USD",CONFIG!$B$5,1)</f>
        <v/>
      </c>
      <c r="R714">
        <f>IF(AND(A714&lt;&gt;"",ISNUMBER(A714),B714&lt;&gt;"",C714&lt;&gt;"",OR(E714="USD",E714="CRC"),F714&gt;0,ISNUMBER(Q714),Q714&gt;0),"✓ OK","✗ ERROR: Revisa datos")</f>
        <v/>
      </c>
      <c r="S714" s="6">
        <f>IF(A714&lt;&gt;"",TODAY()-A714,"")</f>
        <v/>
      </c>
      <c r="T714" s="4">
        <f>IF(E714="USD",F714,IF(E714="CRC",F714/CONFIG!$B$5,""))</f>
        <v/>
      </c>
      <c r="U714" s="19">
        <f>IF(A714&lt;&gt;"",A714+30,"")</f>
        <v/>
      </c>
      <c r="V714">
        <f>IF(AND(C714="CxP",S714&gt;60),"Alta",IF(AND(C714="CxP",S714&gt;30),"Media",IF(C714="CxP","Baja","")))</f>
        <v/>
      </c>
      <c r="W714">
        <f>IF(AND(C714="CxC",S714&gt;90),"Alta",IF(AND(C714="CxC",S714&gt;60),"Media",IF(C714="CxC","Baja","")))</f>
        <v/>
      </c>
    </row>
    <row r="715">
      <c r="A715" s="19" t="n"/>
      <c r="F715" s="20" t="n"/>
      <c r="Q715" s="10">
        <f>IF(E715="USD",CONFIG!$B$5,1)</f>
        <v/>
      </c>
      <c r="R715">
        <f>IF(AND(A715&lt;&gt;"",ISNUMBER(A715),B715&lt;&gt;"",C715&lt;&gt;"",OR(E715="USD",E715="CRC"),F715&gt;0,ISNUMBER(Q715),Q715&gt;0),"✓ OK","✗ ERROR: Revisa datos")</f>
        <v/>
      </c>
      <c r="S715" s="6">
        <f>IF(A715&lt;&gt;"",TODAY()-A715,"")</f>
        <v/>
      </c>
      <c r="T715" s="4">
        <f>IF(E715="USD",F715,IF(E715="CRC",F715/CONFIG!$B$5,""))</f>
        <v/>
      </c>
      <c r="U715" s="19">
        <f>IF(A715&lt;&gt;"",A715+30,"")</f>
        <v/>
      </c>
      <c r="V715">
        <f>IF(AND(C715="CxP",S715&gt;60),"Alta",IF(AND(C715="CxP",S715&gt;30),"Media",IF(C715="CxP","Baja","")))</f>
        <v/>
      </c>
      <c r="W715">
        <f>IF(AND(C715="CxC",S715&gt;90),"Alta",IF(AND(C715="CxC",S715&gt;60),"Media",IF(C715="CxC","Baja","")))</f>
        <v/>
      </c>
    </row>
    <row r="716">
      <c r="A716" s="19" t="n"/>
      <c r="F716" s="20" t="n"/>
      <c r="Q716" s="10">
        <f>IF(E716="USD",CONFIG!$B$5,1)</f>
        <v/>
      </c>
      <c r="R716">
        <f>IF(AND(A716&lt;&gt;"",ISNUMBER(A716),B716&lt;&gt;"",C716&lt;&gt;"",OR(E716="USD",E716="CRC"),F716&gt;0,ISNUMBER(Q716),Q716&gt;0),"✓ OK","✗ ERROR: Revisa datos")</f>
        <v/>
      </c>
      <c r="S716" s="6">
        <f>IF(A716&lt;&gt;"",TODAY()-A716,"")</f>
        <v/>
      </c>
      <c r="T716" s="4">
        <f>IF(E716="USD",F716,IF(E716="CRC",F716/CONFIG!$B$5,""))</f>
        <v/>
      </c>
      <c r="U716" s="19">
        <f>IF(A716&lt;&gt;"",A716+30,"")</f>
        <v/>
      </c>
      <c r="V716">
        <f>IF(AND(C716="CxP",S716&gt;60),"Alta",IF(AND(C716="CxP",S716&gt;30),"Media",IF(C716="CxP","Baja","")))</f>
        <v/>
      </c>
      <c r="W716">
        <f>IF(AND(C716="CxC",S716&gt;90),"Alta",IF(AND(C716="CxC",S716&gt;60),"Media",IF(C716="CxC","Baja","")))</f>
        <v/>
      </c>
    </row>
    <row r="717">
      <c r="A717" s="19" t="n"/>
      <c r="F717" s="20" t="n"/>
      <c r="Q717" s="10">
        <f>IF(E717="USD",CONFIG!$B$5,1)</f>
        <v/>
      </c>
      <c r="R717">
        <f>IF(AND(A717&lt;&gt;"",ISNUMBER(A717),B717&lt;&gt;"",C717&lt;&gt;"",OR(E717="USD",E717="CRC"),F717&gt;0,ISNUMBER(Q717),Q717&gt;0),"✓ OK","✗ ERROR: Revisa datos")</f>
        <v/>
      </c>
      <c r="S717" s="6">
        <f>IF(A717&lt;&gt;"",TODAY()-A717,"")</f>
        <v/>
      </c>
      <c r="T717" s="4">
        <f>IF(E717="USD",F717,IF(E717="CRC",F717/CONFIG!$B$5,""))</f>
        <v/>
      </c>
      <c r="U717" s="19">
        <f>IF(A717&lt;&gt;"",A717+30,"")</f>
        <v/>
      </c>
      <c r="V717">
        <f>IF(AND(C717="CxP",S717&gt;60),"Alta",IF(AND(C717="CxP",S717&gt;30),"Media",IF(C717="CxP","Baja","")))</f>
        <v/>
      </c>
      <c r="W717">
        <f>IF(AND(C717="CxC",S717&gt;90),"Alta",IF(AND(C717="CxC",S717&gt;60),"Media",IF(C717="CxC","Baja","")))</f>
        <v/>
      </c>
    </row>
    <row r="718">
      <c r="A718" s="19" t="n"/>
      <c r="F718" s="20" t="n"/>
      <c r="Q718" s="10">
        <f>IF(E718="USD",CONFIG!$B$5,1)</f>
        <v/>
      </c>
      <c r="R718">
        <f>IF(AND(A718&lt;&gt;"",ISNUMBER(A718),B718&lt;&gt;"",C718&lt;&gt;"",OR(E718="USD",E718="CRC"),F718&gt;0,ISNUMBER(Q718),Q718&gt;0),"✓ OK","✗ ERROR: Revisa datos")</f>
        <v/>
      </c>
      <c r="S718" s="6">
        <f>IF(A718&lt;&gt;"",TODAY()-A718,"")</f>
        <v/>
      </c>
      <c r="T718" s="4">
        <f>IF(E718="USD",F718,IF(E718="CRC",F718/CONFIG!$B$5,""))</f>
        <v/>
      </c>
      <c r="U718" s="19">
        <f>IF(A718&lt;&gt;"",A718+30,"")</f>
        <v/>
      </c>
      <c r="V718">
        <f>IF(AND(C718="CxP",S718&gt;60),"Alta",IF(AND(C718="CxP",S718&gt;30),"Media",IF(C718="CxP","Baja","")))</f>
        <v/>
      </c>
      <c r="W718">
        <f>IF(AND(C718="CxC",S718&gt;90),"Alta",IF(AND(C718="CxC",S718&gt;60),"Media",IF(C718="CxC","Baja","")))</f>
        <v/>
      </c>
    </row>
    <row r="719">
      <c r="A719" s="19" t="n"/>
      <c r="F719" s="20" t="n"/>
      <c r="Q719" s="10">
        <f>IF(E719="USD",CONFIG!$B$5,1)</f>
        <v/>
      </c>
      <c r="R719">
        <f>IF(AND(A719&lt;&gt;"",ISNUMBER(A719),B719&lt;&gt;"",C719&lt;&gt;"",OR(E719="USD",E719="CRC"),F719&gt;0,ISNUMBER(Q719),Q719&gt;0),"✓ OK","✗ ERROR: Revisa datos")</f>
        <v/>
      </c>
      <c r="S719" s="6">
        <f>IF(A719&lt;&gt;"",TODAY()-A719,"")</f>
        <v/>
      </c>
      <c r="T719" s="4">
        <f>IF(E719="USD",F719,IF(E719="CRC",F719/CONFIG!$B$5,""))</f>
        <v/>
      </c>
      <c r="U719" s="19">
        <f>IF(A719&lt;&gt;"",A719+30,"")</f>
        <v/>
      </c>
      <c r="V719">
        <f>IF(AND(C719="CxP",S719&gt;60),"Alta",IF(AND(C719="CxP",S719&gt;30),"Media",IF(C719="CxP","Baja","")))</f>
        <v/>
      </c>
      <c r="W719">
        <f>IF(AND(C719="CxC",S719&gt;90),"Alta",IF(AND(C719="CxC",S719&gt;60),"Media",IF(C719="CxC","Baja","")))</f>
        <v/>
      </c>
    </row>
    <row r="720">
      <c r="A720" s="19" t="n"/>
      <c r="F720" s="20" t="n"/>
      <c r="Q720" s="10">
        <f>IF(E720="USD",CONFIG!$B$5,1)</f>
        <v/>
      </c>
      <c r="R720">
        <f>IF(AND(A720&lt;&gt;"",ISNUMBER(A720),B720&lt;&gt;"",C720&lt;&gt;"",OR(E720="USD",E720="CRC"),F720&gt;0,ISNUMBER(Q720),Q720&gt;0),"✓ OK","✗ ERROR: Revisa datos")</f>
        <v/>
      </c>
      <c r="S720" s="6">
        <f>IF(A720&lt;&gt;"",TODAY()-A720,"")</f>
        <v/>
      </c>
      <c r="T720" s="4">
        <f>IF(E720="USD",F720,IF(E720="CRC",F720/CONFIG!$B$5,""))</f>
        <v/>
      </c>
      <c r="U720" s="19">
        <f>IF(A720&lt;&gt;"",A720+30,"")</f>
        <v/>
      </c>
      <c r="V720">
        <f>IF(AND(C720="CxP",S720&gt;60),"Alta",IF(AND(C720="CxP",S720&gt;30),"Media",IF(C720="CxP","Baja","")))</f>
        <v/>
      </c>
      <c r="W720">
        <f>IF(AND(C720="CxC",S720&gt;90),"Alta",IF(AND(C720="CxC",S720&gt;60),"Media",IF(C720="CxC","Baja","")))</f>
        <v/>
      </c>
    </row>
    <row r="721">
      <c r="A721" s="19" t="n"/>
      <c r="F721" s="20" t="n"/>
      <c r="Q721" s="10">
        <f>IF(E721="USD",CONFIG!$B$5,1)</f>
        <v/>
      </c>
      <c r="R721">
        <f>IF(AND(A721&lt;&gt;"",ISNUMBER(A721),B721&lt;&gt;"",C721&lt;&gt;"",OR(E721="USD",E721="CRC"),F721&gt;0,ISNUMBER(Q721),Q721&gt;0),"✓ OK","✗ ERROR: Revisa datos")</f>
        <v/>
      </c>
      <c r="S721" s="6">
        <f>IF(A721&lt;&gt;"",TODAY()-A721,"")</f>
        <v/>
      </c>
      <c r="T721" s="4">
        <f>IF(E721="USD",F721,IF(E721="CRC",F721/CONFIG!$B$5,""))</f>
        <v/>
      </c>
      <c r="U721" s="19">
        <f>IF(A721&lt;&gt;"",A721+30,"")</f>
        <v/>
      </c>
      <c r="V721">
        <f>IF(AND(C721="CxP",S721&gt;60),"Alta",IF(AND(C721="CxP",S721&gt;30),"Media",IF(C721="CxP","Baja","")))</f>
        <v/>
      </c>
      <c r="W721">
        <f>IF(AND(C721="CxC",S721&gt;90),"Alta",IF(AND(C721="CxC",S721&gt;60),"Media",IF(C721="CxC","Baja","")))</f>
        <v/>
      </c>
    </row>
    <row r="722">
      <c r="A722" s="19" t="n"/>
      <c r="F722" s="20" t="n"/>
      <c r="Q722" s="10">
        <f>IF(E722="USD",CONFIG!$B$5,1)</f>
        <v/>
      </c>
      <c r="R722">
        <f>IF(AND(A722&lt;&gt;"",ISNUMBER(A722),B722&lt;&gt;"",C722&lt;&gt;"",OR(E722="USD",E722="CRC"),F722&gt;0,ISNUMBER(Q722),Q722&gt;0),"✓ OK","✗ ERROR: Revisa datos")</f>
        <v/>
      </c>
      <c r="S722" s="6">
        <f>IF(A722&lt;&gt;"",TODAY()-A722,"")</f>
        <v/>
      </c>
      <c r="T722" s="4">
        <f>IF(E722="USD",F722,IF(E722="CRC",F722/CONFIG!$B$5,""))</f>
        <v/>
      </c>
      <c r="U722" s="19">
        <f>IF(A722&lt;&gt;"",A722+30,"")</f>
        <v/>
      </c>
      <c r="V722">
        <f>IF(AND(C722="CxP",S722&gt;60),"Alta",IF(AND(C722="CxP",S722&gt;30),"Media",IF(C722="CxP","Baja","")))</f>
        <v/>
      </c>
      <c r="W722">
        <f>IF(AND(C722="CxC",S722&gt;90),"Alta",IF(AND(C722="CxC",S722&gt;60),"Media",IF(C722="CxC","Baja","")))</f>
        <v/>
      </c>
    </row>
    <row r="723">
      <c r="A723" s="19" t="n"/>
      <c r="F723" s="20" t="n"/>
      <c r="Q723" s="10">
        <f>IF(E723="USD",CONFIG!$B$5,1)</f>
        <v/>
      </c>
      <c r="R723">
        <f>IF(AND(A723&lt;&gt;"",ISNUMBER(A723),B723&lt;&gt;"",C723&lt;&gt;"",OR(E723="USD",E723="CRC"),F723&gt;0,ISNUMBER(Q723),Q723&gt;0),"✓ OK","✗ ERROR: Revisa datos")</f>
        <v/>
      </c>
      <c r="S723" s="6">
        <f>IF(A723&lt;&gt;"",TODAY()-A723,"")</f>
        <v/>
      </c>
      <c r="T723" s="4">
        <f>IF(E723="USD",F723,IF(E723="CRC",F723/CONFIG!$B$5,""))</f>
        <v/>
      </c>
      <c r="U723" s="19">
        <f>IF(A723&lt;&gt;"",A723+30,"")</f>
        <v/>
      </c>
      <c r="V723">
        <f>IF(AND(C723="CxP",S723&gt;60),"Alta",IF(AND(C723="CxP",S723&gt;30),"Media",IF(C723="CxP","Baja","")))</f>
        <v/>
      </c>
      <c r="W723">
        <f>IF(AND(C723="CxC",S723&gt;90),"Alta",IF(AND(C723="CxC",S723&gt;60),"Media",IF(C723="CxC","Baja","")))</f>
        <v/>
      </c>
    </row>
    <row r="724">
      <c r="A724" s="19" t="n"/>
      <c r="F724" s="20" t="n"/>
      <c r="Q724" s="10">
        <f>IF(E724="USD",CONFIG!$B$5,1)</f>
        <v/>
      </c>
      <c r="R724">
        <f>IF(AND(A724&lt;&gt;"",ISNUMBER(A724),B724&lt;&gt;"",C724&lt;&gt;"",OR(E724="USD",E724="CRC"),F724&gt;0,ISNUMBER(Q724),Q724&gt;0),"✓ OK","✗ ERROR: Revisa datos")</f>
        <v/>
      </c>
      <c r="S724" s="6">
        <f>IF(A724&lt;&gt;"",TODAY()-A724,"")</f>
        <v/>
      </c>
      <c r="T724" s="4">
        <f>IF(E724="USD",F724,IF(E724="CRC",F724/CONFIG!$B$5,""))</f>
        <v/>
      </c>
      <c r="U724" s="19">
        <f>IF(A724&lt;&gt;"",A724+30,"")</f>
        <v/>
      </c>
      <c r="V724">
        <f>IF(AND(C724="CxP",S724&gt;60),"Alta",IF(AND(C724="CxP",S724&gt;30),"Media",IF(C724="CxP","Baja","")))</f>
        <v/>
      </c>
      <c r="W724">
        <f>IF(AND(C724="CxC",S724&gt;90),"Alta",IF(AND(C724="CxC",S724&gt;60),"Media",IF(C724="CxC","Baja","")))</f>
        <v/>
      </c>
    </row>
    <row r="725">
      <c r="A725" s="19" t="n"/>
      <c r="F725" s="20" t="n"/>
      <c r="Q725" s="10">
        <f>IF(E725="USD",CONFIG!$B$5,1)</f>
        <v/>
      </c>
      <c r="R725">
        <f>IF(AND(A725&lt;&gt;"",ISNUMBER(A725),B725&lt;&gt;"",C725&lt;&gt;"",OR(E725="USD",E725="CRC"),F725&gt;0,ISNUMBER(Q725),Q725&gt;0),"✓ OK","✗ ERROR: Revisa datos")</f>
        <v/>
      </c>
      <c r="S725" s="6">
        <f>IF(A725&lt;&gt;"",TODAY()-A725,"")</f>
        <v/>
      </c>
      <c r="T725" s="4">
        <f>IF(E725="USD",F725,IF(E725="CRC",F725/CONFIG!$B$5,""))</f>
        <v/>
      </c>
      <c r="U725" s="19">
        <f>IF(A725&lt;&gt;"",A725+30,"")</f>
        <v/>
      </c>
      <c r="V725">
        <f>IF(AND(C725="CxP",S725&gt;60),"Alta",IF(AND(C725="CxP",S725&gt;30),"Media",IF(C725="CxP","Baja","")))</f>
        <v/>
      </c>
      <c r="W725">
        <f>IF(AND(C725="CxC",S725&gt;90),"Alta",IF(AND(C725="CxC",S725&gt;60),"Media",IF(C725="CxC","Baja","")))</f>
        <v/>
      </c>
    </row>
    <row r="726">
      <c r="A726" s="19" t="n"/>
      <c r="F726" s="20" t="n"/>
      <c r="Q726" s="10">
        <f>IF(E726="USD",CONFIG!$B$5,1)</f>
        <v/>
      </c>
      <c r="R726">
        <f>IF(AND(A726&lt;&gt;"",ISNUMBER(A726),B726&lt;&gt;"",C726&lt;&gt;"",OR(E726="USD",E726="CRC"),F726&gt;0,ISNUMBER(Q726),Q726&gt;0),"✓ OK","✗ ERROR: Revisa datos")</f>
        <v/>
      </c>
      <c r="S726" s="6">
        <f>IF(A726&lt;&gt;"",TODAY()-A726,"")</f>
        <v/>
      </c>
      <c r="T726" s="4">
        <f>IF(E726="USD",F726,IF(E726="CRC",F726/CONFIG!$B$5,""))</f>
        <v/>
      </c>
      <c r="U726" s="19">
        <f>IF(A726&lt;&gt;"",A726+30,"")</f>
        <v/>
      </c>
      <c r="V726">
        <f>IF(AND(C726="CxP",S726&gt;60),"Alta",IF(AND(C726="CxP",S726&gt;30),"Media",IF(C726="CxP","Baja","")))</f>
        <v/>
      </c>
      <c r="W726">
        <f>IF(AND(C726="CxC",S726&gt;90),"Alta",IF(AND(C726="CxC",S726&gt;60),"Media",IF(C726="CxC","Baja","")))</f>
        <v/>
      </c>
    </row>
    <row r="727">
      <c r="A727" s="19" t="n"/>
      <c r="F727" s="20" t="n"/>
      <c r="Q727" s="10">
        <f>IF(E727="USD",CONFIG!$B$5,1)</f>
        <v/>
      </c>
      <c r="R727">
        <f>IF(AND(A727&lt;&gt;"",ISNUMBER(A727),B727&lt;&gt;"",C727&lt;&gt;"",OR(E727="USD",E727="CRC"),F727&gt;0,ISNUMBER(Q727),Q727&gt;0),"✓ OK","✗ ERROR: Revisa datos")</f>
        <v/>
      </c>
      <c r="S727" s="6">
        <f>IF(A727&lt;&gt;"",TODAY()-A727,"")</f>
        <v/>
      </c>
      <c r="T727" s="4">
        <f>IF(E727="USD",F727,IF(E727="CRC",F727/CONFIG!$B$5,""))</f>
        <v/>
      </c>
      <c r="U727" s="19">
        <f>IF(A727&lt;&gt;"",A727+30,"")</f>
        <v/>
      </c>
      <c r="V727">
        <f>IF(AND(C727="CxP",S727&gt;60),"Alta",IF(AND(C727="CxP",S727&gt;30),"Media",IF(C727="CxP","Baja","")))</f>
        <v/>
      </c>
      <c r="W727">
        <f>IF(AND(C727="CxC",S727&gt;90),"Alta",IF(AND(C727="CxC",S727&gt;60),"Media",IF(C727="CxC","Baja","")))</f>
        <v/>
      </c>
    </row>
    <row r="728">
      <c r="A728" s="19" t="n"/>
      <c r="F728" s="20" t="n"/>
      <c r="Q728" s="10">
        <f>IF(E728="USD",CONFIG!$B$5,1)</f>
        <v/>
      </c>
      <c r="R728">
        <f>IF(AND(A728&lt;&gt;"",ISNUMBER(A728),B728&lt;&gt;"",C728&lt;&gt;"",OR(E728="USD",E728="CRC"),F728&gt;0,ISNUMBER(Q728),Q728&gt;0),"✓ OK","✗ ERROR: Revisa datos")</f>
        <v/>
      </c>
      <c r="S728" s="6">
        <f>IF(A728&lt;&gt;"",TODAY()-A728,"")</f>
        <v/>
      </c>
      <c r="T728" s="4">
        <f>IF(E728="USD",F728,IF(E728="CRC",F728/CONFIG!$B$5,""))</f>
        <v/>
      </c>
      <c r="U728" s="19">
        <f>IF(A728&lt;&gt;"",A728+30,"")</f>
        <v/>
      </c>
      <c r="V728">
        <f>IF(AND(C728="CxP",S728&gt;60),"Alta",IF(AND(C728="CxP",S728&gt;30),"Media",IF(C728="CxP","Baja","")))</f>
        <v/>
      </c>
      <c r="W728">
        <f>IF(AND(C728="CxC",S728&gt;90),"Alta",IF(AND(C728="CxC",S728&gt;60),"Media",IF(C728="CxC","Baja","")))</f>
        <v/>
      </c>
    </row>
    <row r="729">
      <c r="A729" s="19" t="n"/>
      <c r="F729" s="20" t="n"/>
      <c r="Q729" s="10">
        <f>IF(E729="USD",CONFIG!$B$5,1)</f>
        <v/>
      </c>
      <c r="R729">
        <f>IF(AND(A729&lt;&gt;"",ISNUMBER(A729),B729&lt;&gt;"",C729&lt;&gt;"",OR(E729="USD",E729="CRC"),F729&gt;0,ISNUMBER(Q729),Q729&gt;0),"✓ OK","✗ ERROR: Revisa datos")</f>
        <v/>
      </c>
      <c r="S729" s="6">
        <f>IF(A729&lt;&gt;"",TODAY()-A729,"")</f>
        <v/>
      </c>
      <c r="T729" s="4">
        <f>IF(E729="USD",F729,IF(E729="CRC",F729/CONFIG!$B$5,""))</f>
        <v/>
      </c>
      <c r="U729" s="19">
        <f>IF(A729&lt;&gt;"",A729+30,"")</f>
        <v/>
      </c>
      <c r="V729">
        <f>IF(AND(C729="CxP",S729&gt;60),"Alta",IF(AND(C729="CxP",S729&gt;30),"Media",IF(C729="CxP","Baja","")))</f>
        <v/>
      </c>
      <c r="W729">
        <f>IF(AND(C729="CxC",S729&gt;90),"Alta",IF(AND(C729="CxC",S729&gt;60),"Media",IF(C729="CxC","Baja","")))</f>
        <v/>
      </c>
    </row>
    <row r="730">
      <c r="A730" s="19" t="n"/>
      <c r="F730" s="20" t="n"/>
      <c r="Q730" s="10">
        <f>IF(E730="USD",CONFIG!$B$5,1)</f>
        <v/>
      </c>
      <c r="R730">
        <f>IF(AND(A730&lt;&gt;"",ISNUMBER(A730),B730&lt;&gt;"",C730&lt;&gt;"",OR(E730="USD",E730="CRC"),F730&gt;0,ISNUMBER(Q730),Q730&gt;0),"✓ OK","✗ ERROR: Revisa datos")</f>
        <v/>
      </c>
      <c r="S730" s="6">
        <f>IF(A730&lt;&gt;"",TODAY()-A730,"")</f>
        <v/>
      </c>
      <c r="T730" s="4">
        <f>IF(E730="USD",F730,IF(E730="CRC",F730/CONFIG!$B$5,""))</f>
        <v/>
      </c>
      <c r="U730" s="19">
        <f>IF(A730&lt;&gt;"",A730+30,"")</f>
        <v/>
      </c>
      <c r="V730">
        <f>IF(AND(C730="CxP",S730&gt;60),"Alta",IF(AND(C730="CxP",S730&gt;30),"Media",IF(C730="CxP","Baja","")))</f>
        <v/>
      </c>
      <c r="W730">
        <f>IF(AND(C730="CxC",S730&gt;90),"Alta",IF(AND(C730="CxC",S730&gt;60),"Media",IF(C730="CxC","Baja","")))</f>
        <v/>
      </c>
    </row>
    <row r="731">
      <c r="A731" s="19" t="n"/>
      <c r="F731" s="20" t="n"/>
      <c r="Q731" s="10">
        <f>IF(E731="USD",CONFIG!$B$5,1)</f>
        <v/>
      </c>
      <c r="R731">
        <f>IF(AND(A731&lt;&gt;"",ISNUMBER(A731),B731&lt;&gt;"",C731&lt;&gt;"",OR(E731="USD",E731="CRC"),F731&gt;0,ISNUMBER(Q731),Q731&gt;0),"✓ OK","✗ ERROR: Revisa datos")</f>
        <v/>
      </c>
      <c r="S731" s="6">
        <f>IF(A731&lt;&gt;"",TODAY()-A731,"")</f>
        <v/>
      </c>
      <c r="T731" s="4">
        <f>IF(E731="USD",F731,IF(E731="CRC",F731/CONFIG!$B$5,""))</f>
        <v/>
      </c>
      <c r="U731" s="19">
        <f>IF(A731&lt;&gt;"",A731+30,"")</f>
        <v/>
      </c>
      <c r="V731">
        <f>IF(AND(C731="CxP",S731&gt;60),"Alta",IF(AND(C731="CxP",S731&gt;30),"Media",IF(C731="CxP","Baja","")))</f>
        <v/>
      </c>
      <c r="W731">
        <f>IF(AND(C731="CxC",S731&gt;90),"Alta",IF(AND(C731="CxC",S731&gt;60),"Media",IF(C731="CxC","Baja","")))</f>
        <v/>
      </c>
    </row>
    <row r="732">
      <c r="A732" s="19" t="n"/>
      <c r="F732" s="20" t="n"/>
      <c r="Q732" s="10">
        <f>IF(E732="USD",CONFIG!$B$5,1)</f>
        <v/>
      </c>
      <c r="R732">
        <f>IF(AND(A732&lt;&gt;"",ISNUMBER(A732),B732&lt;&gt;"",C732&lt;&gt;"",OR(E732="USD",E732="CRC"),F732&gt;0,ISNUMBER(Q732),Q732&gt;0),"✓ OK","✗ ERROR: Revisa datos")</f>
        <v/>
      </c>
      <c r="S732" s="6">
        <f>IF(A732&lt;&gt;"",TODAY()-A732,"")</f>
        <v/>
      </c>
      <c r="T732" s="4">
        <f>IF(E732="USD",F732,IF(E732="CRC",F732/CONFIG!$B$5,""))</f>
        <v/>
      </c>
      <c r="U732" s="19">
        <f>IF(A732&lt;&gt;"",A732+30,"")</f>
        <v/>
      </c>
      <c r="V732">
        <f>IF(AND(C732="CxP",S732&gt;60),"Alta",IF(AND(C732="CxP",S732&gt;30),"Media",IF(C732="CxP","Baja","")))</f>
        <v/>
      </c>
      <c r="W732">
        <f>IF(AND(C732="CxC",S732&gt;90),"Alta",IF(AND(C732="CxC",S732&gt;60),"Media",IF(C732="CxC","Baja","")))</f>
        <v/>
      </c>
    </row>
    <row r="733">
      <c r="A733" s="19" t="n"/>
      <c r="F733" s="20" t="n"/>
      <c r="Q733" s="10">
        <f>IF(E733="USD",CONFIG!$B$5,1)</f>
        <v/>
      </c>
      <c r="R733">
        <f>IF(AND(A733&lt;&gt;"",ISNUMBER(A733),B733&lt;&gt;"",C733&lt;&gt;"",OR(E733="USD",E733="CRC"),F733&gt;0,ISNUMBER(Q733),Q733&gt;0),"✓ OK","✗ ERROR: Revisa datos")</f>
        <v/>
      </c>
      <c r="S733" s="6">
        <f>IF(A733&lt;&gt;"",TODAY()-A733,"")</f>
        <v/>
      </c>
      <c r="T733" s="4">
        <f>IF(E733="USD",F733,IF(E733="CRC",F733/CONFIG!$B$5,""))</f>
        <v/>
      </c>
      <c r="U733" s="19">
        <f>IF(A733&lt;&gt;"",A733+30,"")</f>
        <v/>
      </c>
      <c r="V733">
        <f>IF(AND(C733="CxP",S733&gt;60),"Alta",IF(AND(C733="CxP",S733&gt;30),"Media",IF(C733="CxP","Baja","")))</f>
        <v/>
      </c>
      <c r="W733">
        <f>IF(AND(C733="CxC",S733&gt;90),"Alta",IF(AND(C733="CxC",S733&gt;60),"Media",IF(C733="CxC","Baja","")))</f>
        <v/>
      </c>
    </row>
    <row r="734">
      <c r="A734" s="19" t="n"/>
      <c r="F734" s="20" t="n"/>
      <c r="Q734" s="10">
        <f>IF(E734="USD",CONFIG!$B$5,1)</f>
        <v/>
      </c>
      <c r="R734">
        <f>IF(AND(A734&lt;&gt;"",ISNUMBER(A734),B734&lt;&gt;"",C734&lt;&gt;"",OR(E734="USD",E734="CRC"),F734&gt;0,ISNUMBER(Q734),Q734&gt;0),"✓ OK","✗ ERROR: Revisa datos")</f>
        <v/>
      </c>
      <c r="S734" s="6">
        <f>IF(A734&lt;&gt;"",TODAY()-A734,"")</f>
        <v/>
      </c>
      <c r="T734" s="4">
        <f>IF(E734="USD",F734,IF(E734="CRC",F734/CONFIG!$B$5,""))</f>
        <v/>
      </c>
      <c r="U734" s="19">
        <f>IF(A734&lt;&gt;"",A734+30,"")</f>
        <v/>
      </c>
      <c r="V734">
        <f>IF(AND(C734="CxP",S734&gt;60),"Alta",IF(AND(C734="CxP",S734&gt;30),"Media",IF(C734="CxP","Baja","")))</f>
        <v/>
      </c>
      <c r="W734">
        <f>IF(AND(C734="CxC",S734&gt;90),"Alta",IF(AND(C734="CxC",S734&gt;60),"Media",IF(C734="CxC","Baja","")))</f>
        <v/>
      </c>
    </row>
    <row r="735">
      <c r="A735" s="19" t="n"/>
      <c r="F735" s="20" t="n"/>
      <c r="Q735" s="10">
        <f>IF(E735="USD",CONFIG!$B$5,1)</f>
        <v/>
      </c>
      <c r="R735">
        <f>IF(AND(A735&lt;&gt;"",ISNUMBER(A735),B735&lt;&gt;"",C735&lt;&gt;"",OR(E735="USD",E735="CRC"),F735&gt;0,ISNUMBER(Q735),Q735&gt;0),"✓ OK","✗ ERROR: Revisa datos")</f>
        <v/>
      </c>
      <c r="S735" s="6">
        <f>IF(A735&lt;&gt;"",TODAY()-A735,"")</f>
        <v/>
      </c>
      <c r="T735" s="4">
        <f>IF(E735="USD",F735,IF(E735="CRC",F735/CONFIG!$B$5,""))</f>
        <v/>
      </c>
      <c r="U735" s="19">
        <f>IF(A735&lt;&gt;"",A735+30,"")</f>
        <v/>
      </c>
      <c r="V735">
        <f>IF(AND(C735="CxP",S735&gt;60),"Alta",IF(AND(C735="CxP",S735&gt;30),"Media",IF(C735="CxP","Baja","")))</f>
        <v/>
      </c>
      <c r="W735">
        <f>IF(AND(C735="CxC",S735&gt;90),"Alta",IF(AND(C735="CxC",S735&gt;60),"Media",IF(C735="CxC","Baja","")))</f>
        <v/>
      </c>
    </row>
    <row r="736">
      <c r="A736" s="19" t="n"/>
      <c r="F736" s="20" t="n"/>
      <c r="Q736" s="10">
        <f>IF(E736="USD",CONFIG!$B$5,1)</f>
        <v/>
      </c>
      <c r="R736">
        <f>IF(AND(A736&lt;&gt;"",ISNUMBER(A736),B736&lt;&gt;"",C736&lt;&gt;"",OR(E736="USD",E736="CRC"),F736&gt;0,ISNUMBER(Q736),Q736&gt;0),"✓ OK","✗ ERROR: Revisa datos")</f>
        <v/>
      </c>
      <c r="S736" s="6">
        <f>IF(A736&lt;&gt;"",TODAY()-A736,"")</f>
        <v/>
      </c>
      <c r="T736" s="4">
        <f>IF(E736="USD",F736,IF(E736="CRC",F736/CONFIG!$B$5,""))</f>
        <v/>
      </c>
      <c r="U736" s="19">
        <f>IF(A736&lt;&gt;"",A736+30,"")</f>
        <v/>
      </c>
      <c r="V736">
        <f>IF(AND(C736="CxP",S736&gt;60),"Alta",IF(AND(C736="CxP",S736&gt;30),"Media",IF(C736="CxP","Baja","")))</f>
        <v/>
      </c>
      <c r="W736">
        <f>IF(AND(C736="CxC",S736&gt;90),"Alta",IF(AND(C736="CxC",S736&gt;60),"Media",IF(C736="CxC","Baja","")))</f>
        <v/>
      </c>
    </row>
    <row r="737">
      <c r="A737" s="19" t="n"/>
      <c r="F737" s="20" t="n"/>
      <c r="Q737" s="10">
        <f>IF(E737="USD",CONFIG!$B$5,1)</f>
        <v/>
      </c>
      <c r="R737">
        <f>IF(AND(A737&lt;&gt;"",ISNUMBER(A737),B737&lt;&gt;"",C737&lt;&gt;"",OR(E737="USD",E737="CRC"),F737&gt;0,ISNUMBER(Q737),Q737&gt;0),"✓ OK","✗ ERROR: Revisa datos")</f>
        <v/>
      </c>
      <c r="S737" s="6">
        <f>IF(A737&lt;&gt;"",TODAY()-A737,"")</f>
        <v/>
      </c>
      <c r="T737" s="4">
        <f>IF(E737="USD",F737,IF(E737="CRC",F737/CONFIG!$B$5,""))</f>
        <v/>
      </c>
      <c r="U737" s="19">
        <f>IF(A737&lt;&gt;"",A737+30,"")</f>
        <v/>
      </c>
      <c r="V737">
        <f>IF(AND(C737="CxP",S737&gt;60),"Alta",IF(AND(C737="CxP",S737&gt;30),"Media",IF(C737="CxP","Baja","")))</f>
        <v/>
      </c>
      <c r="W737">
        <f>IF(AND(C737="CxC",S737&gt;90),"Alta",IF(AND(C737="CxC",S737&gt;60),"Media",IF(C737="CxC","Baja","")))</f>
        <v/>
      </c>
    </row>
    <row r="738">
      <c r="A738" s="19" t="n"/>
      <c r="F738" s="20" t="n"/>
      <c r="Q738" s="10">
        <f>IF(E738="USD",CONFIG!$B$5,1)</f>
        <v/>
      </c>
      <c r="R738">
        <f>IF(AND(A738&lt;&gt;"",ISNUMBER(A738),B738&lt;&gt;"",C738&lt;&gt;"",OR(E738="USD",E738="CRC"),F738&gt;0,ISNUMBER(Q738),Q738&gt;0),"✓ OK","✗ ERROR: Revisa datos")</f>
        <v/>
      </c>
      <c r="S738" s="6">
        <f>IF(A738&lt;&gt;"",TODAY()-A738,"")</f>
        <v/>
      </c>
      <c r="T738" s="4">
        <f>IF(E738="USD",F738,IF(E738="CRC",F738/CONFIG!$B$5,""))</f>
        <v/>
      </c>
      <c r="U738" s="19">
        <f>IF(A738&lt;&gt;"",A738+30,"")</f>
        <v/>
      </c>
      <c r="V738">
        <f>IF(AND(C738="CxP",S738&gt;60),"Alta",IF(AND(C738="CxP",S738&gt;30),"Media",IF(C738="CxP","Baja","")))</f>
        <v/>
      </c>
      <c r="W738">
        <f>IF(AND(C738="CxC",S738&gt;90),"Alta",IF(AND(C738="CxC",S738&gt;60),"Media",IF(C738="CxC","Baja","")))</f>
        <v/>
      </c>
    </row>
    <row r="739">
      <c r="A739" s="19" t="n"/>
      <c r="F739" s="20" t="n"/>
      <c r="Q739" s="10">
        <f>IF(E739="USD",CONFIG!$B$5,1)</f>
        <v/>
      </c>
      <c r="R739">
        <f>IF(AND(A739&lt;&gt;"",ISNUMBER(A739),B739&lt;&gt;"",C739&lt;&gt;"",OR(E739="USD",E739="CRC"),F739&gt;0,ISNUMBER(Q739),Q739&gt;0),"✓ OK","✗ ERROR: Revisa datos")</f>
        <v/>
      </c>
      <c r="S739" s="6">
        <f>IF(A739&lt;&gt;"",TODAY()-A739,"")</f>
        <v/>
      </c>
      <c r="T739" s="4">
        <f>IF(E739="USD",F739,IF(E739="CRC",F739/CONFIG!$B$5,""))</f>
        <v/>
      </c>
      <c r="U739" s="19">
        <f>IF(A739&lt;&gt;"",A739+30,"")</f>
        <v/>
      </c>
      <c r="V739">
        <f>IF(AND(C739="CxP",S739&gt;60),"Alta",IF(AND(C739="CxP",S739&gt;30),"Media",IF(C739="CxP","Baja","")))</f>
        <v/>
      </c>
      <c r="W739">
        <f>IF(AND(C739="CxC",S739&gt;90),"Alta",IF(AND(C739="CxC",S739&gt;60),"Media",IF(C739="CxC","Baja","")))</f>
        <v/>
      </c>
    </row>
    <row r="740">
      <c r="A740" s="19" t="n"/>
      <c r="F740" s="20" t="n"/>
      <c r="Q740" s="10">
        <f>IF(E740="USD",CONFIG!$B$5,1)</f>
        <v/>
      </c>
      <c r="R740">
        <f>IF(AND(A740&lt;&gt;"",ISNUMBER(A740),B740&lt;&gt;"",C740&lt;&gt;"",OR(E740="USD",E740="CRC"),F740&gt;0,ISNUMBER(Q740),Q740&gt;0),"✓ OK","✗ ERROR: Revisa datos")</f>
        <v/>
      </c>
      <c r="S740" s="6">
        <f>IF(A740&lt;&gt;"",TODAY()-A740,"")</f>
        <v/>
      </c>
      <c r="T740" s="4">
        <f>IF(E740="USD",F740,IF(E740="CRC",F740/CONFIG!$B$5,""))</f>
        <v/>
      </c>
      <c r="U740" s="19">
        <f>IF(A740&lt;&gt;"",A740+30,"")</f>
        <v/>
      </c>
      <c r="V740">
        <f>IF(AND(C740="CxP",S740&gt;60),"Alta",IF(AND(C740="CxP",S740&gt;30),"Media",IF(C740="CxP","Baja","")))</f>
        <v/>
      </c>
      <c r="W740">
        <f>IF(AND(C740="CxC",S740&gt;90),"Alta",IF(AND(C740="CxC",S740&gt;60),"Media",IF(C740="CxC","Baja","")))</f>
        <v/>
      </c>
    </row>
    <row r="741">
      <c r="A741" s="19" t="n"/>
      <c r="F741" s="20" t="n"/>
      <c r="Q741" s="10">
        <f>IF(E741="USD",CONFIG!$B$5,1)</f>
        <v/>
      </c>
      <c r="R741">
        <f>IF(AND(A741&lt;&gt;"",ISNUMBER(A741),B741&lt;&gt;"",C741&lt;&gt;"",OR(E741="USD",E741="CRC"),F741&gt;0,ISNUMBER(Q741),Q741&gt;0),"✓ OK","✗ ERROR: Revisa datos")</f>
        <v/>
      </c>
      <c r="S741" s="6">
        <f>IF(A741&lt;&gt;"",TODAY()-A741,"")</f>
        <v/>
      </c>
      <c r="T741" s="4">
        <f>IF(E741="USD",F741,IF(E741="CRC",F741/CONFIG!$B$5,""))</f>
        <v/>
      </c>
      <c r="U741" s="19">
        <f>IF(A741&lt;&gt;"",A741+30,"")</f>
        <v/>
      </c>
      <c r="V741">
        <f>IF(AND(C741="CxP",S741&gt;60),"Alta",IF(AND(C741="CxP",S741&gt;30),"Media",IF(C741="CxP","Baja","")))</f>
        <v/>
      </c>
      <c r="W741">
        <f>IF(AND(C741="CxC",S741&gt;90),"Alta",IF(AND(C741="CxC",S741&gt;60),"Media",IF(C741="CxC","Baja","")))</f>
        <v/>
      </c>
    </row>
    <row r="742">
      <c r="A742" s="19" t="n"/>
      <c r="F742" s="20" t="n"/>
      <c r="Q742" s="10">
        <f>IF(E742="USD",CONFIG!$B$5,1)</f>
        <v/>
      </c>
      <c r="R742">
        <f>IF(AND(A742&lt;&gt;"",ISNUMBER(A742),B742&lt;&gt;"",C742&lt;&gt;"",OR(E742="USD",E742="CRC"),F742&gt;0,ISNUMBER(Q742),Q742&gt;0),"✓ OK","✗ ERROR: Revisa datos")</f>
        <v/>
      </c>
      <c r="S742" s="6">
        <f>IF(A742&lt;&gt;"",TODAY()-A742,"")</f>
        <v/>
      </c>
      <c r="T742" s="4">
        <f>IF(E742="USD",F742,IF(E742="CRC",F742/CONFIG!$B$5,""))</f>
        <v/>
      </c>
      <c r="U742" s="19">
        <f>IF(A742&lt;&gt;"",A742+30,"")</f>
        <v/>
      </c>
      <c r="V742">
        <f>IF(AND(C742="CxP",S742&gt;60),"Alta",IF(AND(C742="CxP",S742&gt;30),"Media",IF(C742="CxP","Baja","")))</f>
        <v/>
      </c>
      <c r="W742">
        <f>IF(AND(C742="CxC",S742&gt;90),"Alta",IF(AND(C742="CxC",S742&gt;60),"Media",IF(C742="CxC","Baja","")))</f>
        <v/>
      </c>
    </row>
    <row r="743">
      <c r="A743" s="19" t="n"/>
      <c r="F743" s="20" t="n"/>
      <c r="Q743" s="10">
        <f>IF(E743="USD",CONFIG!$B$5,1)</f>
        <v/>
      </c>
      <c r="R743">
        <f>IF(AND(A743&lt;&gt;"",ISNUMBER(A743),B743&lt;&gt;"",C743&lt;&gt;"",OR(E743="USD",E743="CRC"),F743&gt;0,ISNUMBER(Q743),Q743&gt;0),"✓ OK","✗ ERROR: Revisa datos")</f>
        <v/>
      </c>
      <c r="S743" s="6">
        <f>IF(A743&lt;&gt;"",TODAY()-A743,"")</f>
        <v/>
      </c>
      <c r="T743" s="4">
        <f>IF(E743="USD",F743,IF(E743="CRC",F743/CONFIG!$B$5,""))</f>
        <v/>
      </c>
      <c r="U743" s="19">
        <f>IF(A743&lt;&gt;"",A743+30,"")</f>
        <v/>
      </c>
      <c r="V743">
        <f>IF(AND(C743="CxP",S743&gt;60),"Alta",IF(AND(C743="CxP",S743&gt;30),"Media",IF(C743="CxP","Baja","")))</f>
        <v/>
      </c>
      <c r="W743">
        <f>IF(AND(C743="CxC",S743&gt;90),"Alta",IF(AND(C743="CxC",S743&gt;60),"Media",IF(C743="CxC","Baja","")))</f>
        <v/>
      </c>
    </row>
    <row r="744">
      <c r="A744" s="19" t="n"/>
      <c r="F744" s="20" t="n"/>
      <c r="Q744" s="10">
        <f>IF(E744="USD",CONFIG!$B$5,1)</f>
        <v/>
      </c>
      <c r="R744">
        <f>IF(AND(A744&lt;&gt;"",ISNUMBER(A744),B744&lt;&gt;"",C744&lt;&gt;"",OR(E744="USD",E744="CRC"),F744&gt;0,ISNUMBER(Q744),Q744&gt;0),"✓ OK","✗ ERROR: Revisa datos")</f>
        <v/>
      </c>
      <c r="S744" s="6">
        <f>IF(A744&lt;&gt;"",TODAY()-A744,"")</f>
        <v/>
      </c>
      <c r="T744" s="4">
        <f>IF(E744="USD",F744,IF(E744="CRC",F744/CONFIG!$B$5,""))</f>
        <v/>
      </c>
      <c r="U744" s="19">
        <f>IF(A744&lt;&gt;"",A744+30,"")</f>
        <v/>
      </c>
      <c r="V744">
        <f>IF(AND(C744="CxP",S744&gt;60),"Alta",IF(AND(C744="CxP",S744&gt;30),"Media",IF(C744="CxP","Baja","")))</f>
        <v/>
      </c>
      <c r="W744">
        <f>IF(AND(C744="CxC",S744&gt;90),"Alta",IF(AND(C744="CxC",S744&gt;60),"Media",IF(C744="CxC","Baja","")))</f>
        <v/>
      </c>
    </row>
    <row r="745">
      <c r="A745" s="19" t="n"/>
      <c r="F745" s="20" t="n"/>
      <c r="Q745" s="10">
        <f>IF(E745="USD",CONFIG!$B$5,1)</f>
        <v/>
      </c>
      <c r="R745">
        <f>IF(AND(A745&lt;&gt;"",ISNUMBER(A745),B745&lt;&gt;"",C745&lt;&gt;"",OR(E745="USD",E745="CRC"),F745&gt;0,ISNUMBER(Q745),Q745&gt;0),"✓ OK","✗ ERROR: Revisa datos")</f>
        <v/>
      </c>
      <c r="S745" s="6">
        <f>IF(A745&lt;&gt;"",TODAY()-A745,"")</f>
        <v/>
      </c>
      <c r="T745" s="4">
        <f>IF(E745="USD",F745,IF(E745="CRC",F745/CONFIG!$B$5,""))</f>
        <v/>
      </c>
      <c r="U745" s="19">
        <f>IF(A745&lt;&gt;"",A745+30,"")</f>
        <v/>
      </c>
      <c r="V745">
        <f>IF(AND(C745="CxP",S745&gt;60),"Alta",IF(AND(C745="CxP",S745&gt;30),"Media",IF(C745="CxP","Baja","")))</f>
        <v/>
      </c>
      <c r="W745">
        <f>IF(AND(C745="CxC",S745&gt;90),"Alta",IF(AND(C745="CxC",S745&gt;60),"Media",IF(C745="CxC","Baja","")))</f>
        <v/>
      </c>
    </row>
    <row r="746">
      <c r="A746" s="19" t="n"/>
      <c r="F746" s="20" t="n"/>
      <c r="Q746" s="10">
        <f>IF(E746="USD",CONFIG!$B$5,1)</f>
        <v/>
      </c>
      <c r="R746">
        <f>IF(AND(A746&lt;&gt;"",ISNUMBER(A746),B746&lt;&gt;"",C746&lt;&gt;"",OR(E746="USD",E746="CRC"),F746&gt;0,ISNUMBER(Q746),Q746&gt;0),"✓ OK","✗ ERROR: Revisa datos")</f>
        <v/>
      </c>
      <c r="S746" s="6">
        <f>IF(A746&lt;&gt;"",TODAY()-A746,"")</f>
        <v/>
      </c>
      <c r="T746" s="4">
        <f>IF(E746="USD",F746,IF(E746="CRC",F746/CONFIG!$B$5,""))</f>
        <v/>
      </c>
      <c r="U746" s="19">
        <f>IF(A746&lt;&gt;"",A746+30,"")</f>
        <v/>
      </c>
      <c r="V746">
        <f>IF(AND(C746="CxP",S746&gt;60),"Alta",IF(AND(C746="CxP",S746&gt;30),"Media",IF(C746="CxP","Baja","")))</f>
        <v/>
      </c>
      <c r="W746">
        <f>IF(AND(C746="CxC",S746&gt;90),"Alta",IF(AND(C746="CxC",S746&gt;60),"Media",IF(C746="CxC","Baja","")))</f>
        <v/>
      </c>
    </row>
    <row r="747">
      <c r="A747" s="19" t="n"/>
      <c r="F747" s="20" t="n"/>
      <c r="Q747" s="10">
        <f>IF(E747="USD",CONFIG!$B$5,1)</f>
        <v/>
      </c>
      <c r="R747">
        <f>IF(AND(A747&lt;&gt;"",ISNUMBER(A747),B747&lt;&gt;"",C747&lt;&gt;"",OR(E747="USD",E747="CRC"),F747&gt;0,ISNUMBER(Q747),Q747&gt;0),"✓ OK","✗ ERROR: Revisa datos")</f>
        <v/>
      </c>
      <c r="S747" s="6">
        <f>IF(A747&lt;&gt;"",TODAY()-A747,"")</f>
        <v/>
      </c>
      <c r="T747" s="4">
        <f>IF(E747="USD",F747,IF(E747="CRC",F747/CONFIG!$B$5,""))</f>
        <v/>
      </c>
      <c r="U747" s="19">
        <f>IF(A747&lt;&gt;"",A747+30,"")</f>
        <v/>
      </c>
      <c r="V747">
        <f>IF(AND(C747="CxP",S747&gt;60),"Alta",IF(AND(C747="CxP",S747&gt;30),"Media",IF(C747="CxP","Baja","")))</f>
        <v/>
      </c>
      <c r="W747">
        <f>IF(AND(C747="CxC",S747&gt;90),"Alta",IF(AND(C747="CxC",S747&gt;60),"Media",IF(C747="CxC","Baja","")))</f>
        <v/>
      </c>
    </row>
    <row r="748">
      <c r="A748" s="19" t="n"/>
      <c r="F748" s="20" t="n"/>
      <c r="Q748" s="10">
        <f>IF(E748="USD",CONFIG!$B$5,1)</f>
        <v/>
      </c>
      <c r="R748">
        <f>IF(AND(A748&lt;&gt;"",ISNUMBER(A748),B748&lt;&gt;"",C748&lt;&gt;"",OR(E748="USD",E748="CRC"),F748&gt;0,ISNUMBER(Q748),Q748&gt;0),"✓ OK","✗ ERROR: Revisa datos")</f>
        <v/>
      </c>
      <c r="S748" s="6">
        <f>IF(A748&lt;&gt;"",TODAY()-A748,"")</f>
        <v/>
      </c>
      <c r="T748" s="4">
        <f>IF(E748="USD",F748,IF(E748="CRC",F748/CONFIG!$B$5,""))</f>
        <v/>
      </c>
      <c r="U748" s="19">
        <f>IF(A748&lt;&gt;"",A748+30,"")</f>
        <v/>
      </c>
      <c r="V748">
        <f>IF(AND(C748="CxP",S748&gt;60),"Alta",IF(AND(C748="CxP",S748&gt;30),"Media",IF(C748="CxP","Baja","")))</f>
        <v/>
      </c>
      <c r="W748">
        <f>IF(AND(C748="CxC",S748&gt;90),"Alta",IF(AND(C748="CxC",S748&gt;60),"Media",IF(C748="CxC","Baja","")))</f>
        <v/>
      </c>
    </row>
    <row r="749">
      <c r="A749" s="19" t="n"/>
      <c r="F749" s="20" t="n"/>
      <c r="Q749" s="10">
        <f>IF(E749="USD",CONFIG!$B$5,1)</f>
        <v/>
      </c>
      <c r="R749">
        <f>IF(AND(A749&lt;&gt;"",ISNUMBER(A749),B749&lt;&gt;"",C749&lt;&gt;"",OR(E749="USD",E749="CRC"),F749&gt;0,ISNUMBER(Q749),Q749&gt;0),"✓ OK","✗ ERROR: Revisa datos")</f>
        <v/>
      </c>
      <c r="S749" s="6">
        <f>IF(A749&lt;&gt;"",TODAY()-A749,"")</f>
        <v/>
      </c>
      <c r="T749" s="4">
        <f>IF(E749="USD",F749,IF(E749="CRC",F749/CONFIG!$B$5,""))</f>
        <v/>
      </c>
      <c r="U749" s="19">
        <f>IF(A749&lt;&gt;"",A749+30,"")</f>
        <v/>
      </c>
      <c r="V749">
        <f>IF(AND(C749="CxP",S749&gt;60),"Alta",IF(AND(C749="CxP",S749&gt;30),"Media",IF(C749="CxP","Baja","")))</f>
        <v/>
      </c>
      <c r="W749">
        <f>IF(AND(C749="CxC",S749&gt;90),"Alta",IF(AND(C749="CxC",S749&gt;60),"Media",IF(C749="CxC","Baja","")))</f>
        <v/>
      </c>
    </row>
    <row r="750">
      <c r="A750" s="19" t="n"/>
      <c r="F750" s="20" t="n"/>
      <c r="Q750" s="10">
        <f>IF(E750="USD",CONFIG!$B$5,1)</f>
        <v/>
      </c>
      <c r="R750">
        <f>IF(AND(A750&lt;&gt;"",ISNUMBER(A750),B750&lt;&gt;"",C750&lt;&gt;"",OR(E750="USD",E750="CRC"),F750&gt;0,ISNUMBER(Q750),Q750&gt;0),"✓ OK","✗ ERROR: Revisa datos")</f>
        <v/>
      </c>
      <c r="S750" s="6">
        <f>IF(A750&lt;&gt;"",TODAY()-A750,"")</f>
        <v/>
      </c>
      <c r="T750" s="4">
        <f>IF(E750="USD",F750,IF(E750="CRC",F750/CONFIG!$B$5,""))</f>
        <v/>
      </c>
      <c r="U750" s="19">
        <f>IF(A750&lt;&gt;"",A750+30,"")</f>
        <v/>
      </c>
      <c r="V750">
        <f>IF(AND(C750="CxP",S750&gt;60),"Alta",IF(AND(C750="CxP",S750&gt;30),"Media",IF(C750="CxP","Baja","")))</f>
        <v/>
      </c>
      <c r="W750">
        <f>IF(AND(C750="CxC",S750&gt;90),"Alta",IF(AND(C750="CxC",S750&gt;60),"Media",IF(C750="CxC","Baja","")))</f>
        <v/>
      </c>
    </row>
    <row r="751">
      <c r="A751" s="19" t="n"/>
      <c r="F751" s="20" t="n"/>
      <c r="Q751" s="10">
        <f>IF(E751="USD",CONFIG!$B$5,1)</f>
        <v/>
      </c>
      <c r="R751">
        <f>IF(AND(A751&lt;&gt;"",ISNUMBER(A751),B751&lt;&gt;"",C751&lt;&gt;"",OR(E751="USD",E751="CRC"),F751&gt;0,ISNUMBER(Q751),Q751&gt;0),"✓ OK","✗ ERROR: Revisa datos")</f>
        <v/>
      </c>
      <c r="S751" s="6">
        <f>IF(A751&lt;&gt;"",TODAY()-A751,"")</f>
        <v/>
      </c>
      <c r="T751" s="4">
        <f>IF(E751="USD",F751,IF(E751="CRC",F751/CONFIG!$B$5,""))</f>
        <v/>
      </c>
      <c r="U751" s="19">
        <f>IF(A751&lt;&gt;"",A751+30,"")</f>
        <v/>
      </c>
      <c r="V751">
        <f>IF(AND(C751="CxP",S751&gt;60),"Alta",IF(AND(C751="CxP",S751&gt;30),"Media",IF(C751="CxP","Baja","")))</f>
        <v/>
      </c>
      <c r="W751">
        <f>IF(AND(C751="CxC",S751&gt;90),"Alta",IF(AND(C751="CxC",S751&gt;60),"Media",IF(C751="CxC","Baja","")))</f>
        <v/>
      </c>
    </row>
    <row r="752">
      <c r="A752" s="19" t="n"/>
      <c r="F752" s="20" t="n"/>
      <c r="Q752" s="10">
        <f>IF(E752="USD",CONFIG!$B$5,1)</f>
        <v/>
      </c>
      <c r="R752">
        <f>IF(AND(A752&lt;&gt;"",ISNUMBER(A752),B752&lt;&gt;"",C752&lt;&gt;"",OR(E752="USD",E752="CRC"),F752&gt;0,ISNUMBER(Q752),Q752&gt;0),"✓ OK","✗ ERROR: Revisa datos")</f>
        <v/>
      </c>
      <c r="S752" s="6">
        <f>IF(A752&lt;&gt;"",TODAY()-A752,"")</f>
        <v/>
      </c>
      <c r="T752" s="4">
        <f>IF(E752="USD",F752,IF(E752="CRC",F752/CONFIG!$B$5,""))</f>
        <v/>
      </c>
      <c r="U752" s="19">
        <f>IF(A752&lt;&gt;"",A752+30,"")</f>
        <v/>
      </c>
      <c r="V752">
        <f>IF(AND(C752="CxP",S752&gt;60),"Alta",IF(AND(C752="CxP",S752&gt;30),"Media",IF(C752="CxP","Baja","")))</f>
        <v/>
      </c>
      <c r="W752">
        <f>IF(AND(C752="CxC",S752&gt;90),"Alta",IF(AND(C752="CxC",S752&gt;60),"Media",IF(C752="CxC","Baja","")))</f>
        <v/>
      </c>
    </row>
    <row r="753">
      <c r="A753" s="19" t="n"/>
      <c r="F753" s="20" t="n"/>
      <c r="Q753" s="10">
        <f>IF(E753="USD",CONFIG!$B$5,1)</f>
        <v/>
      </c>
      <c r="R753">
        <f>IF(AND(A753&lt;&gt;"",ISNUMBER(A753),B753&lt;&gt;"",C753&lt;&gt;"",OR(E753="USD",E753="CRC"),F753&gt;0,ISNUMBER(Q753),Q753&gt;0),"✓ OK","✗ ERROR: Revisa datos")</f>
        <v/>
      </c>
      <c r="S753" s="6">
        <f>IF(A753&lt;&gt;"",TODAY()-A753,"")</f>
        <v/>
      </c>
      <c r="T753" s="4">
        <f>IF(E753="USD",F753,IF(E753="CRC",F753/CONFIG!$B$5,""))</f>
        <v/>
      </c>
      <c r="U753" s="19">
        <f>IF(A753&lt;&gt;"",A753+30,"")</f>
        <v/>
      </c>
      <c r="V753">
        <f>IF(AND(C753="CxP",S753&gt;60),"Alta",IF(AND(C753="CxP",S753&gt;30),"Media",IF(C753="CxP","Baja","")))</f>
        <v/>
      </c>
      <c r="W753">
        <f>IF(AND(C753="CxC",S753&gt;90),"Alta",IF(AND(C753="CxC",S753&gt;60),"Media",IF(C753="CxC","Baja","")))</f>
        <v/>
      </c>
    </row>
    <row r="754">
      <c r="A754" s="19" t="n"/>
      <c r="F754" s="20" t="n"/>
      <c r="Q754" s="10">
        <f>IF(E754="USD",CONFIG!$B$5,1)</f>
        <v/>
      </c>
      <c r="R754">
        <f>IF(AND(A754&lt;&gt;"",ISNUMBER(A754),B754&lt;&gt;"",C754&lt;&gt;"",OR(E754="USD",E754="CRC"),F754&gt;0,ISNUMBER(Q754),Q754&gt;0),"✓ OK","✗ ERROR: Revisa datos")</f>
        <v/>
      </c>
      <c r="S754" s="6">
        <f>IF(A754&lt;&gt;"",TODAY()-A754,"")</f>
        <v/>
      </c>
      <c r="T754" s="4">
        <f>IF(E754="USD",F754,IF(E754="CRC",F754/CONFIG!$B$5,""))</f>
        <v/>
      </c>
      <c r="U754" s="19">
        <f>IF(A754&lt;&gt;"",A754+30,"")</f>
        <v/>
      </c>
      <c r="V754">
        <f>IF(AND(C754="CxP",S754&gt;60),"Alta",IF(AND(C754="CxP",S754&gt;30),"Media",IF(C754="CxP","Baja","")))</f>
        <v/>
      </c>
      <c r="W754">
        <f>IF(AND(C754="CxC",S754&gt;90),"Alta",IF(AND(C754="CxC",S754&gt;60),"Media",IF(C754="CxC","Baja","")))</f>
        <v/>
      </c>
    </row>
    <row r="755">
      <c r="A755" s="19" t="n"/>
      <c r="F755" s="20" t="n"/>
      <c r="Q755" s="10">
        <f>IF(E755="USD",CONFIG!$B$5,1)</f>
        <v/>
      </c>
      <c r="R755">
        <f>IF(AND(A755&lt;&gt;"",ISNUMBER(A755),B755&lt;&gt;"",C755&lt;&gt;"",OR(E755="USD",E755="CRC"),F755&gt;0,ISNUMBER(Q755),Q755&gt;0),"✓ OK","✗ ERROR: Revisa datos")</f>
        <v/>
      </c>
      <c r="S755" s="6">
        <f>IF(A755&lt;&gt;"",TODAY()-A755,"")</f>
        <v/>
      </c>
      <c r="T755" s="4">
        <f>IF(E755="USD",F755,IF(E755="CRC",F755/CONFIG!$B$5,""))</f>
        <v/>
      </c>
      <c r="U755" s="19">
        <f>IF(A755&lt;&gt;"",A755+30,"")</f>
        <v/>
      </c>
      <c r="V755">
        <f>IF(AND(C755="CxP",S755&gt;60),"Alta",IF(AND(C755="CxP",S755&gt;30),"Media",IF(C755="CxP","Baja","")))</f>
        <v/>
      </c>
      <c r="W755">
        <f>IF(AND(C755="CxC",S755&gt;90),"Alta",IF(AND(C755="CxC",S755&gt;60),"Media",IF(C755="CxC","Baja","")))</f>
        <v/>
      </c>
    </row>
    <row r="756">
      <c r="A756" s="19" t="n"/>
      <c r="F756" s="20" t="n"/>
      <c r="Q756" s="10">
        <f>IF(E756="USD",CONFIG!$B$5,1)</f>
        <v/>
      </c>
      <c r="R756">
        <f>IF(AND(A756&lt;&gt;"",ISNUMBER(A756),B756&lt;&gt;"",C756&lt;&gt;"",OR(E756="USD",E756="CRC"),F756&gt;0,ISNUMBER(Q756),Q756&gt;0),"✓ OK","✗ ERROR: Revisa datos")</f>
        <v/>
      </c>
      <c r="S756" s="6">
        <f>IF(A756&lt;&gt;"",TODAY()-A756,"")</f>
        <v/>
      </c>
      <c r="T756" s="4">
        <f>IF(E756="USD",F756,IF(E756="CRC",F756/CONFIG!$B$5,""))</f>
        <v/>
      </c>
      <c r="U756" s="19">
        <f>IF(A756&lt;&gt;"",A756+30,"")</f>
        <v/>
      </c>
      <c r="V756">
        <f>IF(AND(C756="CxP",S756&gt;60),"Alta",IF(AND(C756="CxP",S756&gt;30),"Media",IF(C756="CxP","Baja","")))</f>
        <v/>
      </c>
      <c r="W756">
        <f>IF(AND(C756="CxC",S756&gt;90),"Alta",IF(AND(C756="CxC",S756&gt;60),"Media",IF(C756="CxC","Baja","")))</f>
        <v/>
      </c>
    </row>
    <row r="757">
      <c r="A757" s="19" t="n"/>
      <c r="F757" s="20" t="n"/>
      <c r="Q757" s="10">
        <f>IF(E757="USD",CONFIG!$B$5,1)</f>
        <v/>
      </c>
      <c r="R757">
        <f>IF(AND(A757&lt;&gt;"",ISNUMBER(A757),B757&lt;&gt;"",C757&lt;&gt;"",OR(E757="USD",E757="CRC"),F757&gt;0,ISNUMBER(Q757),Q757&gt;0),"✓ OK","✗ ERROR: Revisa datos")</f>
        <v/>
      </c>
      <c r="S757" s="6">
        <f>IF(A757&lt;&gt;"",TODAY()-A757,"")</f>
        <v/>
      </c>
      <c r="T757" s="4">
        <f>IF(E757="USD",F757,IF(E757="CRC",F757/CONFIG!$B$5,""))</f>
        <v/>
      </c>
      <c r="U757" s="19">
        <f>IF(A757&lt;&gt;"",A757+30,"")</f>
        <v/>
      </c>
      <c r="V757">
        <f>IF(AND(C757="CxP",S757&gt;60),"Alta",IF(AND(C757="CxP",S757&gt;30),"Media",IF(C757="CxP","Baja","")))</f>
        <v/>
      </c>
      <c r="W757">
        <f>IF(AND(C757="CxC",S757&gt;90),"Alta",IF(AND(C757="CxC",S757&gt;60),"Media",IF(C757="CxC","Baja","")))</f>
        <v/>
      </c>
    </row>
    <row r="758">
      <c r="A758" s="19" t="n"/>
      <c r="F758" s="20" t="n"/>
      <c r="Q758" s="10">
        <f>IF(E758="USD",CONFIG!$B$5,1)</f>
        <v/>
      </c>
      <c r="R758">
        <f>IF(AND(A758&lt;&gt;"",ISNUMBER(A758),B758&lt;&gt;"",C758&lt;&gt;"",OR(E758="USD",E758="CRC"),F758&gt;0,ISNUMBER(Q758),Q758&gt;0),"✓ OK","✗ ERROR: Revisa datos")</f>
        <v/>
      </c>
      <c r="S758" s="6">
        <f>IF(A758&lt;&gt;"",TODAY()-A758,"")</f>
        <v/>
      </c>
      <c r="T758" s="4">
        <f>IF(E758="USD",F758,IF(E758="CRC",F758/CONFIG!$B$5,""))</f>
        <v/>
      </c>
      <c r="U758" s="19">
        <f>IF(A758&lt;&gt;"",A758+30,"")</f>
        <v/>
      </c>
      <c r="V758">
        <f>IF(AND(C758="CxP",S758&gt;60),"Alta",IF(AND(C758="CxP",S758&gt;30),"Media",IF(C758="CxP","Baja","")))</f>
        <v/>
      </c>
      <c r="W758">
        <f>IF(AND(C758="CxC",S758&gt;90),"Alta",IF(AND(C758="CxC",S758&gt;60),"Media",IF(C758="CxC","Baja","")))</f>
        <v/>
      </c>
    </row>
    <row r="759">
      <c r="A759" s="19" t="n"/>
      <c r="F759" s="20" t="n"/>
      <c r="Q759" s="10">
        <f>IF(E759="USD",CONFIG!$B$5,1)</f>
        <v/>
      </c>
      <c r="R759">
        <f>IF(AND(A759&lt;&gt;"",ISNUMBER(A759),B759&lt;&gt;"",C759&lt;&gt;"",OR(E759="USD",E759="CRC"),F759&gt;0,ISNUMBER(Q759),Q759&gt;0),"✓ OK","✗ ERROR: Revisa datos")</f>
        <v/>
      </c>
      <c r="S759" s="6">
        <f>IF(A759&lt;&gt;"",TODAY()-A759,"")</f>
        <v/>
      </c>
      <c r="T759" s="4">
        <f>IF(E759="USD",F759,IF(E759="CRC",F759/CONFIG!$B$5,""))</f>
        <v/>
      </c>
      <c r="U759" s="19">
        <f>IF(A759&lt;&gt;"",A759+30,"")</f>
        <v/>
      </c>
      <c r="V759">
        <f>IF(AND(C759="CxP",S759&gt;60),"Alta",IF(AND(C759="CxP",S759&gt;30),"Media",IF(C759="CxP","Baja","")))</f>
        <v/>
      </c>
      <c r="W759">
        <f>IF(AND(C759="CxC",S759&gt;90),"Alta",IF(AND(C759="CxC",S759&gt;60),"Media",IF(C759="CxC","Baja","")))</f>
        <v/>
      </c>
    </row>
    <row r="760">
      <c r="A760" s="19" t="n"/>
      <c r="F760" s="20" t="n"/>
      <c r="Q760" s="10">
        <f>IF(E760="USD",CONFIG!$B$5,1)</f>
        <v/>
      </c>
      <c r="R760">
        <f>IF(AND(A760&lt;&gt;"",ISNUMBER(A760),B760&lt;&gt;"",C760&lt;&gt;"",OR(E760="USD",E760="CRC"),F760&gt;0,ISNUMBER(Q760),Q760&gt;0),"✓ OK","✗ ERROR: Revisa datos")</f>
        <v/>
      </c>
      <c r="S760" s="6">
        <f>IF(A760&lt;&gt;"",TODAY()-A760,"")</f>
        <v/>
      </c>
      <c r="T760" s="4">
        <f>IF(E760="USD",F760,IF(E760="CRC",F760/CONFIG!$B$5,""))</f>
        <v/>
      </c>
      <c r="U760" s="19">
        <f>IF(A760&lt;&gt;"",A760+30,"")</f>
        <v/>
      </c>
      <c r="V760">
        <f>IF(AND(C760="CxP",S760&gt;60),"Alta",IF(AND(C760="CxP",S760&gt;30),"Media",IF(C760="CxP","Baja","")))</f>
        <v/>
      </c>
      <c r="W760">
        <f>IF(AND(C760="CxC",S760&gt;90),"Alta",IF(AND(C760="CxC",S760&gt;60),"Media",IF(C760="CxC","Baja","")))</f>
        <v/>
      </c>
    </row>
    <row r="761">
      <c r="A761" s="19" t="n"/>
      <c r="F761" s="20" t="n"/>
      <c r="Q761" s="10">
        <f>IF(E761="USD",CONFIG!$B$5,1)</f>
        <v/>
      </c>
      <c r="R761">
        <f>IF(AND(A761&lt;&gt;"",ISNUMBER(A761),B761&lt;&gt;"",C761&lt;&gt;"",OR(E761="USD",E761="CRC"),F761&gt;0,ISNUMBER(Q761),Q761&gt;0),"✓ OK","✗ ERROR: Revisa datos")</f>
        <v/>
      </c>
      <c r="S761" s="6">
        <f>IF(A761&lt;&gt;"",TODAY()-A761,"")</f>
        <v/>
      </c>
      <c r="T761" s="4">
        <f>IF(E761="USD",F761,IF(E761="CRC",F761/CONFIG!$B$5,""))</f>
        <v/>
      </c>
      <c r="U761" s="19">
        <f>IF(A761&lt;&gt;"",A761+30,"")</f>
        <v/>
      </c>
      <c r="V761">
        <f>IF(AND(C761="CxP",S761&gt;60),"Alta",IF(AND(C761="CxP",S761&gt;30),"Media",IF(C761="CxP","Baja","")))</f>
        <v/>
      </c>
      <c r="W761">
        <f>IF(AND(C761="CxC",S761&gt;90),"Alta",IF(AND(C761="CxC",S761&gt;60),"Media",IF(C761="CxC","Baja","")))</f>
        <v/>
      </c>
    </row>
    <row r="762">
      <c r="A762" s="19" t="n"/>
      <c r="F762" s="20" t="n"/>
      <c r="Q762" s="10">
        <f>IF(E762="USD",CONFIG!$B$5,1)</f>
        <v/>
      </c>
      <c r="R762">
        <f>IF(AND(A762&lt;&gt;"",ISNUMBER(A762),B762&lt;&gt;"",C762&lt;&gt;"",OR(E762="USD",E762="CRC"),F762&gt;0,ISNUMBER(Q762),Q762&gt;0),"✓ OK","✗ ERROR: Revisa datos")</f>
        <v/>
      </c>
      <c r="S762" s="6">
        <f>IF(A762&lt;&gt;"",TODAY()-A762,"")</f>
        <v/>
      </c>
      <c r="T762" s="4">
        <f>IF(E762="USD",F762,IF(E762="CRC",F762/CONFIG!$B$5,""))</f>
        <v/>
      </c>
      <c r="U762" s="19">
        <f>IF(A762&lt;&gt;"",A762+30,"")</f>
        <v/>
      </c>
      <c r="V762">
        <f>IF(AND(C762="CxP",S762&gt;60),"Alta",IF(AND(C762="CxP",S762&gt;30),"Media",IF(C762="CxP","Baja","")))</f>
        <v/>
      </c>
      <c r="W762">
        <f>IF(AND(C762="CxC",S762&gt;90),"Alta",IF(AND(C762="CxC",S762&gt;60),"Media",IF(C762="CxC","Baja","")))</f>
        <v/>
      </c>
    </row>
    <row r="763">
      <c r="A763" s="19" t="n"/>
      <c r="F763" s="20" t="n"/>
      <c r="Q763" s="10">
        <f>IF(E763="USD",CONFIG!$B$5,1)</f>
        <v/>
      </c>
      <c r="R763">
        <f>IF(AND(A763&lt;&gt;"",ISNUMBER(A763),B763&lt;&gt;"",C763&lt;&gt;"",OR(E763="USD",E763="CRC"),F763&gt;0,ISNUMBER(Q763),Q763&gt;0),"✓ OK","✗ ERROR: Revisa datos")</f>
        <v/>
      </c>
      <c r="S763" s="6">
        <f>IF(A763&lt;&gt;"",TODAY()-A763,"")</f>
        <v/>
      </c>
      <c r="T763" s="4">
        <f>IF(E763="USD",F763,IF(E763="CRC",F763/CONFIG!$B$5,""))</f>
        <v/>
      </c>
      <c r="U763" s="19">
        <f>IF(A763&lt;&gt;"",A763+30,"")</f>
        <v/>
      </c>
      <c r="V763">
        <f>IF(AND(C763="CxP",S763&gt;60),"Alta",IF(AND(C763="CxP",S763&gt;30),"Media",IF(C763="CxP","Baja","")))</f>
        <v/>
      </c>
      <c r="W763">
        <f>IF(AND(C763="CxC",S763&gt;90),"Alta",IF(AND(C763="CxC",S763&gt;60),"Media",IF(C763="CxC","Baja","")))</f>
        <v/>
      </c>
    </row>
    <row r="764">
      <c r="A764" s="19" t="n"/>
      <c r="F764" s="20" t="n"/>
      <c r="Q764" s="10">
        <f>IF(E764="USD",CONFIG!$B$5,1)</f>
        <v/>
      </c>
      <c r="R764">
        <f>IF(AND(A764&lt;&gt;"",ISNUMBER(A764),B764&lt;&gt;"",C764&lt;&gt;"",OR(E764="USD",E764="CRC"),F764&gt;0,ISNUMBER(Q764),Q764&gt;0),"✓ OK","✗ ERROR: Revisa datos")</f>
        <v/>
      </c>
      <c r="S764" s="6">
        <f>IF(A764&lt;&gt;"",TODAY()-A764,"")</f>
        <v/>
      </c>
      <c r="T764" s="4">
        <f>IF(E764="USD",F764,IF(E764="CRC",F764/CONFIG!$B$5,""))</f>
        <v/>
      </c>
      <c r="U764" s="19">
        <f>IF(A764&lt;&gt;"",A764+30,"")</f>
        <v/>
      </c>
      <c r="V764">
        <f>IF(AND(C764="CxP",S764&gt;60),"Alta",IF(AND(C764="CxP",S764&gt;30),"Media",IF(C764="CxP","Baja","")))</f>
        <v/>
      </c>
      <c r="W764">
        <f>IF(AND(C764="CxC",S764&gt;90),"Alta",IF(AND(C764="CxC",S764&gt;60),"Media",IF(C764="CxC","Baja","")))</f>
        <v/>
      </c>
    </row>
    <row r="765">
      <c r="A765" s="19" t="n"/>
      <c r="F765" s="20" t="n"/>
      <c r="Q765" s="10">
        <f>IF(E765="USD",CONFIG!$B$5,1)</f>
        <v/>
      </c>
      <c r="R765">
        <f>IF(AND(A765&lt;&gt;"",ISNUMBER(A765),B765&lt;&gt;"",C765&lt;&gt;"",OR(E765="USD",E765="CRC"),F765&gt;0,ISNUMBER(Q765),Q765&gt;0),"✓ OK","✗ ERROR: Revisa datos")</f>
        <v/>
      </c>
      <c r="S765" s="6">
        <f>IF(A765&lt;&gt;"",TODAY()-A765,"")</f>
        <v/>
      </c>
      <c r="T765" s="4">
        <f>IF(E765="USD",F765,IF(E765="CRC",F765/CONFIG!$B$5,""))</f>
        <v/>
      </c>
      <c r="U765" s="19">
        <f>IF(A765&lt;&gt;"",A765+30,"")</f>
        <v/>
      </c>
      <c r="V765">
        <f>IF(AND(C765="CxP",S765&gt;60),"Alta",IF(AND(C765="CxP",S765&gt;30),"Media",IF(C765="CxP","Baja","")))</f>
        <v/>
      </c>
      <c r="W765">
        <f>IF(AND(C765="CxC",S765&gt;90),"Alta",IF(AND(C765="CxC",S765&gt;60),"Media",IF(C765="CxC","Baja","")))</f>
        <v/>
      </c>
    </row>
    <row r="766">
      <c r="A766" s="19" t="n"/>
      <c r="F766" s="20" t="n"/>
      <c r="Q766" s="10">
        <f>IF(E766="USD",CONFIG!$B$5,1)</f>
        <v/>
      </c>
      <c r="R766">
        <f>IF(AND(A766&lt;&gt;"",ISNUMBER(A766),B766&lt;&gt;"",C766&lt;&gt;"",OR(E766="USD",E766="CRC"),F766&gt;0,ISNUMBER(Q766),Q766&gt;0),"✓ OK","✗ ERROR: Revisa datos")</f>
        <v/>
      </c>
      <c r="S766" s="6">
        <f>IF(A766&lt;&gt;"",TODAY()-A766,"")</f>
        <v/>
      </c>
      <c r="T766" s="4">
        <f>IF(E766="USD",F766,IF(E766="CRC",F766/CONFIG!$B$5,""))</f>
        <v/>
      </c>
      <c r="U766" s="19">
        <f>IF(A766&lt;&gt;"",A766+30,"")</f>
        <v/>
      </c>
      <c r="V766">
        <f>IF(AND(C766="CxP",S766&gt;60),"Alta",IF(AND(C766="CxP",S766&gt;30),"Media",IF(C766="CxP","Baja","")))</f>
        <v/>
      </c>
      <c r="W766">
        <f>IF(AND(C766="CxC",S766&gt;90),"Alta",IF(AND(C766="CxC",S766&gt;60),"Media",IF(C766="CxC","Baja","")))</f>
        <v/>
      </c>
    </row>
    <row r="767">
      <c r="A767" s="19" t="n"/>
      <c r="F767" s="20" t="n"/>
      <c r="Q767" s="10">
        <f>IF(E767="USD",CONFIG!$B$5,1)</f>
        <v/>
      </c>
      <c r="R767">
        <f>IF(AND(A767&lt;&gt;"",ISNUMBER(A767),B767&lt;&gt;"",C767&lt;&gt;"",OR(E767="USD",E767="CRC"),F767&gt;0,ISNUMBER(Q767),Q767&gt;0),"✓ OK","✗ ERROR: Revisa datos")</f>
        <v/>
      </c>
      <c r="S767" s="6">
        <f>IF(A767&lt;&gt;"",TODAY()-A767,"")</f>
        <v/>
      </c>
      <c r="T767" s="4">
        <f>IF(E767="USD",F767,IF(E767="CRC",F767/CONFIG!$B$5,""))</f>
        <v/>
      </c>
      <c r="U767" s="19">
        <f>IF(A767&lt;&gt;"",A767+30,"")</f>
        <v/>
      </c>
      <c r="V767">
        <f>IF(AND(C767="CxP",S767&gt;60),"Alta",IF(AND(C767="CxP",S767&gt;30),"Media",IF(C767="CxP","Baja","")))</f>
        <v/>
      </c>
      <c r="W767">
        <f>IF(AND(C767="CxC",S767&gt;90),"Alta",IF(AND(C767="CxC",S767&gt;60),"Media",IF(C767="CxC","Baja","")))</f>
        <v/>
      </c>
    </row>
    <row r="768">
      <c r="A768" s="19" t="n"/>
      <c r="F768" s="20" t="n"/>
      <c r="Q768" s="10">
        <f>IF(E768="USD",CONFIG!$B$5,1)</f>
        <v/>
      </c>
      <c r="R768">
        <f>IF(AND(A768&lt;&gt;"",ISNUMBER(A768),B768&lt;&gt;"",C768&lt;&gt;"",OR(E768="USD",E768="CRC"),F768&gt;0,ISNUMBER(Q768),Q768&gt;0),"✓ OK","✗ ERROR: Revisa datos")</f>
        <v/>
      </c>
      <c r="S768" s="6">
        <f>IF(A768&lt;&gt;"",TODAY()-A768,"")</f>
        <v/>
      </c>
      <c r="T768" s="4">
        <f>IF(E768="USD",F768,IF(E768="CRC",F768/CONFIG!$B$5,""))</f>
        <v/>
      </c>
      <c r="U768" s="19">
        <f>IF(A768&lt;&gt;"",A768+30,"")</f>
        <v/>
      </c>
      <c r="V768">
        <f>IF(AND(C768="CxP",S768&gt;60),"Alta",IF(AND(C768="CxP",S768&gt;30),"Media",IF(C768="CxP","Baja","")))</f>
        <v/>
      </c>
      <c r="W768">
        <f>IF(AND(C768="CxC",S768&gt;90),"Alta",IF(AND(C768="CxC",S768&gt;60),"Media",IF(C768="CxC","Baja","")))</f>
        <v/>
      </c>
    </row>
    <row r="769">
      <c r="A769" s="19" t="n"/>
      <c r="F769" s="20" t="n"/>
      <c r="Q769" s="10">
        <f>IF(E769="USD",CONFIG!$B$5,1)</f>
        <v/>
      </c>
      <c r="R769">
        <f>IF(AND(A769&lt;&gt;"",ISNUMBER(A769),B769&lt;&gt;"",C769&lt;&gt;"",OR(E769="USD",E769="CRC"),F769&gt;0,ISNUMBER(Q769),Q769&gt;0),"✓ OK","✗ ERROR: Revisa datos")</f>
        <v/>
      </c>
      <c r="S769" s="6">
        <f>IF(A769&lt;&gt;"",TODAY()-A769,"")</f>
        <v/>
      </c>
      <c r="T769" s="4">
        <f>IF(E769="USD",F769,IF(E769="CRC",F769/CONFIG!$B$5,""))</f>
        <v/>
      </c>
      <c r="U769" s="19">
        <f>IF(A769&lt;&gt;"",A769+30,"")</f>
        <v/>
      </c>
      <c r="V769">
        <f>IF(AND(C769="CxP",S769&gt;60),"Alta",IF(AND(C769="CxP",S769&gt;30),"Media",IF(C769="CxP","Baja","")))</f>
        <v/>
      </c>
      <c r="W769">
        <f>IF(AND(C769="CxC",S769&gt;90),"Alta",IF(AND(C769="CxC",S769&gt;60),"Media",IF(C769="CxC","Baja","")))</f>
        <v/>
      </c>
    </row>
    <row r="770">
      <c r="A770" s="19" t="n"/>
      <c r="F770" s="20" t="n"/>
      <c r="Q770" s="10">
        <f>IF(E770="USD",CONFIG!$B$5,1)</f>
        <v/>
      </c>
      <c r="R770">
        <f>IF(AND(A770&lt;&gt;"",ISNUMBER(A770),B770&lt;&gt;"",C770&lt;&gt;"",OR(E770="USD",E770="CRC"),F770&gt;0,ISNUMBER(Q770),Q770&gt;0),"✓ OK","✗ ERROR: Revisa datos")</f>
        <v/>
      </c>
      <c r="S770" s="6">
        <f>IF(A770&lt;&gt;"",TODAY()-A770,"")</f>
        <v/>
      </c>
      <c r="T770" s="4">
        <f>IF(E770="USD",F770,IF(E770="CRC",F770/CONFIG!$B$5,""))</f>
        <v/>
      </c>
      <c r="U770" s="19">
        <f>IF(A770&lt;&gt;"",A770+30,"")</f>
        <v/>
      </c>
      <c r="V770">
        <f>IF(AND(C770="CxP",S770&gt;60),"Alta",IF(AND(C770="CxP",S770&gt;30),"Media",IF(C770="CxP","Baja","")))</f>
        <v/>
      </c>
      <c r="W770">
        <f>IF(AND(C770="CxC",S770&gt;90),"Alta",IF(AND(C770="CxC",S770&gt;60),"Media",IF(C770="CxC","Baja","")))</f>
        <v/>
      </c>
    </row>
    <row r="771">
      <c r="A771" s="19" t="n"/>
      <c r="F771" s="20" t="n"/>
      <c r="Q771" s="10">
        <f>IF(E771="USD",CONFIG!$B$5,1)</f>
        <v/>
      </c>
      <c r="R771">
        <f>IF(AND(A771&lt;&gt;"",ISNUMBER(A771),B771&lt;&gt;"",C771&lt;&gt;"",OR(E771="USD",E771="CRC"),F771&gt;0,ISNUMBER(Q771),Q771&gt;0),"✓ OK","✗ ERROR: Revisa datos")</f>
        <v/>
      </c>
      <c r="S771" s="6">
        <f>IF(A771&lt;&gt;"",TODAY()-A771,"")</f>
        <v/>
      </c>
      <c r="T771" s="4">
        <f>IF(E771="USD",F771,IF(E771="CRC",F771/CONFIG!$B$5,""))</f>
        <v/>
      </c>
      <c r="U771" s="19">
        <f>IF(A771&lt;&gt;"",A771+30,"")</f>
        <v/>
      </c>
      <c r="V771">
        <f>IF(AND(C771="CxP",S771&gt;60),"Alta",IF(AND(C771="CxP",S771&gt;30),"Media",IF(C771="CxP","Baja","")))</f>
        <v/>
      </c>
      <c r="W771">
        <f>IF(AND(C771="CxC",S771&gt;90),"Alta",IF(AND(C771="CxC",S771&gt;60),"Media",IF(C771="CxC","Baja","")))</f>
        <v/>
      </c>
    </row>
    <row r="772">
      <c r="A772" s="19" t="n"/>
      <c r="F772" s="20" t="n"/>
      <c r="Q772" s="10">
        <f>IF(E772="USD",CONFIG!$B$5,1)</f>
        <v/>
      </c>
      <c r="R772">
        <f>IF(AND(A772&lt;&gt;"",ISNUMBER(A772),B772&lt;&gt;"",C772&lt;&gt;"",OR(E772="USD",E772="CRC"),F772&gt;0,ISNUMBER(Q772),Q772&gt;0),"✓ OK","✗ ERROR: Revisa datos")</f>
        <v/>
      </c>
      <c r="S772" s="6">
        <f>IF(A772&lt;&gt;"",TODAY()-A772,"")</f>
        <v/>
      </c>
      <c r="T772" s="4">
        <f>IF(E772="USD",F772,IF(E772="CRC",F772/CONFIG!$B$5,""))</f>
        <v/>
      </c>
      <c r="U772" s="19">
        <f>IF(A772&lt;&gt;"",A772+30,"")</f>
        <v/>
      </c>
      <c r="V772">
        <f>IF(AND(C772="CxP",S772&gt;60),"Alta",IF(AND(C772="CxP",S772&gt;30),"Media",IF(C772="CxP","Baja","")))</f>
        <v/>
      </c>
      <c r="W772">
        <f>IF(AND(C772="CxC",S772&gt;90),"Alta",IF(AND(C772="CxC",S772&gt;60),"Media",IF(C772="CxC","Baja","")))</f>
        <v/>
      </c>
    </row>
    <row r="773">
      <c r="A773" s="19" t="n"/>
      <c r="F773" s="20" t="n"/>
      <c r="Q773" s="10">
        <f>IF(E773="USD",CONFIG!$B$5,1)</f>
        <v/>
      </c>
      <c r="R773">
        <f>IF(AND(A773&lt;&gt;"",ISNUMBER(A773),B773&lt;&gt;"",C773&lt;&gt;"",OR(E773="USD",E773="CRC"),F773&gt;0,ISNUMBER(Q773),Q773&gt;0),"✓ OK","✗ ERROR: Revisa datos")</f>
        <v/>
      </c>
      <c r="S773" s="6">
        <f>IF(A773&lt;&gt;"",TODAY()-A773,"")</f>
        <v/>
      </c>
      <c r="T773" s="4">
        <f>IF(E773="USD",F773,IF(E773="CRC",F773/CONFIG!$B$5,""))</f>
        <v/>
      </c>
      <c r="U773" s="19">
        <f>IF(A773&lt;&gt;"",A773+30,"")</f>
        <v/>
      </c>
      <c r="V773">
        <f>IF(AND(C773="CxP",S773&gt;60),"Alta",IF(AND(C773="CxP",S773&gt;30),"Media",IF(C773="CxP","Baja","")))</f>
        <v/>
      </c>
      <c r="W773">
        <f>IF(AND(C773="CxC",S773&gt;90),"Alta",IF(AND(C773="CxC",S773&gt;60),"Media",IF(C773="CxC","Baja","")))</f>
        <v/>
      </c>
    </row>
    <row r="774">
      <c r="A774" s="19" t="n"/>
      <c r="F774" s="20" t="n"/>
      <c r="Q774" s="10">
        <f>IF(E774="USD",CONFIG!$B$5,1)</f>
        <v/>
      </c>
      <c r="R774">
        <f>IF(AND(A774&lt;&gt;"",ISNUMBER(A774),B774&lt;&gt;"",C774&lt;&gt;"",OR(E774="USD",E774="CRC"),F774&gt;0,ISNUMBER(Q774),Q774&gt;0),"✓ OK","✗ ERROR: Revisa datos")</f>
        <v/>
      </c>
      <c r="S774" s="6">
        <f>IF(A774&lt;&gt;"",TODAY()-A774,"")</f>
        <v/>
      </c>
      <c r="T774" s="4">
        <f>IF(E774="USD",F774,IF(E774="CRC",F774/CONFIG!$B$5,""))</f>
        <v/>
      </c>
      <c r="U774" s="19">
        <f>IF(A774&lt;&gt;"",A774+30,"")</f>
        <v/>
      </c>
      <c r="V774">
        <f>IF(AND(C774="CxP",S774&gt;60),"Alta",IF(AND(C774="CxP",S774&gt;30),"Media",IF(C774="CxP","Baja","")))</f>
        <v/>
      </c>
      <c r="W774">
        <f>IF(AND(C774="CxC",S774&gt;90),"Alta",IF(AND(C774="CxC",S774&gt;60),"Media",IF(C774="CxC","Baja","")))</f>
        <v/>
      </c>
    </row>
    <row r="775">
      <c r="A775" s="19" t="n"/>
      <c r="F775" s="20" t="n"/>
      <c r="Q775" s="10">
        <f>IF(E775="USD",CONFIG!$B$5,1)</f>
        <v/>
      </c>
      <c r="R775">
        <f>IF(AND(A775&lt;&gt;"",ISNUMBER(A775),B775&lt;&gt;"",C775&lt;&gt;"",OR(E775="USD",E775="CRC"),F775&gt;0,ISNUMBER(Q775),Q775&gt;0),"✓ OK","✗ ERROR: Revisa datos")</f>
        <v/>
      </c>
      <c r="S775" s="6">
        <f>IF(A775&lt;&gt;"",TODAY()-A775,"")</f>
        <v/>
      </c>
      <c r="T775" s="4">
        <f>IF(E775="USD",F775,IF(E775="CRC",F775/CONFIG!$B$5,""))</f>
        <v/>
      </c>
      <c r="U775" s="19">
        <f>IF(A775&lt;&gt;"",A775+30,"")</f>
        <v/>
      </c>
      <c r="V775">
        <f>IF(AND(C775="CxP",S775&gt;60),"Alta",IF(AND(C775="CxP",S775&gt;30),"Media",IF(C775="CxP","Baja","")))</f>
        <v/>
      </c>
      <c r="W775">
        <f>IF(AND(C775="CxC",S775&gt;90),"Alta",IF(AND(C775="CxC",S775&gt;60),"Media",IF(C775="CxC","Baja","")))</f>
        <v/>
      </c>
    </row>
    <row r="776">
      <c r="A776" s="19" t="n"/>
      <c r="F776" s="20" t="n"/>
      <c r="Q776" s="10">
        <f>IF(E776="USD",CONFIG!$B$5,1)</f>
        <v/>
      </c>
      <c r="R776">
        <f>IF(AND(A776&lt;&gt;"",ISNUMBER(A776),B776&lt;&gt;"",C776&lt;&gt;"",OR(E776="USD",E776="CRC"),F776&gt;0,ISNUMBER(Q776),Q776&gt;0),"✓ OK","✗ ERROR: Revisa datos")</f>
        <v/>
      </c>
      <c r="S776" s="6">
        <f>IF(A776&lt;&gt;"",TODAY()-A776,"")</f>
        <v/>
      </c>
      <c r="T776" s="4">
        <f>IF(E776="USD",F776,IF(E776="CRC",F776/CONFIG!$B$5,""))</f>
        <v/>
      </c>
      <c r="U776" s="19">
        <f>IF(A776&lt;&gt;"",A776+30,"")</f>
        <v/>
      </c>
      <c r="V776">
        <f>IF(AND(C776="CxP",S776&gt;60),"Alta",IF(AND(C776="CxP",S776&gt;30),"Media",IF(C776="CxP","Baja","")))</f>
        <v/>
      </c>
      <c r="W776">
        <f>IF(AND(C776="CxC",S776&gt;90),"Alta",IF(AND(C776="CxC",S776&gt;60),"Media",IF(C776="CxC","Baja","")))</f>
        <v/>
      </c>
    </row>
    <row r="777">
      <c r="A777" s="19" t="n"/>
      <c r="F777" s="20" t="n"/>
      <c r="Q777" s="10">
        <f>IF(E777="USD",CONFIG!$B$5,1)</f>
        <v/>
      </c>
      <c r="R777">
        <f>IF(AND(A777&lt;&gt;"",ISNUMBER(A777),B777&lt;&gt;"",C777&lt;&gt;"",OR(E777="USD",E777="CRC"),F777&gt;0,ISNUMBER(Q777),Q777&gt;0),"✓ OK","✗ ERROR: Revisa datos")</f>
        <v/>
      </c>
      <c r="S777" s="6">
        <f>IF(A777&lt;&gt;"",TODAY()-A777,"")</f>
        <v/>
      </c>
      <c r="T777" s="4">
        <f>IF(E777="USD",F777,IF(E777="CRC",F777/CONFIG!$B$5,""))</f>
        <v/>
      </c>
      <c r="U777" s="19">
        <f>IF(A777&lt;&gt;"",A777+30,"")</f>
        <v/>
      </c>
      <c r="V777">
        <f>IF(AND(C777="CxP",S777&gt;60),"Alta",IF(AND(C777="CxP",S777&gt;30),"Media",IF(C777="CxP","Baja","")))</f>
        <v/>
      </c>
      <c r="W777">
        <f>IF(AND(C777="CxC",S777&gt;90),"Alta",IF(AND(C777="CxC",S777&gt;60),"Media",IF(C777="CxC","Baja","")))</f>
        <v/>
      </c>
    </row>
    <row r="778">
      <c r="A778" s="19" t="n"/>
      <c r="F778" s="20" t="n"/>
      <c r="Q778" s="10">
        <f>IF(E778="USD",CONFIG!$B$5,1)</f>
        <v/>
      </c>
      <c r="R778">
        <f>IF(AND(A778&lt;&gt;"",ISNUMBER(A778),B778&lt;&gt;"",C778&lt;&gt;"",OR(E778="USD",E778="CRC"),F778&gt;0,ISNUMBER(Q778),Q778&gt;0),"✓ OK","✗ ERROR: Revisa datos")</f>
        <v/>
      </c>
      <c r="S778" s="6">
        <f>IF(A778&lt;&gt;"",TODAY()-A778,"")</f>
        <v/>
      </c>
      <c r="T778" s="4">
        <f>IF(E778="USD",F778,IF(E778="CRC",F778/CONFIG!$B$5,""))</f>
        <v/>
      </c>
      <c r="U778" s="19">
        <f>IF(A778&lt;&gt;"",A778+30,"")</f>
        <v/>
      </c>
      <c r="V778">
        <f>IF(AND(C778="CxP",S778&gt;60),"Alta",IF(AND(C778="CxP",S778&gt;30),"Media",IF(C778="CxP","Baja","")))</f>
        <v/>
      </c>
      <c r="W778">
        <f>IF(AND(C778="CxC",S778&gt;90),"Alta",IF(AND(C778="CxC",S778&gt;60),"Media",IF(C778="CxC","Baja","")))</f>
        <v/>
      </c>
    </row>
    <row r="779">
      <c r="A779" s="19" t="n"/>
      <c r="F779" s="20" t="n"/>
      <c r="Q779" s="10">
        <f>IF(E779="USD",CONFIG!$B$5,1)</f>
        <v/>
      </c>
      <c r="R779">
        <f>IF(AND(A779&lt;&gt;"",ISNUMBER(A779),B779&lt;&gt;"",C779&lt;&gt;"",OR(E779="USD",E779="CRC"),F779&gt;0,ISNUMBER(Q779),Q779&gt;0),"✓ OK","✗ ERROR: Revisa datos")</f>
        <v/>
      </c>
      <c r="S779" s="6">
        <f>IF(A779&lt;&gt;"",TODAY()-A779,"")</f>
        <v/>
      </c>
      <c r="T779" s="4">
        <f>IF(E779="USD",F779,IF(E779="CRC",F779/CONFIG!$B$5,""))</f>
        <v/>
      </c>
      <c r="U779" s="19">
        <f>IF(A779&lt;&gt;"",A779+30,"")</f>
        <v/>
      </c>
      <c r="V779">
        <f>IF(AND(C779="CxP",S779&gt;60),"Alta",IF(AND(C779="CxP",S779&gt;30),"Media",IF(C779="CxP","Baja","")))</f>
        <v/>
      </c>
      <c r="W779">
        <f>IF(AND(C779="CxC",S779&gt;90),"Alta",IF(AND(C779="CxC",S779&gt;60),"Media",IF(C779="CxC","Baja","")))</f>
        <v/>
      </c>
    </row>
    <row r="780">
      <c r="A780" s="19" t="n"/>
      <c r="F780" s="20" t="n"/>
      <c r="Q780" s="10">
        <f>IF(E780="USD",CONFIG!$B$5,1)</f>
        <v/>
      </c>
      <c r="R780">
        <f>IF(AND(A780&lt;&gt;"",ISNUMBER(A780),B780&lt;&gt;"",C780&lt;&gt;"",OR(E780="USD",E780="CRC"),F780&gt;0,ISNUMBER(Q780),Q780&gt;0),"✓ OK","✗ ERROR: Revisa datos")</f>
        <v/>
      </c>
      <c r="S780" s="6">
        <f>IF(A780&lt;&gt;"",TODAY()-A780,"")</f>
        <v/>
      </c>
      <c r="T780" s="4">
        <f>IF(E780="USD",F780,IF(E780="CRC",F780/CONFIG!$B$5,""))</f>
        <v/>
      </c>
      <c r="U780" s="19">
        <f>IF(A780&lt;&gt;"",A780+30,"")</f>
        <v/>
      </c>
      <c r="V780">
        <f>IF(AND(C780="CxP",S780&gt;60),"Alta",IF(AND(C780="CxP",S780&gt;30),"Media",IF(C780="CxP","Baja","")))</f>
        <v/>
      </c>
      <c r="W780">
        <f>IF(AND(C780="CxC",S780&gt;90),"Alta",IF(AND(C780="CxC",S780&gt;60),"Media",IF(C780="CxC","Baja","")))</f>
        <v/>
      </c>
    </row>
    <row r="781">
      <c r="A781" s="19" t="n"/>
      <c r="F781" s="20" t="n"/>
      <c r="Q781" s="10">
        <f>IF(E781="USD",CONFIG!$B$5,1)</f>
        <v/>
      </c>
      <c r="R781">
        <f>IF(AND(A781&lt;&gt;"",ISNUMBER(A781),B781&lt;&gt;"",C781&lt;&gt;"",OR(E781="USD",E781="CRC"),F781&gt;0,ISNUMBER(Q781),Q781&gt;0),"✓ OK","✗ ERROR: Revisa datos")</f>
        <v/>
      </c>
      <c r="S781" s="6">
        <f>IF(A781&lt;&gt;"",TODAY()-A781,"")</f>
        <v/>
      </c>
      <c r="T781" s="4">
        <f>IF(E781="USD",F781,IF(E781="CRC",F781/CONFIG!$B$5,""))</f>
        <v/>
      </c>
      <c r="U781" s="19">
        <f>IF(A781&lt;&gt;"",A781+30,"")</f>
        <v/>
      </c>
      <c r="V781">
        <f>IF(AND(C781="CxP",S781&gt;60),"Alta",IF(AND(C781="CxP",S781&gt;30),"Media",IF(C781="CxP","Baja","")))</f>
        <v/>
      </c>
      <c r="W781">
        <f>IF(AND(C781="CxC",S781&gt;90),"Alta",IF(AND(C781="CxC",S781&gt;60),"Media",IF(C781="CxC","Baja","")))</f>
        <v/>
      </c>
    </row>
    <row r="782">
      <c r="A782" s="19" t="n"/>
      <c r="F782" s="20" t="n"/>
      <c r="Q782" s="10">
        <f>IF(E782="USD",CONFIG!$B$5,1)</f>
        <v/>
      </c>
      <c r="R782">
        <f>IF(AND(A782&lt;&gt;"",ISNUMBER(A782),B782&lt;&gt;"",C782&lt;&gt;"",OR(E782="USD",E782="CRC"),F782&gt;0,ISNUMBER(Q782),Q782&gt;0),"✓ OK","✗ ERROR: Revisa datos")</f>
        <v/>
      </c>
      <c r="S782" s="6">
        <f>IF(A782&lt;&gt;"",TODAY()-A782,"")</f>
        <v/>
      </c>
      <c r="T782" s="4">
        <f>IF(E782="USD",F782,IF(E782="CRC",F782/CONFIG!$B$5,""))</f>
        <v/>
      </c>
      <c r="U782" s="19">
        <f>IF(A782&lt;&gt;"",A782+30,"")</f>
        <v/>
      </c>
      <c r="V782">
        <f>IF(AND(C782="CxP",S782&gt;60),"Alta",IF(AND(C782="CxP",S782&gt;30),"Media",IF(C782="CxP","Baja","")))</f>
        <v/>
      </c>
      <c r="W782">
        <f>IF(AND(C782="CxC",S782&gt;90),"Alta",IF(AND(C782="CxC",S782&gt;60),"Media",IF(C782="CxC","Baja","")))</f>
        <v/>
      </c>
    </row>
    <row r="783">
      <c r="A783" s="19" t="n"/>
      <c r="F783" s="20" t="n"/>
      <c r="Q783" s="10">
        <f>IF(E783="USD",CONFIG!$B$5,1)</f>
        <v/>
      </c>
      <c r="R783">
        <f>IF(AND(A783&lt;&gt;"",ISNUMBER(A783),B783&lt;&gt;"",C783&lt;&gt;"",OR(E783="USD",E783="CRC"),F783&gt;0,ISNUMBER(Q783),Q783&gt;0),"✓ OK","✗ ERROR: Revisa datos")</f>
        <v/>
      </c>
      <c r="S783" s="6">
        <f>IF(A783&lt;&gt;"",TODAY()-A783,"")</f>
        <v/>
      </c>
      <c r="T783" s="4">
        <f>IF(E783="USD",F783,IF(E783="CRC",F783/CONFIG!$B$5,""))</f>
        <v/>
      </c>
      <c r="U783" s="19">
        <f>IF(A783&lt;&gt;"",A783+30,"")</f>
        <v/>
      </c>
      <c r="V783">
        <f>IF(AND(C783="CxP",S783&gt;60),"Alta",IF(AND(C783="CxP",S783&gt;30),"Media",IF(C783="CxP","Baja","")))</f>
        <v/>
      </c>
      <c r="W783">
        <f>IF(AND(C783="CxC",S783&gt;90),"Alta",IF(AND(C783="CxC",S783&gt;60),"Media",IF(C783="CxC","Baja","")))</f>
        <v/>
      </c>
    </row>
    <row r="784">
      <c r="A784" s="19" t="n"/>
      <c r="F784" s="20" t="n"/>
      <c r="Q784" s="10">
        <f>IF(E784="USD",CONFIG!$B$5,1)</f>
        <v/>
      </c>
      <c r="R784">
        <f>IF(AND(A784&lt;&gt;"",ISNUMBER(A784),B784&lt;&gt;"",C784&lt;&gt;"",OR(E784="USD",E784="CRC"),F784&gt;0,ISNUMBER(Q784),Q784&gt;0),"✓ OK","✗ ERROR: Revisa datos")</f>
        <v/>
      </c>
      <c r="S784" s="6">
        <f>IF(A784&lt;&gt;"",TODAY()-A784,"")</f>
        <v/>
      </c>
      <c r="T784" s="4">
        <f>IF(E784="USD",F784,IF(E784="CRC",F784/CONFIG!$B$5,""))</f>
        <v/>
      </c>
      <c r="U784" s="19">
        <f>IF(A784&lt;&gt;"",A784+30,"")</f>
        <v/>
      </c>
      <c r="V784">
        <f>IF(AND(C784="CxP",S784&gt;60),"Alta",IF(AND(C784="CxP",S784&gt;30),"Media",IF(C784="CxP","Baja","")))</f>
        <v/>
      </c>
      <c r="W784">
        <f>IF(AND(C784="CxC",S784&gt;90),"Alta",IF(AND(C784="CxC",S784&gt;60),"Media",IF(C784="CxC","Baja","")))</f>
        <v/>
      </c>
    </row>
    <row r="785">
      <c r="A785" s="19" t="n"/>
      <c r="F785" s="20" t="n"/>
      <c r="Q785" s="10">
        <f>IF(E785="USD",CONFIG!$B$5,1)</f>
        <v/>
      </c>
      <c r="R785">
        <f>IF(AND(A785&lt;&gt;"",ISNUMBER(A785),B785&lt;&gt;"",C785&lt;&gt;"",OR(E785="USD",E785="CRC"),F785&gt;0,ISNUMBER(Q785),Q785&gt;0),"✓ OK","✗ ERROR: Revisa datos")</f>
        <v/>
      </c>
      <c r="S785" s="6">
        <f>IF(A785&lt;&gt;"",TODAY()-A785,"")</f>
        <v/>
      </c>
      <c r="T785" s="4">
        <f>IF(E785="USD",F785,IF(E785="CRC",F785/CONFIG!$B$5,""))</f>
        <v/>
      </c>
      <c r="U785" s="19">
        <f>IF(A785&lt;&gt;"",A785+30,"")</f>
        <v/>
      </c>
      <c r="V785">
        <f>IF(AND(C785="CxP",S785&gt;60),"Alta",IF(AND(C785="CxP",S785&gt;30),"Media",IF(C785="CxP","Baja","")))</f>
        <v/>
      </c>
      <c r="W785">
        <f>IF(AND(C785="CxC",S785&gt;90),"Alta",IF(AND(C785="CxC",S785&gt;60),"Media",IF(C785="CxC","Baja","")))</f>
        <v/>
      </c>
    </row>
    <row r="786">
      <c r="A786" s="19" t="n"/>
      <c r="F786" s="20" t="n"/>
      <c r="Q786" s="10">
        <f>IF(E786="USD",CONFIG!$B$5,1)</f>
        <v/>
      </c>
      <c r="R786">
        <f>IF(AND(A786&lt;&gt;"",ISNUMBER(A786),B786&lt;&gt;"",C786&lt;&gt;"",OR(E786="USD",E786="CRC"),F786&gt;0,ISNUMBER(Q786),Q786&gt;0),"✓ OK","✗ ERROR: Revisa datos")</f>
        <v/>
      </c>
      <c r="S786" s="6">
        <f>IF(A786&lt;&gt;"",TODAY()-A786,"")</f>
        <v/>
      </c>
      <c r="T786" s="4">
        <f>IF(E786="USD",F786,IF(E786="CRC",F786/CONFIG!$B$5,""))</f>
        <v/>
      </c>
      <c r="U786" s="19">
        <f>IF(A786&lt;&gt;"",A786+30,"")</f>
        <v/>
      </c>
      <c r="V786">
        <f>IF(AND(C786="CxP",S786&gt;60),"Alta",IF(AND(C786="CxP",S786&gt;30),"Media",IF(C786="CxP","Baja","")))</f>
        <v/>
      </c>
      <c r="W786">
        <f>IF(AND(C786="CxC",S786&gt;90),"Alta",IF(AND(C786="CxC",S786&gt;60),"Media",IF(C786="CxC","Baja","")))</f>
        <v/>
      </c>
    </row>
    <row r="787">
      <c r="A787" s="19" t="n"/>
      <c r="F787" s="20" t="n"/>
      <c r="Q787" s="10">
        <f>IF(E787="USD",CONFIG!$B$5,1)</f>
        <v/>
      </c>
      <c r="R787">
        <f>IF(AND(A787&lt;&gt;"",ISNUMBER(A787),B787&lt;&gt;"",C787&lt;&gt;"",OR(E787="USD",E787="CRC"),F787&gt;0,ISNUMBER(Q787),Q787&gt;0),"✓ OK","✗ ERROR: Revisa datos")</f>
        <v/>
      </c>
      <c r="S787" s="6">
        <f>IF(A787&lt;&gt;"",TODAY()-A787,"")</f>
        <v/>
      </c>
      <c r="T787" s="4">
        <f>IF(E787="USD",F787,IF(E787="CRC",F787/CONFIG!$B$5,""))</f>
        <v/>
      </c>
      <c r="U787" s="19">
        <f>IF(A787&lt;&gt;"",A787+30,"")</f>
        <v/>
      </c>
      <c r="V787">
        <f>IF(AND(C787="CxP",S787&gt;60),"Alta",IF(AND(C787="CxP",S787&gt;30),"Media",IF(C787="CxP","Baja","")))</f>
        <v/>
      </c>
      <c r="W787">
        <f>IF(AND(C787="CxC",S787&gt;90),"Alta",IF(AND(C787="CxC",S787&gt;60),"Media",IF(C787="CxC","Baja","")))</f>
        <v/>
      </c>
    </row>
    <row r="788">
      <c r="A788" s="19" t="n"/>
      <c r="F788" s="20" t="n"/>
      <c r="Q788" s="10">
        <f>IF(E788="USD",CONFIG!$B$5,1)</f>
        <v/>
      </c>
      <c r="R788">
        <f>IF(AND(A788&lt;&gt;"",ISNUMBER(A788),B788&lt;&gt;"",C788&lt;&gt;"",OR(E788="USD",E788="CRC"),F788&gt;0,ISNUMBER(Q788),Q788&gt;0),"✓ OK","✗ ERROR: Revisa datos")</f>
        <v/>
      </c>
      <c r="S788" s="6">
        <f>IF(A788&lt;&gt;"",TODAY()-A788,"")</f>
        <v/>
      </c>
      <c r="T788" s="4">
        <f>IF(E788="USD",F788,IF(E788="CRC",F788/CONFIG!$B$5,""))</f>
        <v/>
      </c>
      <c r="U788" s="19">
        <f>IF(A788&lt;&gt;"",A788+30,"")</f>
        <v/>
      </c>
      <c r="V788">
        <f>IF(AND(C788="CxP",S788&gt;60),"Alta",IF(AND(C788="CxP",S788&gt;30),"Media",IF(C788="CxP","Baja","")))</f>
        <v/>
      </c>
      <c r="W788">
        <f>IF(AND(C788="CxC",S788&gt;90),"Alta",IF(AND(C788="CxC",S788&gt;60),"Media",IF(C788="CxC","Baja","")))</f>
        <v/>
      </c>
    </row>
    <row r="789">
      <c r="A789" s="19" t="n"/>
      <c r="F789" s="20" t="n"/>
      <c r="Q789" s="10">
        <f>IF(E789="USD",CONFIG!$B$5,1)</f>
        <v/>
      </c>
      <c r="R789">
        <f>IF(AND(A789&lt;&gt;"",ISNUMBER(A789),B789&lt;&gt;"",C789&lt;&gt;"",OR(E789="USD",E789="CRC"),F789&gt;0,ISNUMBER(Q789),Q789&gt;0),"✓ OK","✗ ERROR: Revisa datos")</f>
        <v/>
      </c>
      <c r="S789" s="6">
        <f>IF(A789&lt;&gt;"",TODAY()-A789,"")</f>
        <v/>
      </c>
      <c r="T789" s="4">
        <f>IF(E789="USD",F789,IF(E789="CRC",F789/CONFIG!$B$5,""))</f>
        <v/>
      </c>
      <c r="U789" s="19">
        <f>IF(A789&lt;&gt;"",A789+30,"")</f>
        <v/>
      </c>
      <c r="V789">
        <f>IF(AND(C789="CxP",S789&gt;60),"Alta",IF(AND(C789="CxP",S789&gt;30),"Media",IF(C789="CxP","Baja","")))</f>
        <v/>
      </c>
      <c r="W789">
        <f>IF(AND(C789="CxC",S789&gt;90),"Alta",IF(AND(C789="CxC",S789&gt;60),"Media",IF(C789="CxC","Baja","")))</f>
        <v/>
      </c>
    </row>
    <row r="790">
      <c r="A790" s="19" t="n"/>
      <c r="F790" s="20" t="n"/>
      <c r="Q790" s="10">
        <f>IF(E790="USD",CONFIG!$B$5,1)</f>
        <v/>
      </c>
      <c r="R790">
        <f>IF(AND(A790&lt;&gt;"",ISNUMBER(A790),B790&lt;&gt;"",C790&lt;&gt;"",OR(E790="USD",E790="CRC"),F790&gt;0,ISNUMBER(Q790),Q790&gt;0),"✓ OK","✗ ERROR: Revisa datos")</f>
        <v/>
      </c>
      <c r="S790" s="6">
        <f>IF(A790&lt;&gt;"",TODAY()-A790,"")</f>
        <v/>
      </c>
      <c r="T790" s="4">
        <f>IF(E790="USD",F790,IF(E790="CRC",F790/CONFIG!$B$5,""))</f>
        <v/>
      </c>
      <c r="U790" s="19">
        <f>IF(A790&lt;&gt;"",A790+30,"")</f>
        <v/>
      </c>
      <c r="V790">
        <f>IF(AND(C790="CxP",S790&gt;60),"Alta",IF(AND(C790="CxP",S790&gt;30),"Media",IF(C790="CxP","Baja","")))</f>
        <v/>
      </c>
      <c r="W790">
        <f>IF(AND(C790="CxC",S790&gt;90),"Alta",IF(AND(C790="CxC",S790&gt;60),"Media",IF(C790="CxC","Baja","")))</f>
        <v/>
      </c>
    </row>
    <row r="791">
      <c r="A791" s="19" t="n"/>
      <c r="F791" s="20" t="n"/>
      <c r="Q791" s="10">
        <f>IF(E791="USD",CONFIG!$B$5,1)</f>
        <v/>
      </c>
      <c r="R791">
        <f>IF(AND(A791&lt;&gt;"",ISNUMBER(A791),B791&lt;&gt;"",C791&lt;&gt;"",OR(E791="USD",E791="CRC"),F791&gt;0,ISNUMBER(Q791),Q791&gt;0),"✓ OK","✗ ERROR: Revisa datos")</f>
        <v/>
      </c>
      <c r="S791" s="6">
        <f>IF(A791&lt;&gt;"",TODAY()-A791,"")</f>
        <v/>
      </c>
      <c r="T791" s="4">
        <f>IF(E791="USD",F791,IF(E791="CRC",F791/CONFIG!$B$5,""))</f>
        <v/>
      </c>
      <c r="U791" s="19">
        <f>IF(A791&lt;&gt;"",A791+30,"")</f>
        <v/>
      </c>
      <c r="V791">
        <f>IF(AND(C791="CxP",S791&gt;60),"Alta",IF(AND(C791="CxP",S791&gt;30),"Media",IF(C791="CxP","Baja","")))</f>
        <v/>
      </c>
      <c r="W791">
        <f>IF(AND(C791="CxC",S791&gt;90),"Alta",IF(AND(C791="CxC",S791&gt;60),"Media",IF(C791="CxC","Baja","")))</f>
        <v/>
      </c>
    </row>
    <row r="792">
      <c r="A792" s="19" t="n"/>
      <c r="F792" s="20" t="n"/>
      <c r="Q792" s="10">
        <f>IF(E792="USD",CONFIG!$B$5,1)</f>
        <v/>
      </c>
      <c r="R792">
        <f>IF(AND(A792&lt;&gt;"",ISNUMBER(A792),B792&lt;&gt;"",C792&lt;&gt;"",OR(E792="USD",E792="CRC"),F792&gt;0,ISNUMBER(Q792),Q792&gt;0),"✓ OK","✗ ERROR: Revisa datos")</f>
        <v/>
      </c>
      <c r="S792" s="6">
        <f>IF(A792&lt;&gt;"",TODAY()-A792,"")</f>
        <v/>
      </c>
      <c r="T792" s="4">
        <f>IF(E792="USD",F792,IF(E792="CRC",F792/CONFIG!$B$5,""))</f>
        <v/>
      </c>
      <c r="U792" s="19">
        <f>IF(A792&lt;&gt;"",A792+30,"")</f>
        <v/>
      </c>
      <c r="V792">
        <f>IF(AND(C792="CxP",S792&gt;60),"Alta",IF(AND(C792="CxP",S792&gt;30),"Media",IF(C792="CxP","Baja","")))</f>
        <v/>
      </c>
      <c r="W792">
        <f>IF(AND(C792="CxC",S792&gt;90),"Alta",IF(AND(C792="CxC",S792&gt;60),"Media",IF(C792="CxC","Baja","")))</f>
        <v/>
      </c>
    </row>
    <row r="793">
      <c r="A793" s="19" t="n"/>
      <c r="F793" s="20" t="n"/>
      <c r="Q793" s="10">
        <f>IF(E793="USD",CONFIG!$B$5,1)</f>
        <v/>
      </c>
      <c r="R793">
        <f>IF(AND(A793&lt;&gt;"",ISNUMBER(A793),B793&lt;&gt;"",C793&lt;&gt;"",OR(E793="USD",E793="CRC"),F793&gt;0,ISNUMBER(Q793),Q793&gt;0),"✓ OK","✗ ERROR: Revisa datos")</f>
        <v/>
      </c>
      <c r="S793" s="6">
        <f>IF(A793&lt;&gt;"",TODAY()-A793,"")</f>
        <v/>
      </c>
      <c r="T793" s="4">
        <f>IF(E793="USD",F793,IF(E793="CRC",F793/CONFIG!$B$5,""))</f>
        <v/>
      </c>
      <c r="U793" s="19">
        <f>IF(A793&lt;&gt;"",A793+30,"")</f>
        <v/>
      </c>
      <c r="V793">
        <f>IF(AND(C793="CxP",S793&gt;60),"Alta",IF(AND(C793="CxP",S793&gt;30),"Media",IF(C793="CxP","Baja","")))</f>
        <v/>
      </c>
      <c r="W793">
        <f>IF(AND(C793="CxC",S793&gt;90),"Alta",IF(AND(C793="CxC",S793&gt;60),"Media",IF(C793="CxC","Baja","")))</f>
        <v/>
      </c>
    </row>
    <row r="794">
      <c r="A794" s="19" t="n"/>
      <c r="F794" s="20" t="n"/>
      <c r="Q794" s="10">
        <f>IF(E794="USD",CONFIG!$B$5,1)</f>
        <v/>
      </c>
      <c r="R794">
        <f>IF(AND(A794&lt;&gt;"",ISNUMBER(A794),B794&lt;&gt;"",C794&lt;&gt;"",OR(E794="USD",E794="CRC"),F794&gt;0,ISNUMBER(Q794),Q794&gt;0),"✓ OK","✗ ERROR: Revisa datos")</f>
        <v/>
      </c>
      <c r="S794" s="6">
        <f>IF(A794&lt;&gt;"",TODAY()-A794,"")</f>
        <v/>
      </c>
      <c r="T794" s="4">
        <f>IF(E794="USD",F794,IF(E794="CRC",F794/CONFIG!$B$5,""))</f>
        <v/>
      </c>
      <c r="U794" s="19">
        <f>IF(A794&lt;&gt;"",A794+30,"")</f>
        <v/>
      </c>
      <c r="V794">
        <f>IF(AND(C794="CxP",S794&gt;60),"Alta",IF(AND(C794="CxP",S794&gt;30),"Media",IF(C794="CxP","Baja","")))</f>
        <v/>
      </c>
      <c r="W794">
        <f>IF(AND(C794="CxC",S794&gt;90),"Alta",IF(AND(C794="CxC",S794&gt;60),"Media",IF(C794="CxC","Baja","")))</f>
        <v/>
      </c>
    </row>
    <row r="795">
      <c r="A795" s="19" t="n"/>
      <c r="F795" s="20" t="n"/>
      <c r="Q795" s="10">
        <f>IF(E795="USD",CONFIG!$B$5,1)</f>
        <v/>
      </c>
      <c r="R795">
        <f>IF(AND(A795&lt;&gt;"",ISNUMBER(A795),B795&lt;&gt;"",C795&lt;&gt;"",OR(E795="USD",E795="CRC"),F795&gt;0,ISNUMBER(Q795),Q795&gt;0),"✓ OK","✗ ERROR: Revisa datos")</f>
        <v/>
      </c>
      <c r="S795" s="6">
        <f>IF(A795&lt;&gt;"",TODAY()-A795,"")</f>
        <v/>
      </c>
      <c r="T795" s="4">
        <f>IF(E795="USD",F795,IF(E795="CRC",F795/CONFIG!$B$5,""))</f>
        <v/>
      </c>
      <c r="U795" s="19">
        <f>IF(A795&lt;&gt;"",A795+30,"")</f>
        <v/>
      </c>
      <c r="V795">
        <f>IF(AND(C795="CxP",S795&gt;60),"Alta",IF(AND(C795="CxP",S795&gt;30),"Media",IF(C795="CxP","Baja","")))</f>
        <v/>
      </c>
      <c r="W795">
        <f>IF(AND(C795="CxC",S795&gt;90),"Alta",IF(AND(C795="CxC",S795&gt;60),"Media",IF(C795="CxC","Baja","")))</f>
        <v/>
      </c>
    </row>
    <row r="796">
      <c r="A796" s="19" t="n"/>
      <c r="F796" s="20" t="n"/>
      <c r="Q796" s="10">
        <f>IF(E796="USD",CONFIG!$B$5,1)</f>
        <v/>
      </c>
      <c r="R796">
        <f>IF(AND(A796&lt;&gt;"",ISNUMBER(A796),B796&lt;&gt;"",C796&lt;&gt;"",OR(E796="USD",E796="CRC"),F796&gt;0,ISNUMBER(Q796),Q796&gt;0),"✓ OK","✗ ERROR: Revisa datos")</f>
        <v/>
      </c>
      <c r="S796" s="6">
        <f>IF(A796&lt;&gt;"",TODAY()-A796,"")</f>
        <v/>
      </c>
      <c r="T796" s="4">
        <f>IF(E796="USD",F796,IF(E796="CRC",F796/CONFIG!$B$5,""))</f>
        <v/>
      </c>
      <c r="U796" s="19">
        <f>IF(A796&lt;&gt;"",A796+30,"")</f>
        <v/>
      </c>
      <c r="V796">
        <f>IF(AND(C796="CxP",S796&gt;60),"Alta",IF(AND(C796="CxP",S796&gt;30),"Media",IF(C796="CxP","Baja","")))</f>
        <v/>
      </c>
      <c r="W796">
        <f>IF(AND(C796="CxC",S796&gt;90),"Alta",IF(AND(C796="CxC",S796&gt;60),"Media",IF(C796="CxC","Baja","")))</f>
        <v/>
      </c>
    </row>
    <row r="797">
      <c r="A797" s="19" t="n"/>
      <c r="F797" s="20" t="n"/>
      <c r="Q797" s="10">
        <f>IF(E797="USD",CONFIG!$B$5,1)</f>
        <v/>
      </c>
      <c r="R797">
        <f>IF(AND(A797&lt;&gt;"",ISNUMBER(A797),B797&lt;&gt;"",C797&lt;&gt;"",OR(E797="USD",E797="CRC"),F797&gt;0,ISNUMBER(Q797),Q797&gt;0),"✓ OK","✗ ERROR: Revisa datos")</f>
        <v/>
      </c>
      <c r="S797" s="6">
        <f>IF(A797&lt;&gt;"",TODAY()-A797,"")</f>
        <v/>
      </c>
      <c r="T797" s="4">
        <f>IF(E797="USD",F797,IF(E797="CRC",F797/CONFIG!$B$5,""))</f>
        <v/>
      </c>
      <c r="U797" s="19">
        <f>IF(A797&lt;&gt;"",A797+30,"")</f>
        <v/>
      </c>
      <c r="V797">
        <f>IF(AND(C797="CxP",S797&gt;60),"Alta",IF(AND(C797="CxP",S797&gt;30),"Media",IF(C797="CxP","Baja","")))</f>
        <v/>
      </c>
      <c r="W797">
        <f>IF(AND(C797="CxC",S797&gt;90),"Alta",IF(AND(C797="CxC",S797&gt;60),"Media",IF(C797="CxC","Baja","")))</f>
        <v/>
      </c>
    </row>
    <row r="798">
      <c r="A798" s="19" t="n"/>
      <c r="F798" s="20" t="n"/>
      <c r="Q798" s="10">
        <f>IF(E798="USD",CONFIG!$B$5,1)</f>
        <v/>
      </c>
      <c r="R798">
        <f>IF(AND(A798&lt;&gt;"",ISNUMBER(A798),B798&lt;&gt;"",C798&lt;&gt;"",OR(E798="USD",E798="CRC"),F798&gt;0,ISNUMBER(Q798),Q798&gt;0),"✓ OK","✗ ERROR: Revisa datos")</f>
        <v/>
      </c>
      <c r="S798" s="6">
        <f>IF(A798&lt;&gt;"",TODAY()-A798,"")</f>
        <v/>
      </c>
      <c r="T798" s="4">
        <f>IF(E798="USD",F798,IF(E798="CRC",F798/CONFIG!$B$5,""))</f>
        <v/>
      </c>
      <c r="U798" s="19">
        <f>IF(A798&lt;&gt;"",A798+30,"")</f>
        <v/>
      </c>
      <c r="V798">
        <f>IF(AND(C798="CxP",S798&gt;60),"Alta",IF(AND(C798="CxP",S798&gt;30),"Media",IF(C798="CxP","Baja","")))</f>
        <v/>
      </c>
      <c r="W798">
        <f>IF(AND(C798="CxC",S798&gt;90),"Alta",IF(AND(C798="CxC",S798&gt;60),"Media",IF(C798="CxC","Baja","")))</f>
        <v/>
      </c>
    </row>
    <row r="799">
      <c r="A799" s="19" t="n"/>
      <c r="F799" s="20" t="n"/>
      <c r="Q799" s="10">
        <f>IF(E799="USD",CONFIG!$B$5,1)</f>
        <v/>
      </c>
      <c r="R799">
        <f>IF(AND(A799&lt;&gt;"",ISNUMBER(A799),B799&lt;&gt;"",C799&lt;&gt;"",OR(E799="USD",E799="CRC"),F799&gt;0,ISNUMBER(Q799),Q799&gt;0),"✓ OK","✗ ERROR: Revisa datos")</f>
        <v/>
      </c>
      <c r="S799" s="6">
        <f>IF(A799&lt;&gt;"",TODAY()-A799,"")</f>
        <v/>
      </c>
      <c r="T799" s="4">
        <f>IF(E799="USD",F799,IF(E799="CRC",F799/CONFIG!$B$5,""))</f>
        <v/>
      </c>
      <c r="U799" s="19">
        <f>IF(A799&lt;&gt;"",A799+30,"")</f>
        <v/>
      </c>
      <c r="V799">
        <f>IF(AND(C799="CxP",S799&gt;60),"Alta",IF(AND(C799="CxP",S799&gt;30),"Media",IF(C799="CxP","Baja","")))</f>
        <v/>
      </c>
      <c r="W799">
        <f>IF(AND(C799="CxC",S799&gt;90),"Alta",IF(AND(C799="CxC",S799&gt;60),"Media",IF(C799="CxC","Baja","")))</f>
        <v/>
      </c>
    </row>
    <row r="800">
      <c r="A800" s="19" t="n"/>
      <c r="F800" s="20" t="n"/>
      <c r="Q800" s="10">
        <f>IF(E800="USD",CONFIG!$B$5,1)</f>
        <v/>
      </c>
      <c r="R800">
        <f>IF(AND(A800&lt;&gt;"",ISNUMBER(A800),B800&lt;&gt;"",C800&lt;&gt;"",OR(E800="USD",E800="CRC"),F800&gt;0,ISNUMBER(Q800),Q800&gt;0),"✓ OK","✗ ERROR: Revisa datos")</f>
        <v/>
      </c>
      <c r="S800" s="6">
        <f>IF(A800&lt;&gt;"",TODAY()-A800,"")</f>
        <v/>
      </c>
      <c r="T800" s="4">
        <f>IF(E800="USD",F800,IF(E800="CRC",F800/CONFIG!$B$5,""))</f>
        <v/>
      </c>
      <c r="U800" s="19">
        <f>IF(A800&lt;&gt;"",A800+30,"")</f>
        <v/>
      </c>
      <c r="V800">
        <f>IF(AND(C800="CxP",S800&gt;60),"Alta",IF(AND(C800="CxP",S800&gt;30),"Media",IF(C800="CxP","Baja","")))</f>
        <v/>
      </c>
      <c r="W800">
        <f>IF(AND(C800="CxC",S800&gt;90),"Alta",IF(AND(C800="CxC",S800&gt;60),"Media",IF(C800="CxC","Baja","")))</f>
        <v/>
      </c>
    </row>
    <row r="801">
      <c r="A801" s="19" t="n"/>
      <c r="F801" s="20" t="n"/>
      <c r="Q801" s="10">
        <f>IF(E801="USD",CONFIG!$B$5,1)</f>
        <v/>
      </c>
      <c r="R801">
        <f>IF(AND(A801&lt;&gt;"",ISNUMBER(A801),B801&lt;&gt;"",C801&lt;&gt;"",OR(E801="USD",E801="CRC"),F801&gt;0,ISNUMBER(Q801),Q801&gt;0),"✓ OK","✗ ERROR: Revisa datos")</f>
        <v/>
      </c>
      <c r="S801" s="6">
        <f>IF(A801&lt;&gt;"",TODAY()-A801,"")</f>
        <v/>
      </c>
      <c r="T801" s="4">
        <f>IF(E801="USD",F801,IF(E801="CRC",F801/CONFIG!$B$5,""))</f>
        <v/>
      </c>
      <c r="U801" s="19">
        <f>IF(A801&lt;&gt;"",A801+30,"")</f>
        <v/>
      </c>
      <c r="V801">
        <f>IF(AND(C801="CxP",S801&gt;60),"Alta",IF(AND(C801="CxP",S801&gt;30),"Media",IF(C801="CxP","Baja","")))</f>
        <v/>
      </c>
      <c r="W801">
        <f>IF(AND(C801="CxC",S801&gt;90),"Alta",IF(AND(C801="CxC",S801&gt;60),"Media",IF(C801="CxC","Baja","")))</f>
        <v/>
      </c>
    </row>
    <row r="802">
      <c r="A802" s="19" t="n"/>
      <c r="F802" s="20" t="n"/>
      <c r="Q802" s="10">
        <f>IF(E802="USD",CONFIG!$B$5,1)</f>
        <v/>
      </c>
      <c r="R802">
        <f>IF(AND(A802&lt;&gt;"",ISNUMBER(A802),B802&lt;&gt;"",C802&lt;&gt;"",OR(E802="USD",E802="CRC"),F802&gt;0,ISNUMBER(Q802),Q802&gt;0),"✓ OK","✗ ERROR: Revisa datos")</f>
        <v/>
      </c>
      <c r="S802" s="6">
        <f>IF(A802&lt;&gt;"",TODAY()-A802,"")</f>
        <v/>
      </c>
      <c r="T802" s="4">
        <f>IF(E802="USD",F802,IF(E802="CRC",F802/CONFIG!$B$5,""))</f>
        <v/>
      </c>
      <c r="U802" s="19">
        <f>IF(A802&lt;&gt;"",A802+30,"")</f>
        <v/>
      </c>
      <c r="V802">
        <f>IF(AND(C802="CxP",S802&gt;60),"Alta",IF(AND(C802="CxP",S802&gt;30),"Media",IF(C802="CxP","Baja","")))</f>
        <v/>
      </c>
      <c r="W802">
        <f>IF(AND(C802="CxC",S802&gt;90),"Alta",IF(AND(C802="CxC",S802&gt;60),"Media",IF(C802="CxC","Baja","")))</f>
        <v/>
      </c>
    </row>
    <row r="803">
      <c r="A803" s="19" t="n"/>
      <c r="F803" s="20" t="n"/>
      <c r="Q803" s="10">
        <f>IF(E803="USD",CONFIG!$B$5,1)</f>
        <v/>
      </c>
      <c r="R803">
        <f>IF(AND(A803&lt;&gt;"",ISNUMBER(A803),B803&lt;&gt;"",C803&lt;&gt;"",OR(E803="USD",E803="CRC"),F803&gt;0,ISNUMBER(Q803),Q803&gt;0),"✓ OK","✗ ERROR: Revisa datos")</f>
        <v/>
      </c>
      <c r="S803" s="6">
        <f>IF(A803&lt;&gt;"",TODAY()-A803,"")</f>
        <v/>
      </c>
      <c r="T803" s="4">
        <f>IF(E803="USD",F803,IF(E803="CRC",F803/CONFIG!$B$5,""))</f>
        <v/>
      </c>
      <c r="U803" s="19">
        <f>IF(A803&lt;&gt;"",A803+30,"")</f>
        <v/>
      </c>
      <c r="V803">
        <f>IF(AND(C803="CxP",S803&gt;60),"Alta",IF(AND(C803="CxP",S803&gt;30),"Media",IF(C803="CxP","Baja","")))</f>
        <v/>
      </c>
      <c r="W803">
        <f>IF(AND(C803="CxC",S803&gt;90),"Alta",IF(AND(C803="CxC",S803&gt;60),"Media",IF(C803="CxC","Baja","")))</f>
        <v/>
      </c>
    </row>
    <row r="804">
      <c r="A804" s="19" t="n"/>
      <c r="F804" s="20" t="n"/>
      <c r="Q804" s="10">
        <f>IF(E804="USD",CONFIG!$B$5,1)</f>
        <v/>
      </c>
      <c r="R804">
        <f>IF(AND(A804&lt;&gt;"",ISNUMBER(A804),B804&lt;&gt;"",C804&lt;&gt;"",OR(E804="USD",E804="CRC"),F804&gt;0,ISNUMBER(Q804),Q804&gt;0),"✓ OK","✗ ERROR: Revisa datos")</f>
        <v/>
      </c>
      <c r="S804" s="6">
        <f>IF(A804&lt;&gt;"",TODAY()-A804,"")</f>
        <v/>
      </c>
      <c r="T804" s="4">
        <f>IF(E804="USD",F804,IF(E804="CRC",F804/CONFIG!$B$5,""))</f>
        <v/>
      </c>
      <c r="U804" s="19">
        <f>IF(A804&lt;&gt;"",A804+30,"")</f>
        <v/>
      </c>
      <c r="V804">
        <f>IF(AND(C804="CxP",S804&gt;60),"Alta",IF(AND(C804="CxP",S804&gt;30),"Media",IF(C804="CxP","Baja","")))</f>
        <v/>
      </c>
      <c r="W804">
        <f>IF(AND(C804="CxC",S804&gt;90),"Alta",IF(AND(C804="CxC",S804&gt;60),"Media",IF(C804="CxC","Baja","")))</f>
        <v/>
      </c>
    </row>
    <row r="805">
      <c r="A805" s="19" t="n"/>
      <c r="F805" s="20" t="n"/>
      <c r="Q805" s="10">
        <f>IF(E805="USD",CONFIG!$B$5,1)</f>
        <v/>
      </c>
      <c r="R805">
        <f>IF(AND(A805&lt;&gt;"",ISNUMBER(A805),B805&lt;&gt;"",C805&lt;&gt;"",OR(E805="USD",E805="CRC"),F805&gt;0,ISNUMBER(Q805),Q805&gt;0),"✓ OK","✗ ERROR: Revisa datos")</f>
        <v/>
      </c>
      <c r="S805" s="6">
        <f>IF(A805&lt;&gt;"",TODAY()-A805,"")</f>
        <v/>
      </c>
      <c r="T805" s="4">
        <f>IF(E805="USD",F805,IF(E805="CRC",F805/CONFIG!$B$5,""))</f>
        <v/>
      </c>
      <c r="U805" s="19">
        <f>IF(A805&lt;&gt;"",A805+30,"")</f>
        <v/>
      </c>
      <c r="V805">
        <f>IF(AND(C805="CxP",S805&gt;60),"Alta",IF(AND(C805="CxP",S805&gt;30),"Media",IF(C805="CxP","Baja","")))</f>
        <v/>
      </c>
      <c r="W805">
        <f>IF(AND(C805="CxC",S805&gt;90),"Alta",IF(AND(C805="CxC",S805&gt;60),"Media",IF(C805="CxC","Baja","")))</f>
        <v/>
      </c>
    </row>
    <row r="806">
      <c r="A806" s="19" t="n"/>
      <c r="F806" s="20" t="n"/>
      <c r="Q806" s="10">
        <f>IF(E806="USD",CONFIG!$B$5,1)</f>
        <v/>
      </c>
      <c r="R806">
        <f>IF(AND(A806&lt;&gt;"",ISNUMBER(A806),B806&lt;&gt;"",C806&lt;&gt;"",OR(E806="USD",E806="CRC"),F806&gt;0,ISNUMBER(Q806),Q806&gt;0),"✓ OK","✗ ERROR: Revisa datos")</f>
        <v/>
      </c>
      <c r="S806" s="6">
        <f>IF(A806&lt;&gt;"",TODAY()-A806,"")</f>
        <v/>
      </c>
      <c r="T806" s="4">
        <f>IF(E806="USD",F806,IF(E806="CRC",F806/CONFIG!$B$5,""))</f>
        <v/>
      </c>
      <c r="U806" s="19">
        <f>IF(A806&lt;&gt;"",A806+30,"")</f>
        <v/>
      </c>
      <c r="V806">
        <f>IF(AND(C806="CxP",S806&gt;60),"Alta",IF(AND(C806="CxP",S806&gt;30),"Media",IF(C806="CxP","Baja","")))</f>
        <v/>
      </c>
      <c r="W806">
        <f>IF(AND(C806="CxC",S806&gt;90),"Alta",IF(AND(C806="CxC",S806&gt;60),"Media",IF(C806="CxC","Baja","")))</f>
        <v/>
      </c>
    </row>
    <row r="807">
      <c r="A807" s="19" t="n"/>
      <c r="F807" s="20" t="n"/>
      <c r="Q807" s="10">
        <f>IF(E807="USD",CONFIG!$B$5,1)</f>
        <v/>
      </c>
      <c r="R807">
        <f>IF(AND(A807&lt;&gt;"",ISNUMBER(A807),B807&lt;&gt;"",C807&lt;&gt;"",OR(E807="USD",E807="CRC"),F807&gt;0,ISNUMBER(Q807),Q807&gt;0),"✓ OK","✗ ERROR: Revisa datos")</f>
        <v/>
      </c>
      <c r="S807" s="6">
        <f>IF(A807&lt;&gt;"",TODAY()-A807,"")</f>
        <v/>
      </c>
      <c r="T807" s="4">
        <f>IF(E807="USD",F807,IF(E807="CRC",F807/CONFIG!$B$5,""))</f>
        <v/>
      </c>
      <c r="U807" s="19">
        <f>IF(A807&lt;&gt;"",A807+30,"")</f>
        <v/>
      </c>
      <c r="V807">
        <f>IF(AND(C807="CxP",S807&gt;60),"Alta",IF(AND(C807="CxP",S807&gt;30),"Media",IF(C807="CxP","Baja","")))</f>
        <v/>
      </c>
      <c r="W807">
        <f>IF(AND(C807="CxC",S807&gt;90),"Alta",IF(AND(C807="CxC",S807&gt;60),"Media",IF(C807="CxC","Baja","")))</f>
        <v/>
      </c>
    </row>
    <row r="808">
      <c r="A808" s="19" t="n"/>
      <c r="F808" s="20" t="n"/>
      <c r="Q808" s="10">
        <f>IF(E808="USD",CONFIG!$B$5,1)</f>
        <v/>
      </c>
      <c r="R808">
        <f>IF(AND(A808&lt;&gt;"",ISNUMBER(A808),B808&lt;&gt;"",C808&lt;&gt;"",OR(E808="USD",E808="CRC"),F808&gt;0,ISNUMBER(Q808),Q808&gt;0),"✓ OK","✗ ERROR: Revisa datos")</f>
        <v/>
      </c>
      <c r="S808" s="6">
        <f>IF(A808&lt;&gt;"",TODAY()-A808,"")</f>
        <v/>
      </c>
      <c r="T808" s="4">
        <f>IF(E808="USD",F808,IF(E808="CRC",F808/CONFIG!$B$5,""))</f>
        <v/>
      </c>
      <c r="U808" s="19">
        <f>IF(A808&lt;&gt;"",A808+30,"")</f>
        <v/>
      </c>
      <c r="V808">
        <f>IF(AND(C808="CxP",S808&gt;60),"Alta",IF(AND(C808="CxP",S808&gt;30),"Media",IF(C808="CxP","Baja","")))</f>
        <v/>
      </c>
      <c r="W808">
        <f>IF(AND(C808="CxC",S808&gt;90),"Alta",IF(AND(C808="CxC",S808&gt;60),"Media",IF(C808="CxC","Baja","")))</f>
        <v/>
      </c>
    </row>
    <row r="809">
      <c r="A809" s="19" t="n"/>
      <c r="F809" s="20" t="n"/>
      <c r="Q809" s="10">
        <f>IF(E809="USD",CONFIG!$B$5,1)</f>
        <v/>
      </c>
      <c r="R809">
        <f>IF(AND(A809&lt;&gt;"",ISNUMBER(A809),B809&lt;&gt;"",C809&lt;&gt;"",OR(E809="USD",E809="CRC"),F809&gt;0,ISNUMBER(Q809),Q809&gt;0),"✓ OK","✗ ERROR: Revisa datos")</f>
        <v/>
      </c>
      <c r="S809" s="6">
        <f>IF(A809&lt;&gt;"",TODAY()-A809,"")</f>
        <v/>
      </c>
      <c r="T809" s="4">
        <f>IF(E809="USD",F809,IF(E809="CRC",F809/CONFIG!$B$5,""))</f>
        <v/>
      </c>
      <c r="U809" s="19">
        <f>IF(A809&lt;&gt;"",A809+30,"")</f>
        <v/>
      </c>
      <c r="V809">
        <f>IF(AND(C809="CxP",S809&gt;60),"Alta",IF(AND(C809="CxP",S809&gt;30),"Media",IF(C809="CxP","Baja","")))</f>
        <v/>
      </c>
      <c r="W809">
        <f>IF(AND(C809="CxC",S809&gt;90),"Alta",IF(AND(C809="CxC",S809&gt;60),"Media",IF(C809="CxC","Baja","")))</f>
        <v/>
      </c>
    </row>
    <row r="810">
      <c r="A810" s="19" t="n"/>
      <c r="F810" s="20" t="n"/>
      <c r="Q810" s="10">
        <f>IF(E810="USD",CONFIG!$B$5,1)</f>
        <v/>
      </c>
      <c r="R810">
        <f>IF(AND(A810&lt;&gt;"",ISNUMBER(A810),B810&lt;&gt;"",C810&lt;&gt;"",OR(E810="USD",E810="CRC"),F810&gt;0,ISNUMBER(Q810),Q810&gt;0),"✓ OK","✗ ERROR: Revisa datos")</f>
        <v/>
      </c>
      <c r="S810" s="6">
        <f>IF(A810&lt;&gt;"",TODAY()-A810,"")</f>
        <v/>
      </c>
      <c r="T810" s="4">
        <f>IF(E810="USD",F810,IF(E810="CRC",F810/CONFIG!$B$5,""))</f>
        <v/>
      </c>
      <c r="U810" s="19">
        <f>IF(A810&lt;&gt;"",A810+30,"")</f>
        <v/>
      </c>
      <c r="V810">
        <f>IF(AND(C810="CxP",S810&gt;60),"Alta",IF(AND(C810="CxP",S810&gt;30),"Media",IF(C810="CxP","Baja","")))</f>
        <v/>
      </c>
      <c r="W810">
        <f>IF(AND(C810="CxC",S810&gt;90),"Alta",IF(AND(C810="CxC",S810&gt;60),"Media",IF(C810="CxC","Baja","")))</f>
        <v/>
      </c>
    </row>
    <row r="811">
      <c r="A811" s="19" t="n"/>
      <c r="F811" s="20" t="n"/>
      <c r="Q811" s="10">
        <f>IF(E811="USD",CONFIG!$B$5,1)</f>
        <v/>
      </c>
      <c r="R811">
        <f>IF(AND(A811&lt;&gt;"",ISNUMBER(A811),B811&lt;&gt;"",C811&lt;&gt;"",OR(E811="USD",E811="CRC"),F811&gt;0,ISNUMBER(Q811),Q811&gt;0),"✓ OK","✗ ERROR: Revisa datos")</f>
        <v/>
      </c>
      <c r="S811" s="6">
        <f>IF(A811&lt;&gt;"",TODAY()-A811,"")</f>
        <v/>
      </c>
      <c r="T811" s="4">
        <f>IF(E811="USD",F811,IF(E811="CRC",F811/CONFIG!$B$5,""))</f>
        <v/>
      </c>
      <c r="U811" s="19">
        <f>IF(A811&lt;&gt;"",A811+30,"")</f>
        <v/>
      </c>
      <c r="V811">
        <f>IF(AND(C811="CxP",S811&gt;60),"Alta",IF(AND(C811="CxP",S811&gt;30),"Media",IF(C811="CxP","Baja","")))</f>
        <v/>
      </c>
      <c r="W811">
        <f>IF(AND(C811="CxC",S811&gt;90),"Alta",IF(AND(C811="CxC",S811&gt;60),"Media",IF(C811="CxC","Baja","")))</f>
        <v/>
      </c>
    </row>
    <row r="812">
      <c r="A812" s="19" t="n"/>
      <c r="F812" s="20" t="n"/>
      <c r="Q812" s="10">
        <f>IF(E812="USD",CONFIG!$B$5,1)</f>
        <v/>
      </c>
      <c r="R812">
        <f>IF(AND(A812&lt;&gt;"",ISNUMBER(A812),B812&lt;&gt;"",C812&lt;&gt;"",OR(E812="USD",E812="CRC"),F812&gt;0,ISNUMBER(Q812),Q812&gt;0),"✓ OK","✗ ERROR: Revisa datos")</f>
        <v/>
      </c>
      <c r="S812" s="6">
        <f>IF(A812&lt;&gt;"",TODAY()-A812,"")</f>
        <v/>
      </c>
      <c r="T812" s="4">
        <f>IF(E812="USD",F812,IF(E812="CRC",F812/CONFIG!$B$5,""))</f>
        <v/>
      </c>
      <c r="U812" s="19">
        <f>IF(A812&lt;&gt;"",A812+30,"")</f>
        <v/>
      </c>
      <c r="V812">
        <f>IF(AND(C812="CxP",S812&gt;60),"Alta",IF(AND(C812="CxP",S812&gt;30),"Media",IF(C812="CxP","Baja","")))</f>
        <v/>
      </c>
      <c r="W812">
        <f>IF(AND(C812="CxC",S812&gt;90),"Alta",IF(AND(C812="CxC",S812&gt;60),"Media",IF(C812="CxC","Baja","")))</f>
        <v/>
      </c>
    </row>
    <row r="813">
      <c r="A813" s="19" t="n"/>
      <c r="F813" s="20" t="n"/>
      <c r="Q813" s="10">
        <f>IF(E813="USD",CONFIG!$B$5,1)</f>
        <v/>
      </c>
      <c r="R813">
        <f>IF(AND(A813&lt;&gt;"",ISNUMBER(A813),B813&lt;&gt;"",C813&lt;&gt;"",OR(E813="USD",E813="CRC"),F813&gt;0,ISNUMBER(Q813),Q813&gt;0),"✓ OK","✗ ERROR: Revisa datos")</f>
        <v/>
      </c>
      <c r="S813" s="6">
        <f>IF(A813&lt;&gt;"",TODAY()-A813,"")</f>
        <v/>
      </c>
      <c r="T813" s="4">
        <f>IF(E813="USD",F813,IF(E813="CRC",F813/CONFIG!$B$5,""))</f>
        <v/>
      </c>
      <c r="U813" s="19">
        <f>IF(A813&lt;&gt;"",A813+30,"")</f>
        <v/>
      </c>
      <c r="V813">
        <f>IF(AND(C813="CxP",S813&gt;60),"Alta",IF(AND(C813="CxP",S813&gt;30),"Media",IF(C813="CxP","Baja","")))</f>
        <v/>
      </c>
      <c r="W813">
        <f>IF(AND(C813="CxC",S813&gt;90),"Alta",IF(AND(C813="CxC",S813&gt;60),"Media",IF(C813="CxC","Baja","")))</f>
        <v/>
      </c>
    </row>
    <row r="814">
      <c r="A814" s="19" t="n"/>
      <c r="F814" s="20" t="n"/>
      <c r="Q814" s="10">
        <f>IF(E814="USD",CONFIG!$B$5,1)</f>
        <v/>
      </c>
      <c r="R814">
        <f>IF(AND(A814&lt;&gt;"",ISNUMBER(A814),B814&lt;&gt;"",C814&lt;&gt;"",OR(E814="USD",E814="CRC"),F814&gt;0,ISNUMBER(Q814),Q814&gt;0),"✓ OK","✗ ERROR: Revisa datos")</f>
        <v/>
      </c>
      <c r="S814" s="6">
        <f>IF(A814&lt;&gt;"",TODAY()-A814,"")</f>
        <v/>
      </c>
      <c r="T814" s="4">
        <f>IF(E814="USD",F814,IF(E814="CRC",F814/CONFIG!$B$5,""))</f>
        <v/>
      </c>
      <c r="U814" s="19">
        <f>IF(A814&lt;&gt;"",A814+30,"")</f>
        <v/>
      </c>
      <c r="V814">
        <f>IF(AND(C814="CxP",S814&gt;60),"Alta",IF(AND(C814="CxP",S814&gt;30),"Media",IF(C814="CxP","Baja","")))</f>
        <v/>
      </c>
      <c r="W814">
        <f>IF(AND(C814="CxC",S814&gt;90),"Alta",IF(AND(C814="CxC",S814&gt;60),"Media",IF(C814="CxC","Baja","")))</f>
        <v/>
      </c>
    </row>
    <row r="815">
      <c r="A815" s="19" t="n"/>
      <c r="F815" s="20" t="n"/>
      <c r="Q815" s="10">
        <f>IF(E815="USD",CONFIG!$B$5,1)</f>
        <v/>
      </c>
      <c r="R815">
        <f>IF(AND(A815&lt;&gt;"",ISNUMBER(A815),B815&lt;&gt;"",C815&lt;&gt;"",OR(E815="USD",E815="CRC"),F815&gt;0,ISNUMBER(Q815),Q815&gt;0),"✓ OK","✗ ERROR: Revisa datos")</f>
        <v/>
      </c>
      <c r="S815" s="6">
        <f>IF(A815&lt;&gt;"",TODAY()-A815,"")</f>
        <v/>
      </c>
      <c r="T815" s="4">
        <f>IF(E815="USD",F815,IF(E815="CRC",F815/CONFIG!$B$5,""))</f>
        <v/>
      </c>
      <c r="U815" s="19">
        <f>IF(A815&lt;&gt;"",A815+30,"")</f>
        <v/>
      </c>
      <c r="V815">
        <f>IF(AND(C815="CxP",S815&gt;60),"Alta",IF(AND(C815="CxP",S815&gt;30),"Media",IF(C815="CxP","Baja","")))</f>
        <v/>
      </c>
      <c r="W815">
        <f>IF(AND(C815="CxC",S815&gt;90),"Alta",IF(AND(C815="CxC",S815&gt;60),"Media",IF(C815="CxC","Baja","")))</f>
        <v/>
      </c>
    </row>
    <row r="816">
      <c r="A816" s="19" t="n"/>
      <c r="F816" s="20" t="n"/>
      <c r="Q816" s="10">
        <f>IF(E816="USD",CONFIG!$B$5,1)</f>
        <v/>
      </c>
      <c r="R816">
        <f>IF(AND(A816&lt;&gt;"",ISNUMBER(A816),B816&lt;&gt;"",C816&lt;&gt;"",OR(E816="USD",E816="CRC"),F816&gt;0,ISNUMBER(Q816),Q816&gt;0),"✓ OK","✗ ERROR: Revisa datos")</f>
        <v/>
      </c>
      <c r="S816" s="6">
        <f>IF(A816&lt;&gt;"",TODAY()-A816,"")</f>
        <v/>
      </c>
      <c r="T816" s="4">
        <f>IF(E816="USD",F816,IF(E816="CRC",F816/CONFIG!$B$5,""))</f>
        <v/>
      </c>
      <c r="U816" s="19">
        <f>IF(A816&lt;&gt;"",A816+30,"")</f>
        <v/>
      </c>
      <c r="V816">
        <f>IF(AND(C816="CxP",S816&gt;60),"Alta",IF(AND(C816="CxP",S816&gt;30),"Media",IF(C816="CxP","Baja","")))</f>
        <v/>
      </c>
      <c r="W816">
        <f>IF(AND(C816="CxC",S816&gt;90),"Alta",IF(AND(C816="CxC",S816&gt;60),"Media",IF(C816="CxC","Baja","")))</f>
        <v/>
      </c>
    </row>
    <row r="817">
      <c r="A817" s="19" t="n"/>
      <c r="F817" s="20" t="n"/>
      <c r="Q817" s="10">
        <f>IF(E817="USD",CONFIG!$B$5,1)</f>
        <v/>
      </c>
      <c r="R817">
        <f>IF(AND(A817&lt;&gt;"",ISNUMBER(A817),B817&lt;&gt;"",C817&lt;&gt;"",OR(E817="USD",E817="CRC"),F817&gt;0,ISNUMBER(Q817),Q817&gt;0),"✓ OK","✗ ERROR: Revisa datos")</f>
        <v/>
      </c>
      <c r="S817" s="6">
        <f>IF(A817&lt;&gt;"",TODAY()-A817,"")</f>
        <v/>
      </c>
      <c r="T817" s="4">
        <f>IF(E817="USD",F817,IF(E817="CRC",F817/CONFIG!$B$5,""))</f>
        <v/>
      </c>
      <c r="U817" s="19">
        <f>IF(A817&lt;&gt;"",A817+30,"")</f>
        <v/>
      </c>
      <c r="V817">
        <f>IF(AND(C817="CxP",S817&gt;60),"Alta",IF(AND(C817="CxP",S817&gt;30),"Media",IF(C817="CxP","Baja","")))</f>
        <v/>
      </c>
      <c r="W817">
        <f>IF(AND(C817="CxC",S817&gt;90),"Alta",IF(AND(C817="CxC",S817&gt;60),"Media",IF(C817="CxC","Baja","")))</f>
        <v/>
      </c>
    </row>
    <row r="818">
      <c r="A818" s="19" t="n"/>
      <c r="F818" s="20" t="n"/>
      <c r="Q818" s="10">
        <f>IF(E818="USD",CONFIG!$B$5,1)</f>
        <v/>
      </c>
      <c r="R818">
        <f>IF(AND(A818&lt;&gt;"",ISNUMBER(A818),B818&lt;&gt;"",C818&lt;&gt;"",OR(E818="USD",E818="CRC"),F818&gt;0,ISNUMBER(Q818),Q818&gt;0),"✓ OK","✗ ERROR: Revisa datos")</f>
        <v/>
      </c>
      <c r="S818" s="6">
        <f>IF(A818&lt;&gt;"",TODAY()-A818,"")</f>
        <v/>
      </c>
      <c r="T818" s="4">
        <f>IF(E818="USD",F818,IF(E818="CRC",F818/CONFIG!$B$5,""))</f>
        <v/>
      </c>
      <c r="U818" s="19">
        <f>IF(A818&lt;&gt;"",A818+30,"")</f>
        <v/>
      </c>
      <c r="V818">
        <f>IF(AND(C818="CxP",S818&gt;60),"Alta",IF(AND(C818="CxP",S818&gt;30),"Media",IF(C818="CxP","Baja","")))</f>
        <v/>
      </c>
      <c r="W818">
        <f>IF(AND(C818="CxC",S818&gt;90),"Alta",IF(AND(C818="CxC",S818&gt;60),"Media",IF(C818="CxC","Baja","")))</f>
        <v/>
      </c>
    </row>
    <row r="819">
      <c r="A819" s="19" t="n"/>
      <c r="F819" s="20" t="n"/>
      <c r="Q819" s="10">
        <f>IF(E819="USD",CONFIG!$B$5,1)</f>
        <v/>
      </c>
      <c r="R819">
        <f>IF(AND(A819&lt;&gt;"",ISNUMBER(A819),B819&lt;&gt;"",C819&lt;&gt;"",OR(E819="USD",E819="CRC"),F819&gt;0,ISNUMBER(Q819),Q819&gt;0),"✓ OK","✗ ERROR: Revisa datos")</f>
        <v/>
      </c>
      <c r="S819" s="6">
        <f>IF(A819&lt;&gt;"",TODAY()-A819,"")</f>
        <v/>
      </c>
      <c r="T819" s="4">
        <f>IF(E819="USD",F819,IF(E819="CRC",F819/CONFIG!$B$5,""))</f>
        <v/>
      </c>
      <c r="U819" s="19">
        <f>IF(A819&lt;&gt;"",A819+30,"")</f>
        <v/>
      </c>
      <c r="V819">
        <f>IF(AND(C819="CxP",S819&gt;60),"Alta",IF(AND(C819="CxP",S819&gt;30),"Media",IF(C819="CxP","Baja","")))</f>
        <v/>
      </c>
      <c r="W819">
        <f>IF(AND(C819="CxC",S819&gt;90),"Alta",IF(AND(C819="CxC",S819&gt;60),"Media",IF(C819="CxC","Baja","")))</f>
        <v/>
      </c>
    </row>
    <row r="820">
      <c r="A820" s="19" t="n"/>
      <c r="F820" s="20" t="n"/>
      <c r="Q820" s="10">
        <f>IF(E820="USD",CONFIG!$B$5,1)</f>
        <v/>
      </c>
      <c r="R820">
        <f>IF(AND(A820&lt;&gt;"",ISNUMBER(A820),B820&lt;&gt;"",C820&lt;&gt;"",OR(E820="USD",E820="CRC"),F820&gt;0,ISNUMBER(Q820),Q820&gt;0),"✓ OK","✗ ERROR: Revisa datos")</f>
        <v/>
      </c>
      <c r="S820" s="6">
        <f>IF(A820&lt;&gt;"",TODAY()-A820,"")</f>
        <v/>
      </c>
      <c r="T820" s="4">
        <f>IF(E820="USD",F820,IF(E820="CRC",F820/CONFIG!$B$5,""))</f>
        <v/>
      </c>
      <c r="U820" s="19">
        <f>IF(A820&lt;&gt;"",A820+30,"")</f>
        <v/>
      </c>
      <c r="V820">
        <f>IF(AND(C820="CxP",S820&gt;60),"Alta",IF(AND(C820="CxP",S820&gt;30),"Media",IF(C820="CxP","Baja","")))</f>
        <v/>
      </c>
      <c r="W820">
        <f>IF(AND(C820="CxC",S820&gt;90),"Alta",IF(AND(C820="CxC",S820&gt;60),"Media",IF(C820="CxC","Baja","")))</f>
        <v/>
      </c>
    </row>
    <row r="821">
      <c r="A821" s="19" t="n"/>
      <c r="F821" s="20" t="n"/>
      <c r="Q821" s="10">
        <f>IF(E821="USD",CONFIG!$B$5,1)</f>
        <v/>
      </c>
      <c r="R821">
        <f>IF(AND(A821&lt;&gt;"",ISNUMBER(A821),B821&lt;&gt;"",C821&lt;&gt;"",OR(E821="USD",E821="CRC"),F821&gt;0,ISNUMBER(Q821),Q821&gt;0),"✓ OK","✗ ERROR: Revisa datos")</f>
        <v/>
      </c>
      <c r="S821" s="6">
        <f>IF(A821&lt;&gt;"",TODAY()-A821,"")</f>
        <v/>
      </c>
      <c r="T821" s="4">
        <f>IF(E821="USD",F821,IF(E821="CRC",F821/CONFIG!$B$5,""))</f>
        <v/>
      </c>
      <c r="U821" s="19">
        <f>IF(A821&lt;&gt;"",A821+30,"")</f>
        <v/>
      </c>
      <c r="V821">
        <f>IF(AND(C821="CxP",S821&gt;60),"Alta",IF(AND(C821="CxP",S821&gt;30),"Media",IF(C821="CxP","Baja","")))</f>
        <v/>
      </c>
      <c r="W821">
        <f>IF(AND(C821="CxC",S821&gt;90),"Alta",IF(AND(C821="CxC",S821&gt;60),"Media",IF(C821="CxC","Baja","")))</f>
        <v/>
      </c>
    </row>
    <row r="822">
      <c r="A822" s="19" t="n"/>
      <c r="F822" s="20" t="n"/>
      <c r="Q822" s="10">
        <f>IF(E822="USD",CONFIG!$B$5,1)</f>
        <v/>
      </c>
      <c r="R822">
        <f>IF(AND(A822&lt;&gt;"",ISNUMBER(A822),B822&lt;&gt;"",C822&lt;&gt;"",OR(E822="USD",E822="CRC"),F822&gt;0,ISNUMBER(Q822),Q822&gt;0),"✓ OK","✗ ERROR: Revisa datos")</f>
        <v/>
      </c>
      <c r="S822" s="6">
        <f>IF(A822&lt;&gt;"",TODAY()-A822,"")</f>
        <v/>
      </c>
      <c r="T822" s="4">
        <f>IF(E822="USD",F822,IF(E822="CRC",F822/CONFIG!$B$5,""))</f>
        <v/>
      </c>
      <c r="U822" s="19">
        <f>IF(A822&lt;&gt;"",A822+30,"")</f>
        <v/>
      </c>
      <c r="V822">
        <f>IF(AND(C822="CxP",S822&gt;60),"Alta",IF(AND(C822="CxP",S822&gt;30),"Media",IF(C822="CxP","Baja","")))</f>
        <v/>
      </c>
      <c r="W822">
        <f>IF(AND(C822="CxC",S822&gt;90),"Alta",IF(AND(C822="CxC",S822&gt;60),"Media",IF(C822="CxC","Baja","")))</f>
        <v/>
      </c>
    </row>
    <row r="823">
      <c r="A823" s="19" t="n"/>
      <c r="F823" s="20" t="n"/>
      <c r="Q823" s="10">
        <f>IF(E823="USD",CONFIG!$B$5,1)</f>
        <v/>
      </c>
      <c r="R823">
        <f>IF(AND(A823&lt;&gt;"",ISNUMBER(A823),B823&lt;&gt;"",C823&lt;&gt;"",OR(E823="USD",E823="CRC"),F823&gt;0,ISNUMBER(Q823),Q823&gt;0),"✓ OK","✗ ERROR: Revisa datos")</f>
        <v/>
      </c>
      <c r="S823" s="6">
        <f>IF(A823&lt;&gt;"",TODAY()-A823,"")</f>
        <v/>
      </c>
      <c r="T823" s="4">
        <f>IF(E823="USD",F823,IF(E823="CRC",F823/CONFIG!$B$5,""))</f>
        <v/>
      </c>
      <c r="U823" s="19">
        <f>IF(A823&lt;&gt;"",A823+30,"")</f>
        <v/>
      </c>
      <c r="V823">
        <f>IF(AND(C823="CxP",S823&gt;60),"Alta",IF(AND(C823="CxP",S823&gt;30),"Media",IF(C823="CxP","Baja","")))</f>
        <v/>
      </c>
      <c r="W823">
        <f>IF(AND(C823="CxC",S823&gt;90),"Alta",IF(AND(C823="CxC",S823&gt;60),"Media",IF(C823="CxC","Baja","")))</f>
        <v/>
      </c>
    </row>
    <row r="824">
      <c r="A824" s="19" t="n"/>
      <c r="F824" s="20" t="n"/>
      <c r="Q824" s="10">
        <f>IF(E824="USD",CONFIG!$B$5,1)</f>
        <v/>
      </c>
      <c r="R824">
        <f>IF(AND(A824&lt;&gt;"",ISNUMBER(A824),B824&lt;&gt;"",C824&lt;&gt;"",OR(E824="USD",E824="CRC"),F824&gt;0,ISNUMBER(Q824),Q824&gt;0),"✓ OK","✗ ERROR: Revisa datos")</f>
        <v/>
      </c>
      <c r="S824" s="6">
        <f>IF(A824&lt;&gt;"",TODAY()-A824,"")</f>
        <v/>
      </c>
      <c r="T824" s="4">
        <f>IF(E824="USD",F824,IF(E824="CRC",F824/CONFIG!$B$5,""))</f>
        <v/>
      </c>
      <c r="U824" s="19">
        <f>IF(A824&lt;&gt;"",A824+30,"")</f>
        <v/>
      </c>
      <c r="V824">
        <f>IF(AND(C824="CxP",S824&gt;60),"Alta",IF(AND(C824="CxP",S824&gt;30),"Media",IF(C824="CxP","Baja","")))</f>
        <v/>
      </c>
      <c r="W824">
        <f>IF(AND(C824="CxC",S824&gt;90),"Alta",IF(AND(C824="CxC",S824&gt;60),"Media",IF(C824="CxC","Baja","")))</f>
        <v/>
      </c>
    </row>
    <row r="825">
      <c r="A825" s="19" t="n"/>
      <c r="F825" s="20" t="n"/>
      <c r="Q825" s="10">
        <f>IF(E825="USD",CONFIG!$B$5,1)</f>
        <v/>
      </c>
      <c r="R825">
        <f>IF(AND(A825&lt;&gt;"",ISNUMBER(A825),B825&lt;&gt;"",C825&lt;&gt;"",OR(E825="USD",E825="CRC"),F825&gt;0,ISNUMBER(Q825),Q825&gt;0),"✓ OK","✗ ERROR: Revisa datos")</f>
        <v/>
      </c>
      <c r="S825" s="6">
        <f>IF(A825&lt;&gt;"",TODAY()-A825,"")</f>
        <v/>
      </c>
      <c r="T825" s="4">
        <f>IF(E825="USD",F825,IF(E825="CRC",F825/CONFIG!$B$5,""))</f>
        <v/>
      </c>
      <c r="U825" s="19">
        <f>IF(A825&lt;&gt;"",A825+30,"")</f>
        <v/>
      </c>
      <c r="V825">
        <f>IF(AND(C825="CxP",S825&gt;60),"Alta",IF(AND(C825="CxP",S825&gt;30),"Media",IF(C825="CxP","Baja","")))</f>
        <v/>
      </c>
      <c r="W825">
        <f>IF(AND(C825="CxC",S825&gt;90),"Alta",IF(AND(C825="CxC",S825&gt;60),"Media",IF(C825="CxC","Baja","")))</f>
        <v/>
      </c>
    </row>
    <row r="826">
      <c r="A826" s="19" t="n"/>
      <c r="F826" s="20" t="n"/>
      <c r="Q826" s="10">
        <f>IF(E826="USD",CONFIG!$B$5,1)</f>
        <v/>
      </c>
      <c r="R826">
        <f>IF(AND(A826&lt;&gt;"",ISNUMBER(A826),B826&lt;&gt;"",C826&lt;&gt;"",OR(E826="USD",E826="CRC"),F826&gt;0,ISNUMBER(Q826),Q826&gt;0),"✓ OK","✗ ERROR: Revisa datos")</f>
        <v/>
      </c>
      <c r="S826" s="6">
        <f>IF(A826&lt;&gt;"",TODAY()-A826,"")</f>
        <v/>
      </c>
      <c r="T826" s="4">
        <f>IF(E826="USD",F826,IF(E826="CRC",F826/CONFIG!$B$5,""))</f>
        <v/>
      </c>
      <c r="U826" s="19">
        <f>IF(A826&lt;&gt;"",A826+30,"")</f>
        <v/>
      </c>
      <c r="V826">
        <f>IF(AND(C826="CxP",S826&gt;60),"Alta",IF(AND(C826="CxP",S826&gt;30),"Media",IF(C826="CxP","Baja","")))</f>
        <v/>
      </c>
      <c r="W826">
        <f>IF(AND(C826="CxC",S826&gt;90),"Alta",IF(AND(C826="CxC",S826&gt;60),"Media",IF(C826="CxC","Baja","")))</f>
        <v/>
      </c>
    </row>
    <row r="827">
      <c r="A827" s="19" t="n"/>
      <c r="F827" s="20" t="n"/>
      <c r="Q827" s="10">
        <f>IF(E827="USD",CONFIG!$B$5,1)</f>
        <v/>
      </c>
      <c r="R827">
        <f>IF(AND(A827&lt;&gt;"",ISNUMBER(A827),B827&lt;&gt;"",C827&lt;&gt;"",OR(E827="USD",E827="CRC"),F827&gt;0,ISNUMBER(Q827),Q827&gt;0),"✓ OK","✗ ERROR: Revisa datos")</f>
        <v/>
      </c>
      <c r="S827" s="6">
        <f>IF(A827&lt;&gt;"",TODAY()-A827,"")</f>
        <v/>
      </c>
      <c r="T827" s="4">
        <f>IF(E827="USD",F827,IF(E827="CRC",F827/CONFIG!$B$5,""))</f>
        <v/>
      </c>
      <c r="U827" s="19">
        <f>IF(A827&lt;&gt;"",A827+30,"")</f>
        <v/>
      </c>
      <c r="V827">
        <f>IF(AND(C827="CxP",S827&gt;60),"Alta",IF(AND(C827="CxP",S827&gt;30),"Media",IF(C827="CxP","Baja","")))</f>
        <v/>
      </c>
      <c r="W827">
        <f>IF(AND(C827="CxC",S827&gt;90),"Alta",IF(AND(C827="CxC",S827&gt;60),"Media",IF(C827="CxC","Baja","")))</f>
        <v/>
      </c>
    </row>
    <row r="828">
      <c r="A828" s="19" t="n"/>
      <c r="F828" s="20" t="n"/>
      <c r="Q828" s="10">
        <f>IF(E828="USD",CONFIG!$B$5,1)</f>
        <v/>
      </c>
      <c r="R828">
        <f>IF(AND(A828&lt;&gt;"",ISNUMBER(A828),B828&lt;&gt;"",C828&lt;&gt;"",OR(E828="USD",E828="CRC"),F828&gt;0,ISNUMBER(Q828),Q828&gt;0),"✓ OK","✗ ERROR: Revisa datos")</f>
        <v/>
      </c>
      <c r="S828" s="6">
        <f>IF(A828&lt;&gt;"",TODAY()-A828,"")</f>
        <v/>
      </c>
      <c r="T828" s="4">
        <f>IF(E828="USD",F828,IF(E828="CRC",F828/CONFIG!$B$5,""))</f>
        <v/>
      </c>
      <c r="U828" s="19">
        <f>IF(A828&lt;&gt;"",A828+30,"")</f>
        <v/>
      </c>
      <c r="V828">
        <f>IF(AND(C828="CxP",S828&gt;60),"Alta",IF(AND(C828="CxP",S828&gt;30),"Media",IF(C828="CxP","Baja","")))</f>
        <v/>
      </c>
      <c r="W828">
        <f>IF(AND(C828="CxC",S828&gt;90),"Alta",IF(AND(C828="CxC",S828&gt;60),"Media",IF(C828="CxC","Baja","")))</f>
        <v/>
      </c>
    </row>
    <row r="829">
      <c r="A829" s="19" t="n"/>
      <c r="F829" s="20" t="n"/>
      <c r="Q829" s="10">
        <f>IF(E829="USD",CONFIG!$B$5,1)</f>
        <v/>
      </c>
      <c r="R829">
        <f>IF(AND(A829&lt;&gt;"",ISNUMBER(A829),B829&lt;&gt;"",C829&lt;&gt;"",OR(E829="USD",E829="CRC"),F829&gt;0,ISNUMBER(Q829),Q829&gt;0),"✓ OK","✗ ERROR: Revisa datos")</f>
        <v/>
      </c>
      <c r="S829" s="6">
        <f>IF(A829&lt;&gt;"",TODAY()-A829,"")</f>
        <v/>
      </c>
      <c r="T829" s="4">
        <f>IF(E829="USD",F829,IF(E829="CRC",F829/CONFIG!$B$5,""))</f>
        <v/>
      </c>
      <c r="U829" s="19">
        <f>IF(A829&lt;&gt;"",A829+30,"")</f>
        <v/>
      </c>
      <c r="V829">
        <f>IF(AND(C829="CxP",S829&gt;60),"Alta",IF(AND(C829="CxP",S829&gt;30),"Media",IF(C829="CxP","Baja","")))</f>
        <v/>
      </c>
      <c r="W829">
        <f>IF(AND(C829="CxC",S829&gt;90),"Alta",IF(AND(C829="CxC",S829&gt;60),"Media",IF(C829="CxC","Baja","")))</f>
        <v/>
      </c>
    </row>
    <row r="830">
      <c r="A830" s="19" t="n"/>
      <c r="F830" s="20" t="n"/>
      <c r="Q830" s="10">
        <f>IF(E830="USD",CONFIG!$B$5,1)</f>
        <v/>
      </c>
      <c r="R830">
        <f>IF(AND(A830&lt;&gt;"",ISNUMBER(A830),B830&lt;&gt;"",C830&lt;&gt;"",OR(E830="USD",E830="CRC"),F830&gt;0,ISNUMBER(Q830),Q830&gt;0),"✓ OK","✗ ERROR: Revisa datos")</f>
        <v/>
      </c>
      <c r="S830" s="6">
        <f>IF(A830&lt;&gt;"",TODAY()-A830,"")</f>
        <v/>
      </c>
      <c r="T830" s="4">
        <f>IF(E830="USD",F830,IF(E830="CRC",F830/CONFIG!$B$5,""))</f>
        <v/>
      </c>
      <c r="U830" s="19">
        <f>IF(A830&lt;&gt;"",A830+30,"")</f>
        <v/>
      </c>
      <c r="V830">
        <f>IF(AND(C830="CxP",S830&gt;60),"Alta",IF(AND(C830="CxP",S830&gt;30),"Media",IF(C830="CxP","Baja","")))</f>
        <v/>
      </c>
      <c r="W830">
        <f>IF(AND(C830="CxC",S830&gt;90),"Alta",IF(AND(C830="CxC",S830&gt;60),"Media",IF(C830="CxC","Baja","")))</f>
        <v/>
      </c>
    </row>
    <row r="831">
      <c r="A831" s="19" t="n"/>
      <c r="F831" s="20" t="n"/>
      <c r="Q831" s="10">
        <f>IF(E831="USD",CONFIG!$B$5,1)</f>
        <v/>
      </c>
      <c r="R831">
        <f>IF(AND(A831&lt;&gt;"",ISNUMBER(A831),B831&lt;&gt;"",C831&lt;&gt;"",OR(E831="USD",E831="CRC"),F831&gt;0,ISNUMBER(Q831),Q831&gt;0),"✓ OK","✗ ERROR: Revisa datos")</f>
        <v/>
      </c>
      <c r="S831" s="6">
        <f>IF(A831&lt;&gt;"",TODAY()-A831,"")</f>
        <v/>
      </c>
      <c r="T831" s="4">
        <f>IF(E831="USD",F831,IF(E831="CRC",F831/CONFIG!$B$5,""))</f>
        <v/>
      </c>
      <c r="U831" s="19">
        <f>IF(A831&lt;&gt;"",A831+30,"")</f>
        <v/>
      </c>
      <c r="V831">
        <f>IF(AND(C831="CxP",S831&gt;60),"Alta",IF(AND(C831="CxP",S831&gt;30),"Media",IF(C831="CxP","Baja","")))</f>
        <v/>
      </c>
      <c r="W831">
        <f>IF(AND(C831="CxC",S831&gt;90),"Alta",IF(AND(C831="CxC",S831&gt;60),"Media",IF(C831="CxC","Baja","")))</f>
        <v/>
      </c>
    </row>
    <row r="832">
      <c r="A832" s="19" t="n"/>
      <c r="F832" s="20" t="n"/>
      <c r="Q832" s="10">
        <f>IF(E832="USD",CONFIG!$B$5,1)</f>
        <v/>
      </c>
      <c r="R832">
        <f>IF(AND(A832&lt;&gt;"",ISNUMBER(A832),B832&lt;&gt;"",C832&lt;&gt;"",OR(E832="USD",E832="CRC"),F832&gt;0,ISNUMBER(Q832),Q832&gt;0),"✓ OK","✗ ERROR: Revisa datos")</f>
        <v/>
      </c>
      <c r="S832" s="6">
        <f>IF(A832&lt;&gt;"",TODAY()-A832,"")</f>
        <v/>
      </c>
      <c r="T832" s="4">
        <f>IF(E832="USD",F832,IF(E832="CRC",F832/CONFIG!$B$5,""))</f>
        <v/>
      </c>
      <c r="U832" s="19">
        <f>IF(A832&lt;&gt;"",A832+30,"")</f>
        <v/>
      </c>
      <c r="V832">
        <f>IF(AND(C832="CxP",S832&gt;60),"Alta",IF(AND(C832="CxP",S832&gt;30),"Media",IF(C832="CxP","Baja","")))</f>
        <v/>
      </c>
      <c r="W832">
        <f>IF(AND(C832="CxC",S832&gt;90),"Alta",IF(AND(C832="CxC",S832&gt;60),"Media",IF(C832="CxC","Baja","")))</f>
        <v/>
      </c>
    </row>
    <row r="833">
      <c r="A833" s="19" t="n"/>
      <c r="F833" s="20" t="n"/>
      <c r="Q833" s="10">
        <f>IF(E833="USD",CONFIG!$B$5,1)</f>
        <v/>
      </c>
      <c r="R833">
        <f>IF(AND(A833&lt;&gt;"",ISNUMBER(A833),B833&lt;&gt;"",C833&lt;&gt;"",OR(E833="USD",E833="CRC"),F833&gt;0,ISNUMBER(Q833),Q833&gt;0),"✓ OK","✗ ERROR: Revisa datos")</f>
        <v/>
      </c>
      <c r="S833" s="6">
        <f>IF(A833&lt;&gt;"",TODAY()-A833,"")</f>
        <v/>
      </c>
      <c r="T833" s="4">
        <f>IF(E833="USD",F833,IF(E833="CRC",F833/CONFIG!$B$5,""))</f>
        <v/>
      </c>
      <c r="U833" s="19">
        <f>IF(A833&lt;&gt;"",A833+30,"")</f>
        <v/>
      </c>
      <c r="V833">
        <f>IF(AND(C833="CxP",S833&gt;60),"Alta",IF(AND(C833="CxP",S833&gt;30),"Media",IF(C833="CxP","Baja","")))</f>
        <v/>
      </c>
      <c r="W833">
        <f>IF(AND(C833="CxC",S833&gt;90),"Alta",IF(AND(C833="CxC",S833&gt;60),"Media",IF(C833="CxC","Baja","")))</f>
        <v/>
      </c>
    </row>
    <row r="834">
      <c r="A834" s="19" t="n"/>
      <c r="F834" s="20" t="n"/>
      <c r="Q834" s="10">
        <f>IF(E834="USD",CONFIG!$B$5,1)</f>
        <v/>
      </c>
      <c r="R834">
        <f>IF(AND(A834&lt;&gt;"",ISNUMBER(A834),B834&lt;&gt;"",C834&lt;&gt;"",OR(E834="USD",E834="CRC"),F834&gt;0,ISNUMBER(Q834),Q834&gt;0),"✓ OK","✗ ERROR: Revisa datos")</f>
        <v/>
      </c>
      <c r="S834" s="6">
        <f>IF(A834&lt;&gt;"",TODAY()-A834,"")</f>
        <v/>
      </c>
      <c r="T834" s="4">
        <f>IF(E834="USD",F834,IF(E834="CRC",F834/CONFIG!$B$5,""))</f>
        <v/>
      </c>
      <c r="U834" s="19">
        <f>IF(A834&lt;&gt;"",A834+30,"")</f>
        <v/>
      </c>
      <c r="V834">
        <f>IF(AND(C834="CxP",S834&gt;60),"Alta",IF(AND(C834="CxP",S834&gt;30),"Media",IF(C834="CxP","Baja","")))</f>
        <v/>
      </c>
      <c r="W834">
        <f>IF(AND(C834="CxC",S834&gt;90),"Alta",IF(AND(C834="CxC",S834&gt;60),"Media",IF(C834="CxC","Baja","")))</f>
        <v/>
      </c>
    </row>
    <row r="835">
      <c r="A835" s="19" t="n"/>
      <c r="F835" s="20" t="n"/>
      <c r="Q835" s="10">
        <f>IF(E835="USD",CONFIG!$B$5,1)</f>
        <v/>
      </c>
      <c r="R835">
        <f>IF(AND(A835&lt;&gt;"",ISNUMBER(A835),B835&lt;&gt;"",C835&lt;&gt;"",OR(E835="USD",E835="CRC"),F835&gt;0,ISNUMBER(Q835),Q835&gt;0),"✓ OK","✗ ERROR: Revisa datos")</f>
        <v/>
      </c>
      <c r="S835" s="6">
        <f>IF(A835&lt;&gt;"",TODAY()-A835,"")</f>
        <v/>
      </c>
      <c r="T835" s="4">
        <f>IF(E835="USD",F835,IF(E835="CRC",F835/CONFIG!$B$5,""))</f>
        <v/>
      </c>
      <c r="U835" s="19">
        <f>IF(A835&lt;&gt;"",A835+30,"")</f>
        <v/>
      </c>
      <c r="V835">
        <f>IF(AND(C835="CxP",S835&gt;60),"Alta",IF(AND(C835="CxP",S835&gt;30),"Media",IF(C835="CxP","Baja","")))</f>
        <v/>
      </c>
      <c r="W835">
        <f>IF(AND(C835="CxC",S835&gt;90),"Alta",IF(AND(C835="CxC",S835&gt;60),"Media",IF(C835="CxC","Baja","")))</f>
        <v/>
      </c>
    </row>
    <row r="836">
      <c r="A836" s="19" t="n"/>
      <c r="F836" s="20" t="n"/>
      <c r="Q836" s="10">
        <f>IF(E836="USD",CONFIG!$B$5,1)</f>
        <v/>
      </c>
      <c r="R836">
        <f>IF(AND(A836&lt;&gt;"",ISNUMBER(A836),B836&lt;&gt;"",C836&lt;&gt;"",OR(E836="USD",E836="CRC"),F836&gt;0,ISNUMBER(Q836),Q836&gt;0),"✓ OK","✗ ERROR: Revisa datos")</f>
        <v/>
      </c>
      <c r="S836" s="6">
        <f>IF(A836&lt;&gt;"",TODAY()-A836,"")</f>
        <v/>
      </c>
      <c r="T836" s="4">
        <f>IF(E836="USD",F836,IF(E836="CRC",F836/CONFIG!$B$5,""))</f>
        <v/>
      </c>
      <c r="U836" s="19">
        <f>IF(A836&lt;&gt;"",A836+30,"")</f>
        <v/>
      </c>
      <c r="V836">
        <f>IF(AND(C836="CxP",S836&gt;60),"Alta",IF(AND(C836="CxP",S836&gt;30),"Media",IF(C836="CxP","Baja","")))</f>
        <v/>
      </c>
      <c r="W836">
        <f>IF(AND(C836="CxC",S836&gt;90),"Alta",IF(AND(C836="CxC",S836&gt;60),"Media",IF(C836="CxC","Baja","")))</f>
        <v/>
      </c>
    </row>
    <row r="837">
      <c r="A837" s="19" t="n"/>
      <c r="F837" s="20" t="n"/>
      <c r="Q837" s="10">
        <f>IF(E837="USD",CONFIG!$B$5,1)</f>
        <v/>
      </c>
      <c r="R837">
        <f>IF(AND(A837&lt;&gt;"",ISNUMBER(A837),B837&lt;&gt;"",C837&lt;&gt;"",OR(E837="USD",E837="CRC"),F837&gt;0,ISNUMBER(Q837),Q837&gt;0),"✓ OK","✗ ERROR: Revisa datos")</f>
        <v/>
      </c>
      <c r="S837" s="6">
        <f>IF(A837&lt;&gt;"",TODAY()-A837,"")</f>
        <v/>
      </c>
      <c r="T837" s="4">
        <f>IF(E837="USD",F837,IF(E837="CRC",F837/CONFIG!$B$5,""))</f>
        <v/>
      </c>
      <c r="U837" s="19">
        <f>IF(A837&lt;&gt;"",A837+30,"")</f>
        <v/>
      </c>
      <c r="V837">
        <f>IF(AND(C837="CxP",S837&gt;60),"Alta",IF(AND(C837="CxP",S837&gt;30),"Media",IF(C837="CxP","Baja","")))</f>
        <v/>
      </c>
      <c r="W837">
        <f>IF(AND(C837="CxC",S837&gt;90),"Alta",IF(AND(C837="CxC",S837&gt;60),"Media",IF(C837="CxC","Baja","")))</f>
        <v/>
      </c>
    </row>
    <row r="838">
      <c r="A838" s="19" t="n"/>
      <c r="F838" s="20" t="n"/>
      <c r="Q838" s="10">
        <f>IF(E838="USD",CONFIG!$B$5,1)</f>
        <v/>
      </c>
      <c r="R838">
        <f>IF(AND(A838&lt;&gt;"",ISNUMBER(A838),B838&lt;&gt;"",C838&lt;&gt;"",OR(E838="USD",E838="CRC"),F838&gt;0,ISNUMBER(Q838),Q838&gt;0),"✓ OK","✗ ERROR: Revisa datos")</f>
        <v/>
      </c>
      <c r="S838" s="6">
        <f>IF(A838&lt;&gt;"",TODAY()-A838,"")</f>
        <v/>
      </c>
      <c r="T838" s="4">
        <f>IF(E838="USD",F838,IF(E838="CRC",F838/CONFIG!$B$5,""))</f>
        <v/>
      </c>
      <c r="U838" s="19">
        <f>IF(A838&lt;&gt;"",A838+30,"")</f>
        <v/>
      </c>
      <c r="V838">
        <f>IF(AND(C838="CxP",S838&gt;60),"Alta",IF(AND(C838="CxP",S838&gt;30),"Media",IF(C838="CxP","Baja","")))</f>
        <v/>
      </c>
      <c r="W838">
        <f>IF(AND(C838="CxC",S838&gt;90),"Alta",IF(AND(C838="CxC",S838&gt;60),"Media",IF(C838="CxC","Baja","")))</f>
        <v/>
      </c>
    </row>
    <row r="839">
      <c r="A839" s="19" t="n"/>
      <c r="F839" s="20" t="n"/>
      <c r="Q839" s="10">
        <f>IF(E839="USD",CONFIG!$B$5,1)</f>
        <v/>
      </c>
      <c r="R839">
        <f>IF(AND(A839&lt;&gt;"",ISNUMBER(A839),B839&lt;&gt;"",C839&lt;&gt;"",OR(E839="USD",E839="CRC"),F839&gt;0,ISNUMBER(Q839),Q839&gt;0),"✓ OK","✗ ERROR: Revisa datos")</f>
        <v/>
      </c>
      <c r="S839" s="6">
        <f>IF(A839&lt;&gt;"",TODAY()-A839,"")</f>
        <v/>
      </c>
      <c r="T839" s="4">
        <f>IF(E839="USD",F839,IF(E839="CRC",F839/CONFIG!$B$5,""))</f>
        <v/>
      </c>
      <c r="U839" s="19">
        <f>IF(A839&lt;&gt;"",A839+30,"")</f>
        <v/>
      </c>
      <c r="V839">
        <f>IF(AND(C839="CxP",S839&gt;60),"Alta",IF(AND(C839="CxP",S839&gt;30),"Media",IF(C839="CxP","Baja","")))</f>
        <v/>
      </c>
      <c r="W839">
        <f>IF(AND(C839="CxC",S839&gt;90),"Alta",IF(AND(C839="CxC",S839&gt;60),"Media",IF(C839="CxC","Baja","")))</f>
        <v/>
      </c>
    </row>
    <row r="840">
      <c r="A840" s="19" t="n"/>
      <c r="F840" s="20" t="n"/>
      <c r="Q840" s="10">
        <f>IF(E840="USD",CONFIG!$B$5,1)</f>
        <v/>
      </c>
      <c r="R840">
        <f>IF(AND(A840&lt;&gt;"",ISNUMBER(A840),B840&lt;&gt;"",C840&lt;&gt;"",OR(E840="USD",E840="CRC"),F840&gt;0,ISNUMBER(Q840),Q840&gt;0),"✓ OK","✗ ERROR: Revisa datos")</f>
        <v/>
      </c>
      <c r="S840" s="6">
        <f>IF(A840&lt;&gt;"",TODAY()-A840,"")</f>
        <v/>
      </c>
      <c r="T840" s="4">
        <f>IF(E840="USD",F840,IF(E840="CRC",F840/CONFIG!$B$5,""))</f>
        <v/>
      </c>
      <c r="U840" s="19">
        <f>IF(A840&lt;&gt;"",A840+30,"")</f>
        <v/>
      </c>
      <c r="V840">
        <f>IF(AND(C840="CxP",S840&gt;60),"Alta",IF(AND(C840="CxP",S840&gt;30),"Media",IF(C840="CxP","Baja","")))</f>
        <v/>
      </c>
      <c r="W840">
        <f>IF(AND(C840="CxC",S840&gt;90),"Alta",IF(AND(C840="CxC",S840&gt;60),"Media",IF(C840="CxC","Baja","")))</f>
        <v/>
      </c>
    </row>
    <row r="841">
      <c r="A841" s="19" t="n"/>
      <c r="F841" s="20" t="n"/>
      <c r="Q841" s="10">
        <f>IF(E841="USD",CONFIG!$B$5,1)</f>
        <v/>
      </c>
      <c r="R841">
        <f>IF(AND(A841&lt;&gt;"",ISNUMBER(A841),B841&lt;&gt;"",C841&lt;&gt;"",OR(E841="USD",E841="CRC"),F841&gt;0,ISNUMBER(Q841),Q841&gt;0),"✓ OK","✗ ERROR: Revisa datos")</f>
        <v/>
      </c>
      <c r="S841" s="6">
        <f>IF(A841&lt;&gt;"",TODAY()-A841,"")</f>
        <v/>
      </c>
      <c r="T841" s="4">
        <f>IF(E841="USD",F841,IF(E841="CRC",F841/CONFIG!$B$5,""))</f>
        <v/>
      </c>
      <c r="U841" s="19">
        <f>IF(A841&lt;&gt;"",A841+30,"")</f>
        <v/>
      </c>
      <c r="V841">
        <f>IF(AND(C841="CxP",S841&gt;60),"Alta",IF(AND(C841="CxP",S841&gt;30),"Media",IF(C841="CxP","Baja","")))</f>
        <v/>
      </c>
      <c r="W841">
        <f>IF(AND(C841="CxC",S841&gt;90),"Alta",IF(AND(C841="CxC",S841&gt;60),"Media",IF(C841="CxC","Baja","")))</f>
        <v/>
      </c>
    </row>
    <row r="842">
      <c r="A842" s="19" t="n"/>
      <c r="F842" s="20" t="n"/>
      <c r="Q842" s="10">
        <f>IF(E842="USD",CONFIG!$B$5,1)</f>
        <v/>
      </c>
      <c r="R842">
        <f>IF(AND(A842&lt;&gt;"",ISNUMBER(A842),B842&lt;&gt;"",C842&lt;&gt;"",OR(E842="USD",E842="CRC"),F842&gt;0,ISNUMBER(Q842),Q842&gt;0),"✓ OK","✗ ERROR: Revisa datos")</f>
        <v/>
      </c>
      <c r="S842" s="6">
        <f>IF(A842&lt;&gt;"",TODAY()-A842,"")</f>
        <v/>
      </c>
      <c r="T842" s="4">
        <f>IF(E842="USD",F842,IF(E842="CRC",F842/CONFIG!$B$5,""))</f>
        <v/>
      </c>
      <c r="U842" s="19">
        <f>IF(A842&lt;&gt;"",A842+30,"")</f>
        <v/>
      </c>
      <c r="V842">
        <f>IF(AND(C842="CxP",S842&gt;60),"Alta",IF(AND(C842="CxP",S842&gt;30),"Media",IF(C842="CxP","Baja","")))</f>
        <v/>
      </c>
      <c r="W842">
        <f>IF(AND(C842="CxC",S842&gt;90),"Alta",IF(AND(C842="CxC",S842&gt;60),"Media",IF(C842="CxC","Baja","")))</f>
        <v/>
      </c>
    </row>
    <row r="843">
      <c r="A843" s="19" t="n"/>
      <c r="F843" s="20" t="n"/>
      <c r="Q843" s="10">
        <f>IF(E843="USD",CONFIG!$B$5,1)</f>
        <v/>
      </c>
      <c r="R843">
        <f>IF(AND(A843&lt;&gt;"",ISNUMBER(A843),B843&lt;&gt;"",C843&lt;&gt;"",OR(E843="USD",E843="CRC"),F843&gt;0,ISNUMBER(Q843),Q843&gt;0),"✓ OK","✗ ERROR: Revisa datos")</f>
        <v/>
      </c>
      <c r="S843" s="6">
        <f>IF(A843&lt;&gt;"",TODAY()-A843,"")</f>
        <v/>
      </c>
      <c r="T843" s="4">
        <f>IF(E843="USD",F843,IF(E843="CRC",F843/CONFIG!$B$5,""))</f>
        <v/>
      </c>
      <c r="U843" s="19">
        <f>IF(A843&lt;&gt;"",A843+30,"")</f>
        <v/>
      </c>
      <c r="V843">
        <f>IF(AND(C843="CxP",S843&gt;60),"Alta",IF(AND(C843="CxP",S843&gt;30),"Media",IF(C843="CxP","Baja","")))</f>
        <v/>
      </c>
      <c r="W843">
        <f>IF(AND(C843="CxC",S843&gt;90),"Alta",IF(AND(C843="CxC",S843&gt;60),"Media",IF(C843="CxC","Baja","")))</f>
        <v/>
      </c>
    </row>
    <row r="844">
      <c r="A844" s="19" t="n"/>
      <c r="F844" s="20" t="n"/>
      <c r="Q844" s="10">
        <f>IF(E844="USD",CONFIG!$B$5,1)</f>
        <v/>
      </c>
      <c r="R844">
        <f>IF(AND(A844&lt;&gt;"",ISNUMBER(A844),B844&lt;&gt;"",C844&lt;&gt;"",OR(E844="USD",E844="CRC"),F844&gt;0,ISNUMBER(Q844),Q844&gt;0),"✓ OK","✗ ERROR: Revisa datos")</f>
        <v/>
      </c>
      <c r="S844" s="6">
        <f>IF(A844&lt;&gt;"",TODAY()-A844,"")</f>
        <v/>
      </c>
      <c r="T844" s="4">
        <f>IF(E844="USD",F844,IF(E844="CRC",F844/CONFIG!$B$5,""))</f>
        <v/>
      </c>
      <c r="U844" s="19">
        <f>IF(A844&lt;&gt;"",A844+30,"")</f>
        <v/>
      </c>
      <c r="V844">
        <f>IF(AND(C844="CxP",S844&gt;60),"Alta",IF(AND(C844="CxP",S844&gt;30),"Media",IF(C844="CxP","Baja","")))</f>
        <v/>
      </c>
      <c r="W844">
        <f>IF(AND(C844="CxC",S844&gt;90),"Alta",IF(AND(C844="CxC",S844&gt;60),"Media",IF(C844="CxC","Baja","")))</f>
        <v/>
      </c>
    </row>
    <row r="845">
      <c r="A845" s="19" t="n"/>
      <c r="F845" s="20" t="n"/>
      <c r="Q845" s="10">
        <f>IF(E845="USD",CONFIG!$B$5,1)</f>
        <v/>
      </c>
      <c r="R845">
        <f>IF(AND(A845&lt;&gt;"",ISNUMBER(A845),B845&lt;&gt;"",C845&lt;&gt;"",OR(E845="USD",E845="CRC"),F845&gt;0,ISNUMBER(Q845),Q845&gt;0),"✓ OK","✗ ERROR: Revisa datos")</f>
        <v/>
      </c>
      <c r="S845" s="6">
        <f>IF(A845&lt;&gt;"",TODAY()-A845,"")</f>
        <v/>
      </c>
      <c r="T845" s="4">
        <f>IF(E845="USD",F845,IF(E845="CRC",F845/CONFIG!$B$5,""))</f>
        <v/>
      </c>
      <c r="U845" s="19">
        <f>IF(A845&lt;&gt;"",A845+30,"")</f>
        <v/>
      </c>
      <c r="V845">
        <f>IF(AND(C845="CxP",S845&gt;60),"Alta",IF(AND(C845="CxP",S845&gt;30),"Media",IF(C845="CxP","Baja","")))</f>
        <v/>
      </c>
      <c r="W845">
        <f>IF(AND(C845="CxC",S845&gt;90),"Alta",IF(AND(C845="CxC",S845&gt;60),"Media",IF(C845="CxC","Baja","")))</f>
        <v/>
      </c>
    </row>
    <row r="846">
      <c r="A846" s="19" t="n"/>
      <c r="F846" s="20" t="n"/>
      <c r="Q846" s="10">
        <f>IF(E846="USD",CONFIG!$B$5,1)</f>
        <v/>
      </c>
      <c r="R846">
        <f>IF(AND(A846&lt;&gt;"",ISNUMBER(A846),B846&lt;&gt;"",C846&lt;&gt;"",OR(E846="USD",E846="CRC"),F846&gt;0,ISNUMBER(Q846),Q846&gt;0),"✓ OK","✗ ERROR: Revisa datos")</f>
        <v/>
      </c>
      <c r="S846" s="6">
        <f>IF(A846&lt;&gt;"",TODAY()-A846,"")</f>
        <v/>
      </c>
      <c r="T846" s="4">
        <f>IF(E846="USD",F846,IF(E846="CRC",F846/CONFIG!$B$5,""))</f>
        <v/>
      </c>
      <c r="U846" s="19">
        <f>IF(A846&lt;&gt;"",A846+30,"")</f>
        <v/>
      </c>
      <c r="V846">
        <f>IF(AND(C846="CxP",S846&gt;60),"Alta",IF(AND(C846="CxP",S846&gt;30),"Media",IF(C846="CxP","Baja","")))</f>
        <v/>
      </c>
      <c r="W846">
        <f>IF(AND(C846="CxC",S846&gt;90),"Alta",IF(AND(C846="CxC",S846&gt;60),"Media",IF(C846="CxC","Baja","")))</f>
        <v/>
      </c>
    </row>
    <row r="847">
      <c r="A847" s="19" t="n"/>
      <c r="F847" s="20" t="n"/>
      <c r="Q847" s="10">
        <f>IF(E847="USD",CONFIG!$B$5,1)</f>
        <v/>
      </c>
      <c r="R847">
        <f>IF(AND(A847&lt;&gt;"",ISNUMBER(A847),B847&lt;&gt;"",C847&lt;&gt;"",OR(E847="USD",E847="CRC"),F847&gt;0,ISNUMBER(Q847),Q847&gt;0),"✓ OK","✗ ERROR: Revisa datos")</f>
        <v/>
      </c>
      <c r="S847" s="6">
        <f>IF(A847&lt;&gt;"",TODAY()-A847,"")</f>
        <v/>
      </c>
      <c r="T847" s="4">
        <f>IF(E847="USD",F847,IF(E847="CRC",F847/CONFIG!$B$5,""))</f>
        <v/>
      </c>
      <c r="U847" s="19">
        <f>IF(A847&lt;&gt;"",A847+30,"")</f>
        <v/>
      </c>
      <c r="V847">
        <f>IF(AND(C847="CxP",S847&gt;60),"Alta",IF(AND(C847="CxP",S847&gt;30),"Media",IF(C847="CxP","Baja","")))</f>
        <v/>
      </c>
      <c r="W847">
        <f>IF(AND(C847="CxC",S847&gt;90),"Alta",IF(AND(C847="CxC",S847&gt;60),"Media",IF(C847="CxC","Baja","")))</f>
        <v/>
      </c>
    </row>
    <row r="848">
      <c r="A848" s="19" t="n"/>
      <c r="F848" s="20" t="n"/>
      <c r="Q848" s="10">
        <f>IF(E848="USD",CONFIG!$B$5,1)</f>
        <v/>
      </c>
      <c r="R848">
        <f>IF(AND(A848&lt;&gt;"",ISNUMBER(A848),B848&lt;&gt;"",C848&lt;&gt;"",OR(E848="USD",E848="CRC"),F848&gt;0,ISNUMBER(Q848),Q848&gt;0),"✓ OK","✗ ERROR: Revisa datos")</f>
        <v/>
      </c>
      <c r="S848" s="6">
        <f>IF(A848&lt;&gt;"",TODAY()-A848,"")</f>
        <v/>
      </c>
      <c r="T848" s="4">
        <f>IF(E848="USD",F848,IF(E848="CRC",F848/CONFIG!$B$5,""))</f>
        <v/>
      </c>
      <c r="U848" s="19">
        <f>IF(A848&lt;&gt;"",A848+30,"")</f>
        <v/>
      </c>
      <c r="V848">
        <f>IF(AND(C848="CxP",S848&gt;60),"Alta",IF(AND(C848="CxP",S848&gt;30),"Media",IF(C848="CxP","Baja","")))</f>
        <v/>
      </c>
      <c r="W848">
        <f>IF(AND(C848="CxC",S848&gt;90),"Alta",IF(AND(C848="CxC",S848&gt;60),"Media",IF(C848="CxC","Baja","")))</f>
        <v/>
      </c>
    </row>
    <row r="849">
      <c r="A849" s="19" t="n"/>
      <c r="F849" s="20" t="n"/>
      <c r="Q849" s="10">
        <f>IF(E849="USD",CONFIG!$B$5,1)</f>
        <v/>
      </c>
      <c r="R849">
        <f>IF(AND(A849&lt;&gt;"",ISNUMBER(A849),B849&lt;&gt;"",C849&lt;&gt;"",OR(E849="USD",E849="CRC"),F849&gt;0,ISNUMBER(Q849),Q849&gt;0),"✓ OK","✗ ERROR: Revisa datos")</f>
        <v/>
      </c>
      <c r="S849" s="6">
        <f>IF(A849&lt;&gt;"",TODAY()-A849,"")</f>
        <v/>
      </c>
      <c r="T849" s="4">
        <f>IF(E849="USD",F849,IF(E849="CRC",F849/CONFIG!$B$5,""))</f>
        <v/>
      </c>
      <c r="U849" s="19">
        <f>IF(A849&lt;&gt;"",A849+30,"")</f>
        <v/>
      </c>
      <c r="V849">
        <f>IF(AND(C849="CxP",S849&gt;60),"Alta",IF(AND(C849="CxP",S849&gt;30),"Media",IF(C849="CxP","Baja","")))</f>
        <v/>
      </c>
      <c r="W849">
        <f>IF(AND(C849="CxC",S849&gt;90),"Alta",IF(AND(C849="CxC",S849&gt;60),"Media",IF(C849="CxC","Baja","")))</f>
        <v/>
      </c>
    </row>
    <row r="850">
      <c r="A850" s="19" t="n"/>
      <c r="F850" s="20" t="n"/>
      <c r="Q850" s="10">
        <f>IF(E850="USD",CONFIG!$B$5,1)</f>
        <v/>
      </c>
      <c r="R850">
        <f>IF(AND(A850&lt;&gt;"",ISNUMBER(A850),B850&lt;&gt;"",C850&lt;&gt;"",OR(E850="USD",E850="CRC"),F850&gt;0,ISNUMBER(Q850),Q850&gt;0),"✓ OK","✗ ERROR: Revisa datos")</f>
        <v/>
      </c>
      <c r="S850" s="6">
        <f>IF(A850&lt;&gt;"",TODAY()-A850,"")</f>
        <v/>
      </c>
      <c r="T850" s="4">
        <f>IF(E850="USD",F850,IF(E850="CRC",F850/CONFIG!$B$5,""))</f>
        <v/>
      </c>
      <c r="U850" s="19">
        <f>IF(A850&lt;&gt;"",A850+30,"")</f>
        <v/>
      </c>
      <c r="V850">
        <f>IF(AND(C850="CxP",S850&gt;60),"Alta",IF(AND(C850="CxP",S850&gt;30),"Media",IF(C850="CxP","Baja","")))</f>
        <v/>
      </c>
      <c r="W850">
        <f>IF(AND(C850="CxC",S850&gt;90),"Alta",IF(AND(C850="CxC",S850&gt;60),"Media",IF(C850="CxC","Baja","")))</f>
        <v/>
      </c>
    </row>
    <row r="851">
      <c r="A851" s="19" t="n"/>
      <c r="F851" s="20" t="n"/>
      <c r="Q851" s="10">
        <f>IF(E851="USD",CONFIG!$B$5,1)</f>
        <v/>
      </c>
      <c r="R851">
        <f>IF(AND(A851&lt;&gt;"",ISNUMBER(A851),B851&lt;&gt;"",C851&lt;&gt;"",OR(E851="USD",E851="CRC"),F851&gt;0,ISNUMBER(Q851),Q851&gt;0),"✓ OK","✗ ERROR: Revisa datos")</f>
        <v/>
      </c>
      <c r="S851" s="6">
        <f>IF(A851&lt;&gt;"",TODAY()-A851,"")</f>
        <v/>
      </c>
      <c r="T851" s="4">
        <f>IF(E851="USD",F851,IF(E851="CRC",F851/CONFIG!$B$5,""))</f>
        <v/>
      </c>
      <c r="U851" s="19">
        <f>IF(A851&lt;&gt;"",A851+30,"")</f>
        <v/>
      </c>
      <c r="V851">
        <f>IF(AND(C851="CxP",S851&gt;60),"Alta",IF(AND(C851="CxP",S851&gt;30),"Media",IF(C851="CxP","Baja","")))</f>
        <v/>
      </c>
      <c r="W851">
        <f>IF(AND(C851="CxC",S851&gt;90),"Alta",IF(AND(C851="CxC",S851&gt;60),"Media",IF(C851="CxC","Baja","")))</f>
        <v/>
      </c>
    </row>
    <row r="852">
      <c r="A852" s="19" t="n"/>
      <c r="F852" s="20" t="n"/>
      <c r="Q852" s="10">
        <f>IF(E852="USD",CONFIG!$B$5,1)</f>
        <v/>
      </c>
      <c r="R852">
        <f>IF(AND(A852&lt;&gt;"",ISNUMBER(A852),B852&lt;&gt;"",C852&lt;&gt;"",OR(E852="USD",E852="CRC"),F852&gt;0,ISNUMBER(Q852),Q852&gt;0),"✓ OK","✗ ERROR: Revisa datos")</f>
        <v/>
      </c>
      <c r="S852" s="6">
        <f>IF(A852&lt;&gt;"",TODAY()-A852,"")</f>
        <v/>
      </c>
      <c r="T852" s="4">
        <f>IF(E852="USD",F852,IF(E852="CRC",F852/CONFIG!$B$5,""))</f>
        <v/>
      </c>
      <c r="U852" s="19">
        <f>IF(A852&lt;&gt;"",A852+30,"")</f>
        <v/>
      </c>
      <c r="V852">
        <f>IF(AND(C852="CxP",S852&gt;60),"Alta",IF(AND(C852="CxP",S852&gt;30),"Media",IF(C852="CxP","Baja","")))</f>
        <v/>
      </c>
      <c r="W852">
        <f>IF(AND(C852="CxC",S852&gt;90),"Alta",IF(AND(C852="CxC",S852&gt;60),"Media",IF(C852="CxC","Baja","")))</f>
        <v/>
      </c>
    </row>
    <row r="853">
      <c r="A853" s="19" t="n"/>
      <c r="F853" s="20" t="n"/>
      <c r="Q853" s="10">
        <f>IF(E853="USD",CONFIG!$B$5,1)</f>
        <v/>
      </c>
      <c r="R853">
        <f>IF(AND(A853&lt;&gt;"",ISNUMBER(A853),B853&lt;&gt;"",C853&lt;&gt;"",OR(E853="USD",E853="CRC"),F853&gt;0,ISNUMBER(Q853),Q853&gt;0),"✓ OK","✗ ERROR: Revisa datos")</f>
        <v/>
      </c>
      <c r="S853" s="6">
        <f>IF(A853&lt;&gt;"",TODAY()-A853,"")</f>
        <v/>
      </c>
      <c r="T853" s="4">
        <f>IF(E853="USD",F853,IF(E853="CRC",F853/CONFIG!$B$5,""))</f>
        <v/>
      </c>
      <c r="U853" s="19">
        <f>IF(A853&lt;&gt;"",A853+30,"")</f>
        <v/>
      </c>
      <c r="V853">
        <f>IF(AND(C853="CxP",S853&gt;60),"Alta",IF(AND(C853="CxP",S853&gt;30),"Media",IF(C853="CxP","Baja","")))</f>
        <v/>
      </c>
      <c r="W853">
        <f>IF(AND(C853="CxC",S853&gt;90),"Alta",IF(AND(C853="CxC",S853&gt;60),"Media",IF(C853="CxC","Baja","")))</f>
        <v/>
      </c>
    </row>
    <row r="854">
      <c r="A854" s="19" t="n"/>
      <c r="F854" s="20" t="n"/>
      <c r="Q854" s="10">
        <f>IF(E854="USD",CONFIG!$B$5,1)</f>
        <v/>
      </c>
      <c r="R854">
        <f>IF(AND(A854&lt;&gt;"",ISNUMBER(A854),B854&lt;&gt;"",C854&lt;&gt;"",OR(E854="USD",E854="CRC"),F854&gt;0,ISNUMBER(Q854),Q854&gt;0),"✓ OK","✗ ERROR: Revisa datos")</f>
        <v/>
      </c>
      <c r="S854" s="6">
        <f>IF(A854&lt;&gt;"",TODAY()-A854,"")</f>
        <v/>
      </c>
      <c r="T854" s="4">
        <f>IF(E854="USD",F854,IF(E854="CRC",F854/CONFIG!$B$5,""))</f>
        <v/>
      </c>
      <c r="U854" s="19">
        <f>IF(A854&lt;&gt;"",A854+30,"")</f>
        <v/>
      </c>
      <c r="V854">
        <f>IF(AND(C854="CxP",S854&gt;60),"Alta",IF(AND(C854="CxP",S854&gt;30),"Media",IF(C854="CxP","Baja","")))</f>
        <v/>
      </c>
      <c r="W854">
        <f>IF(AND(C854="CxC",S854&gt;90),"Alta",IF(AND(C854="CxC",S854&gt;60),"Media",IF(C854="CxC","Baja","")))</f>
        <v/>
      </c>
    </row>
    <row r="855">
      <c r="A855" s="19" t="n"/>
      <c r="F855" s="20" t="n"/>
      <c r="Q855" s="10">
        <f>IF(E855="USD",CONFIG!$B$5,1)</f>
        <v/>
      </c>
      <c r="R855">
        <f>IF(AND(A855&lt;&gt;"",ISNUMBER(A855),B855&lt;&gt;"",C855&lt;&gt;"",OR(E855="USD",E855="CRC"),F855&gt;0,ISNUMBER(Q855),Q855&gt;0),"✓ OK","✗ ERROR: Revisa datos")</f>
        <v/>
      </c>
      <c r="S855" s="6">
        <f>IF(A855&lt;&gt;"",TODAY()-A855,"")</f>
        <v/>
      </c>
      <c r="T855" s="4">
        <f>IF(E855="USD",F855,IF(E855="CRC",F855/CONFIG!$B$5,""))</f>
        <v/>
      </c>
      <c r="U855" s="19">
        <f>IF(A855&lt;&gt;"",A855+30,"")</f>
        <v/>
      </c>
      <c r="V855">
        <f>IF(AND(C855="CxP",S855&gt;60),"Alta",IF(AND(C855="CxP",S855&gt;30),"Media",IF(C855="CxP","Baja","")))</f>
        <v/>
      </c>
      <c r="W855">
        <f>IF(AND(C855="CxC",S855&gt;90),"Alta",IF(AND(C855="CxC",S855&gt;60),"Media",IF(C855="CxC","Baja","")))</f>
        <v/>
      </c>
    </row>
    <row r="856">
      <c r="A856" s="19" t="n"/>
      <c r="F856" s="20" t="n"/>
      <c r="Q856" s="10">
        <f>IF(E856="USD",CONFIG!$B$5,1)</f>
        <v/>
      </c>
      <c r="R856">
        <f>IF(AND(A856&lt;&gt;"",ISNUMBER(A856),B856&lt;&gt;"",C856&lt;&gt;"",OR(E856="USD",E856="CRC"),F856&gt;0,ISNUMBER(Q856),Q856&gt;0),"✓ OK","✗ ERROR: Revisa datos")</f>
        <v/>
      </c>
      <c r="S856" s="6">
        <f>IF(A856&lt;&gt;"",TODAY()-A856,"")</f>
        <v/>
      </c>
      <c r="T856" s="4">
        <f>IF(E856="USD",F856,IF(E856="CRC",F856/CONFIG!$B$5,""))</f>
        <v/>
      </c>
      <c r="U856" s="19">
        <f>IF(A856&lt;&gt;"",A856+30,"")</f>
        <v/>
      </c>
      <c r="V856">
        <f>IF(AND(C856="CxP",S856&gt;60),"Alta",IF(AND(C856="CxP",S856&gt;30),"Media",IF(C856="CxP","Baja","")))</f>
        <v/>
      </c>
      <c r="W856">
        <f>IF(AND(C856="CxC",S856&gt;90),"Alta",IF(AND(C856="CxC",S856&gt;60),"Media",IF(C856="CxC","Baja","")))</f>
        <v/>
      </c>
    </row>
    <row r="857">
      <c r="A857" s="19" t="n"/>
      <c r="F857" s="20" t="n"/>
      <c r="Q857" s="10">
        <f>IF(E857="USD",CONFIG!$B$5,1)</f>
        <v/>
      </c>
      <c r="R857">
        <f>IF(AND(A857&lt;&gt;"",ISNUMBER(A857),B857&lt;&gt;"",C857&lt;&gt;"",OR(E857="USD",E857="CRC"),F857&gt;0,ISNUMBER(Q857),Q857&gt;0),"✓ OK","✗ ERROR: Revisa datos")</f>
        <v/>
      </c>
      <c r="S857" s="6">
        <f>IF(A857&lt;&gt;"",TODAY()-A857,"")</f>
        <v/>
      </c>
      <c r="T857" s="4">
        <f>IF(E857="USD",F857,IF(E857="CRC",F857/CONFIG!$B$5,""))</f>
        <v/>
      </c>
      <c r="U857" s="19">
        <f>IF(A857&lt;&gt;"",A857+30,"")</f>
        <v/>
      </c>
      <c r="V857">
        <f>IF(AND(C857="CxP",S857&gt;60),"Alta",IF(AND(C857="CxP",S857&gt;30),"Media",IF(C857="CxP","Baja","")))</f>
        <v/>
      </c>
      <c r="W857">
        <f>IF(AND(C857="CxC",S857&gt;90),"Alta",IF(AND(C857="CxC",S857&gt;60),"Media",IF(C857="CxC","Baja","")))</f>
        <v/>
      </c>
    </row>
    <row r="858">
      <c r="A858" s="19" t="n"/>
      <c r="F858" s="20" t="n"/>
      <c r="Q858" s="10">
        <f>IF(E858="USD",CONFIG!$B$5,1)</f>
        <v/>
      </c>
      <c r="R858">
        <f>IF(AND(A858&lt;&gt;"",ISNUMBER(A858),B858&lt;&gt;"",C858&lt;&gt;"",OR(E858="USD",E858="CRC"),F858&gt;0,ISNUMBER(Q858),Q858&gt;0),"✓ OK","✗ ERROR: Revisa datos")</f>
        <v/>
      </c>
      <c r="S858" s="6">
        <f>IF(A858&lt;&gt;"",TODAY()-A858,"")</f>
        <v/>
      </c>
      <c r="T858" s="4">
        <f>IF(E858="USD",F858,IF(E858="CRC",F858/CONFIG!$B$5,""))</f>
        <v/>
      </c>
      <c r="U858" s="19">
        <f>IF(A858&lt;&gt;"",A858+30,"")</f>
        <v/>
      </c>
      <c r="V858">
        <f>IF(AND(C858="CxP",S858&gt;60),"Alta",IF(AND(C858="CxP",S858&gt;30),"Media",IF(C858="CxP","Baja","")))</f>
        <v/>
      </c>
      <c r="W858">
        <f>IF(AND(C858="CxC",S858&gt;90),"Alta",IF(AND(C858="CxC",S858&gt;60),"Media",IF(C858="CxC","Baja","")))</f>
        <v/>
      </c>
    </row>
    <row r="859">
      <c r="A859" s="19" t="n"/>
      <c r="F859" s="20" t="n"/>
      <c r="Q859" s="10">
        <f>IF(E859="USD",CONFIG!$B$5,1)</f>
        <v/>
      </c>
      <c r="R859">
        <f>IF(AND(A859&lt;&gt;"",ISNUMBER(A859),B859&lt;&gt;"",C859&lt;&gt;"",OR(E859="USD",E859="CRC"),F859&gt;0,ISNUMBER(Q859),Q859&gt;0),"✓ OK","✗ ERROR: Revisa datos")</f>
        <v/>
      </c>
      <c r="S859" s="6">
        <f>IF(A859&lt;&gt;"",TODAY()-A859,"")</f>
        <v/>
      </c>
      <c r="T859" s="4">
        <f>IF(E859="USD",F859,IF(E859="CRC",F859/CONFIG!$B$5,""))</f>
        <v/>
      </c>
      <c r="U859" s="19">
        <f>IF(A859&lt;&gt;"",A859+30,"")</f>
        <v/>
      </c>
      <c r="V859">
        <f>IF(AND(C859="CxP",S859&gt;60),"Alta",IF(AND(C859="CxP",S859&gt;30),"Media",IF(C859="CxP","Baja","")))</f>
        <v/>
      </c>
      <c r="W859">
        <f>IF(AND(C859="CxC",S859&gt;90),"Alta",IF(AND(C859="CxC",S859&gt;60),"Media",IF(C859="CxC","Baja","")))</f>
        <v/>
      </c>
    </row>
    <row r="860">
      <c r="A860" s="19" t="n"/>
      <c r="F860" s="20" t="n"/>
      <c r="Q860" s="10">
        <f>IF(E860="USD",CONFIG!$B$5,1)</f>
        <v/>
      </c>
      <c r="R860">
        <f>IF(AND(A860&lt;&gt;"",ISNUMBER(A860),B860&lt;&gt;"",C860&lt;&gt;"",OR(E860="USD",E860="CRC"),F860&gt;0,ISNUMBER(Q860),Q860&gt;0),"✓ OK","✗ ERROR: Revisa datos")</f>
        <v/>
      </c>
      <c r="S860" s="6">
        <f>IF(A860&lt;&gt;"",TODAY()-A860,"")</f>
        <v/>
      </c>
      <c r="T860" s="4">
        <f>IF(E860="USD",F860,IF(E860="CRC",F860/CONFIG!$B$5,""))</f>
        <v/>
      </c>
      <c r="U860" s="19">
        <f>IF(A860&lt;&gt;"",A860+30,"")</f>
        <v/>
      </c>
      <c r="V860">
        <f>IF(AND(C860="CxP",S860&gt;60),"Alta",IF(AND(C860="CxP",S860&gt;30),"Media",IF(C860="CxP","Baja","")))</f>
        <v/>
      </c>
      <c r="W860">
        <f>IF(AND(C860="CxC",S860&gt;90),"Alta",IF(AND(C860="CxC",S860&gt;60),"Media",IF(C860="CxC","Baja","")))</f>
        <v/>
      </c>
    </row>
    <row r="861">
      <c r="A861" s="19" t="n"/>
      <c r="F861" s="20" t="n"/>
      <c r="Q861" s="10">
        <f>IF(E861="USD",CONFIG!$B$5,1)</f>
        <v/>
      </c>
      <c r="R861">
        <f>IF(AND(A861&lt;&gt;"",ISNUMBER(A861),B861&lt;&gt;"",C861&lt;&gt;"",OR(E861="USD",E861="CRC"),F861&gt;0,ISNUMBER(Q861),Q861&gt;0),"✓ OK","✗ ERROR: Revisa datos")</f>
        <v/>
      </c>
      <c r="S861" s="6">
        <f>IF(A861&lt;&gt;"",TODAY()-A861,"")</f>
        <v/>
      </c>
      <c r="T861" s="4">
        <f>IF(E861="USD",F861,IF(E861="CRC",F861/CONFIG!$B$5,""))</f>
        <v/>
      </c>
      <c r="U861" s="19">
        <f>IF(A861&lt;&gt;"",A861+30,"")</f>
        <v/>
      </c>
      <c r="V861">
        <f>IF(AND(C861="CxP",S861&gt;60),"Alta",IF(AND(C861="CxP",S861&gt;30),"Media",IF(C861="CxP","Baja","")))</f>
        <v/>
      </c>
      <c r="W861">
        <f>IF(AND(C861="CxC",S861&gt;90),"Alta",IF(AND(C861="CxC",S861&gt;60),"Media",IF(C861="CxC","Baja","")))</f>
        <v/>
      </c>
    </row>
    <row r="862">
      <c r="A862" s="19" t="n"/>
      <c r="F862" s="20" t="n"/>
      <c r="Q862" s="10">
        <f>IF(E862="USD",CONFIG!$B$5,1)</f>
        <v/>
      </c>
      <c r="R862">
        <f>IF(AND(A862&lt;&gt;"",ISNUMBER(A862),B862&lt;&gt;"",C862&lt;&gt;"",OR(E862="USD",E862="CRC"),F862&gt;0,ISNUMBER(Q862),Q862&gt;0),"✓ OK","✗ ERROR: Revisa datos")</f>
        <v/>
      </c>
      <c r="S862" s="6">
        <f>IF(A862&lt;&gt;"",TODAY()-A862,"")</f>
        <v/>
      </c>
      <c r="T862" s="4">
        <f>IF(E862="USD",F862,IF(E862="CRC",F862/CONFIG!$B$5,""))</f>
        <v/>
      </c>
      <c r="U862" s="19">
        <f>IF(A862&lt;&gt;"",A862+30,"")</f>
        <v/>
      </c>
      <c r="V862">
        <f>IF(AND(C862="CxP",S862&gt;60),"Alta",IF(AND(C862="CxP",S862&gt;30),"Media",IF(C862="CxP","Baja","")))</f>
        <v/>
      </c>
      <c r="W862">
        <f>IF(AND(C862="CxC",S862&gt;90),"Alta",IF(AND(C862="CxC",S862&gt;60),"Media",IF(C862="CxC","Baja","")))</f>
        <v/>
      </c>
    </row>
    <row r="863">
      <c r="A863" s="19" t="n"/>
      <c r="F863" s="20" t="n"/>
      <c r="Q863" s="10">
        <f>IF(E863="USD",CONFIG!$B$5,1)</f>
        <v/>
      </c>
      <c r="R863">
        <f>IF(AND(A863&lt;&gt;"",ISNUMBER(A863),B863&lt;&gt;"",C863&lt;&gt;"",OR(E863="USD",E863="CRC"),F863&gt;0,ISNUMBER(Q863),Q863&gt;0),"✓ OK","✗ ERROR: Revisa datos")</f>
        <v/>
      </c>
      <c r="S863" s="6">
        <f>IF(A863&lt;&gt;"",TODAY()-A863,"")</f>
        <v/>
      </c>
      <c r="T863" s="4">
        <f>IF(E863="USD",F863,IF(E863="CRC",F863/CONFIG!$B$5,""))</f>
        <v/>
      </c>
      <c r="U863" s="19">
        <f>IF(A863&lt;&gt;"",A863+30,"")</f>
        <v/>
      </c>
      <c r="V863">
        <f>IF(AND(C863="CxP",S863&gt;60),"Alta",IF(AND(C863="CxP",S863&gt;30),"Media",IF(C863="CxP","Baja","")))</f>
        <v/>
      </c>
      <c r="W863">
        <f>IF(AND(C863="CxC",S863&gt;90),"Alta",IF(AND(C863="CxC",S863&gt;60),"Media",IF(C863="CxC","Baja","")))</f>
        <v/>
      </c>
    </row>
    <row r="864">
      <c r="A864" s="19" t="n"/>
      <c r="F864" s="20" t="n"/>
      <c r="Q864" s="10">
        <f>IF(E864="USD",CONFIG!$B$5,1)</f>
        <v/>
      </c>
      <c r="R864">
        <f>IF(AND(A864&lt;&gt;"",ISNUMBER(A864),B864&lt;&gt;"",C864&lt;&gt;"",OR(E864="USD",E864="CRC"),F864&gt;0,ISNUMBER(Q864),Q864&gt;0),"✓ OK","✗ ERROR: Revisa datos")</f>
        <v/>
      </c>
      <c r="S864" s="6">
        <f>IF(A864&lt;&gt;"",TODAY()-A864,"")</f>
        <v/>
      </c>
      <c r="T864" s="4">
        <f>IF(E864="USD",F864,IF(E864="CRC",F864/CONFIG!$B$5,""))</f>
        <v/>
      </c>
      <c r="U864" s="19">
        <f>IF(A864&lt;&gt;"",A864+30,"")</f>
        <v/>
      </c>
      <c r="V864">
        <f>IF(AND(C864="CxP",S864&gt;60),"Alta",IF(AND(C864="CxP",S864&gt;30),"Media",IF(C864="CxP","Baja","")))</f>
        <v/>
      </c>
      <c r="W864">
        <f>IF(AND(C864="CxC",S864&gt;90),"Alta",IF(AND(C864="CxC",S864&gt;60),"Media",IF(C864="CxC","Baja","")))</f>
        <v/>
      </c>
    </row>
    <row r="865">
      <c r="A865" s="19" t="n"/>
      <c r="F865" s="20" t="n"/>
      <c r="Q865" s="10">
        <f>IF(E865="USD",CONFIG!$B$5,1)</f>
        <v/>
      </c>
      <c r="R865">
        <f>IF(AND(A865&lt;&gt;"",ISNUMBER(A865),B865&lt;&gt;"",C865&lt;&gt;"",OR(E865="USD",E865="CRC"),F865&gt;0,ISNUMBER(Q865),Q865&gt;0),"✓ OK","✗ ERROR: Revisa datos")</f>
        <v/>
      </c>
      <c r="S865" s="6">
        <f>IF(A865&lt;&gt;"",TODAY()-A865,"")</f>
        <v/>
      </c>
      <c r="T865" s="4">
        <f>IF(E865="USD",F865,IF(E865="CRC",F865/CONFIG!$B$5,""))</f>
        <v/>
      </c>
      <c r="U865" s="19">
        <f>IF(A865&lt;&gt;"",A865+30,"")</f>
        <v/>
      </c>
      <c r="V865">
        <f>IF(AND(C865="CxP",S865&gt;60),"Alta",IF(AND(C865="CxP",S865&gt;30),"Media",IF(C865="CxP","Baja","")))</f>
        <v/>
      </c>
      <c r="W865">
        <f>IF(AND(C865="CxC",S865&gt;90),"Alta",IF(AND(C865="CxC",S865&gt;60),"Media",IF(C865="CxC","Baja","")))</f>
        <v/>
      </c>
    </row>
    <row r="866">
      <c r="A866" s="19" t="n"/>
      <c r="F866" s="20" t="n"/>
      <c r="Q866" s="10">
        <f>IF(E866="USD",CONFIG!$B$5,1)</f>
        <v/>
      </c>
      <c r="R866">
        <f>IF(AND(A866&lt;&gt;"",ISNUMBER(A866),B866&lt;&gt;"",C866&lt;&gt;"",OR(E866="USD",E866="CRC"),F866&gt;0,ISNUMBER(Q866),Q866&gt;0),"✓ OK","✗ ERROR: Revisa datos")</f>
        <v/>
      </c>
      <c r="S866" s="6">
        <f>IF(A866&lt;&gt;"",TODAY()-A866,"")</f>
        <v/>
      </c>
      <c r="T866" s="4">
        <f>IF(E866="USD",F866,IF(E866="CRC",F866/CONFIG!$B$5,""))</f>
        <v/>
      </c>
      <c r="U866" s="19">
        <f>IF(A866&lt;&gt;"",A866+30,"")</f>
        <v/>
      </c>
      <c r="V866">
        <f>IF(AND(C866="CxP",S866&gt;60),"Alta",IF(AND(C866="CxP",S866&gt;30),"Media",IF(C866="CxP","Baja","")))</f>
        <v/>
      </c>
      <c r="W866">
        <f>IF(AND(C866="CxC",S866&gt;90),"Alta",IF(AND(C866="CxC",S866&gt;60),"Media",IF(C866="CxC","Baja","")))</f>
        <v/>
      </c>
    </row>
    <row r="867">
      <c r="A867" s="19" t="n"/>
      <c r="F867" s="20" t="n"/>
      <c r="Q867" s="10">
        <f>IF(E867="USD",CONFIG!$B$5,1)</f>
        <v/>
      </c>
      <c r="R867">
        <f>IF(AND(A867&lt;&gt;"",ISNUMBER(A867),B867&lt;&gt;"",C867&lt;&gt;"",OR(E867="USD",E867="CRC"),F867&gt;0,ISNUMBER(Q867),Q867&gt;0),"✓ OK","✗ ERROR: Revisa datos")</f>
        <v/>
      </c>
      <c r="S867" s="6">
        <f>IF(A867&lt;&gt;"",TODAY()-A867,"")</f>
        <v/>
      </c>
      <c r="T867" s="4">
        <f>IF(E867="USD",F867,IF(E867="CRC",F867/CONFIG!$B$5,""))</f>
        <v/>
      </c>
      <c r="U867" s="19">
        <f>IF(A867&lt;&gt;"",A867+30,"")</f>
        <v/>
      </c>
      <c r="V867">
        <f>IF(AND(C867="CxP",S867&gt;60),"Alta",IF(AND(C867="CxP",S867&gt;30),"Media",IF(C867="CxP","Baja","")))</f>
        <v/>
      </c>
      <c r="W867">
        <f>IF(AND(C867="CxC",S867&gt;90),"Alta",IF(AND(C867="CxC",S867&gt;60),"Media",IF(C867="CxC","Baja","")))</f>
        <v/>
      </c>
    </row>
    <row r="868">
      <c r="A868" s="19" t="n"/>
      <c r="F868" s="20" t="n"/>
      <c r="Q868" s="10">
        <f>IF(E868="USD",CONFIG!$B$5,1)</f>
        <v/>
      </c>
      <c r="R868">
        <f>IF(AND(A868&lt;&gt;"",ISNUMBER(A868),B868&lt;&gt;"",C868&lt;&gt;"",OR(E868="USD",E868="CRC"),F868&gt;0,ISNUMBER(Q868),Q868&gt;0),"✓ OK","✗ ERROR: Revisa datos")</f>
        <v/>
      </c>
      <c r="S868" s="6">
        <f>IF(A868&lt;&gt;"",TODAY()-A868,"")</f>
        <v/>
      </c>
      <c r="T868" s="4">
        <f>IF(E868="USD",F868,IF(E868="CRC",F868/CONFIG!$B$5,""))</f>
        <v/>
      </c>
      <c r="U868" s="19">
        <f>IF(A868&lt;&gt;"",A868+30,"")</f>
        <v/>
      </c>
      <c r="V868">
        <f>IF(AND(C868="CxP",S868&gt;60),"Alta",IF(AND(C868="CxP",S868&gt;30),"Media",IF(C868="CxP","Baja","")))</f>
        <v/>
      </c>
      <c r="W868">
        <f>IF(AND(C868="CxC",S868&gt;90),"Alta",IF(AND(C868="CxC",S868&gt;60),"Media",IF(C868="CxC","Baja","")))</f>
        <v/>
      </c>
    </row>
    <row r="869">
      <c r="A869" s="19" t="n"/>
      <c r="F869" s="20" t="n"/>
      <c r="Q869" s="10">
        <f>IF(E869="USD",CONFIG!$B$5,1)</f>
        <v/>
      </c>
      <c r="R869">
        <f>IF(AND(A869&lt;&gt;"",ISNUMBER(A869),B869&lt;&gt;"",C869&lt;&gt;"",OR(E869="USD",E869="CRC"),F869&gt;0,ISNUMBER(Q869),Q869&gt;0),"✓ OK","✗ ERROR: Revisa datos")</f>
        <v/>
      </c>
      <c r="S869" s="6">
        <f>IF(A869&lt;&gt;"",TODAY()-A869,"")</f>
        <v/>
      </c>
      <c r="T869" s="4">
        <f>IF(E869="USD",F869,IF(E869="CRC",F869/CONFIG!$B$5,""))</f>
        <v/>
      </c>
      <c r="U869" s="19">
        <f>IF(A869&lt;&gt;"",A869+30,"")</f>
        <v/>
      </c>
      <c r="V869">
        <f>IF(AND(C869="CxP",S869&gt;60),"Alta",IF(AND(C869="CxP",S869&gt;30),"Media",IF(C869="CxP","Baja","")))</f>
        <v/>
      </c>
      <c r="W869">
        <f>IF(AND(C869="CxC",S869&gt;90),"Alta",IF(AND(C869="CxC",S869&gt;60),"Media",IF(C869="CxC","Baja","")))</f>
        <v/>
      </c>
    </row>
    <row r="870">
      <c r="A870" s="19" t="n"/>
      <c r="F870" s="20" t="n"/>
      <c r="Q870" s="10">
        <f>IF(E870="USD",CONFIG!$B$5,1)</f>
        <v/>
      </c>
      <c r="R870">
        <f>IF(AND(A870&lt;&gt;"",ISNUMBER(A870),B870&lt;&gt;"",C870&lt;&gt;"",OR(E870="USD",E870="CRC"),F870&gt;0,ISNUMBER(Q870),Q870&gt;0),"✓ OK","✗ ERROR: Revisa datos")</f>
        <v/>
      </c>
      <c r="S870" s="6">
        <f>IF(A870&lt;&gt;"",TODAY()-A870,"")</f>
        <v/>
      </c>
      <c r="T870" s="4">
        <f>IF(E870="USD",F870,IF(E870="CRC",F870/CONFIG!$B$5,""))</f>
        <v/>
      </c>
      <c r="U870" s="19">
        <f>IF(A870&lt;&gt;"",A870+30,"")</f>
        <v/>
      </c>
      <c r="V870">
        <f>IF(AND(C870="CxP",S870&gt;60),"Alta",IF(AND(C870="CxP",S870&gt;30),"Media",IF(C870="CxP","Baja","")))</f>
        <v/>
      </c>
      <c r="W870">
        <f>IF(AND(C870="CxC",S870&gt;90),"Alta",IF(AND(C870="CxC",S870&gt;60),"Media",IF(C870="CxC","Baja","")))</f>
        <v/>
      </c>
    </row>
    <row r="871">
      <c r="A871" s="19" t="n"/>
      <c r="F871" s="20" t="n"/>
      <c r="Q871" s="10">
        <f>IF(E871="USD",CONFIG!$B$5,1)</f>
        <v/>
      </c>
      <c r="R871">
        <f>IF(AND(A871&lt;&gt;"",ISNUMBER(A871),B871&lt;&gt;"",C871&lt;&gt;"",OR(E871="USD",E871="CRC"),F871&gt;0,ISNUMBER(Q871),Q871&gt;0),"✓ OK","✗ ERROR: Revisa datos")</f>
        <v/>
      </c>
      <c r="S871" s="6">
        <f>IF(A871&lt;&gt;"",TODAY()-A871,"")</f>
        <v/>
      </c>
      <c r="T871" s="4">
        <f>IF(E871="USD",F871,IF(E871="CRC",F871/CONFIG!$B$5,""))</f>
        <v/>
      </c>
      <c r="U871" s="19">
        <f>IF(A871&lt;&gt;"",A871+30,"")</f>
        <v/>
      </c>
      <c r="V871">
        <f>IF(AND(C871="CxP",S871&gt;60),"Alta",IF(AND(C871="CxP",S871&gt;30),"Media",IF(C871="CxP","Baja","")))</f>
        <v/>
      </c>
      <c r="W871">
        <f>IF(AND(C871="CxC",S871&gt;90),"Alta",IF(AND(C871="CxC",S871&gt;60),"Media",IF(C871="CxC","Baja","")))</f>
        <v/>
      </c>
    </row>
    <row r="872">
      <c r="A872" s="19" t="n"/>
      <c r="F872" s="20" t="n"/>
      <c r="Q872" s="10">
        <f>IF(E872="USD",CONFIG!$B$5,1)</f>
        <v/>
      </c>
      <c r="R872">
        <f>IF(AND(A872&lt;&gt;"",ISNUMBER(A872),B872&lt;&gt;"",C872&lt;&gt;"",OR(E872="USD",E872="CRC"),F872&gt;0,ISNUMBER(Q872),Q872&gt;0),"✓ OK","✗ ERROR: Revisa datos")</f>
        <v/>
      </c>
      <c r="S872" s="6">
        <f>IF(A872&lt;&gt;"",TODAY()-A872,"")</f>
        <v/>
      </c>
      <c r="T872" s="4">
        <f>IF(E872="USD",F872,IF(E872="CRC",F872/CONFIG!$B$5,""))</f>
        <v/>
      </c>
      <c r="U872" s="19">
        <f>IF(A872&lt;&gt;"",A872+30,"")</f>
        <v/>
      </c>
      <c r="V872">
        <f>IF(AND(C872="CxP",S872&gt;60),"Alta",IF(AND(C872="CxP",S872&gt;30),"Media",IF(C872="CxP","Baja","")))</f>
        <v/>
      </c>
      <c r="W872">
        <f>IF(AND(C872="CxC",S872&gt;90),"Alta",IF(AND(C872="CxC",S872&gt;60),"Media",IF(C872="CxC","Baja","")))</f>
        <v/>
      </c>
    </row>
    <row r="873">
      <c r="A873" s="19" t="n"/>
      <c r="F873" s="20" t="n"/>
      <c r="Q873" s="10">
        <f>IF(E873="USD",CONFIG!$B$5,1)</f>
        <v/>
      </c>
      <c r="R873">
        <f>IF(AND(A873&lt;&gt;"",ISNUMBER(A873),B873&lt;&gt;"",C873&lt;&gt;"",OR(E873="USD",E873="CRC"),F873&gt;0,ISNUMBER(Q873),Q873&gt;0),"✓ OK","✗ ERROR: Revisa datos")</f>
        <v/>
      </c>
      <c r="S873" s="6">
        <f>IF(A873&lt;&gt;"",TODAY()-A873,"")</f>
        <v/>
      </c>
      <c r="T873" s="4">
        <f>IF(E873="USD",F873,IF(E873="CRC",F873/CONFIG!$B$5,""))</f>
        <v/>
      </c>
      <c r="U873" s="19">
        <f>IF(A873&lt;&gt;"",A873+30,"")</f>
        <v/>
      </c>
      <c r="V873">
        <f>IF(AND(C873="CxP",S873&gt;60),"Alta",IF(AND(C873="CxP",S873&gt;30),"Media",IF(C873="CxP","Baja","")))</f>
        <v/>
      </c>
      <c r="W873">
        <f>IF(AND(C873="CxC",S873&gt;90),"Alta",IF(AND(C873="CxC",S873&gt;60),"Media",IF(C873="CxC","Baja","")))</f>
        <v/>
      </c>
    </row>
    <row r="874">
      <c r="A874" s="19" t="n"/>
      <c r="F874" s="20" t="n"/>
      <c r="Q874" s="10">
        <f>IF(E874="USD",CONFIG!$B$5,1)</f>
        <v/>
      </c>
      <c r="R874">
        <f>IF(AND(A874&lt;&gt;"",ISNUMBER(A874),B874&lt;&gt;"",C874&lt;&gt;"",OR(E874="USD",E874="CRC"),F874&gt;0,ISNUMBER(Q874),Q874&gt;0),"✓ OK","✗ ERROR: Revisa datos")</f>
        <v/>
      </c>
      <c r="S874" s="6">
        <f>IF(A874&lt;&gt;"",TODAY()-A874,"")</f>
        <v/>
      </c>
      <c r="T874" s="4">
        <f>IF(E874="USD",F874,IF(E874="CRC",F874/CONFIG!$B$5,""))</f>
        <v/>
      </c>
      <c r="U874" s="19">
        <f>IF(A874&lt;&gt;"",A874+30,"")</f>
        <v/>
      </c>
      <c r="V874">
        <f>IF(AND(C874="CxP",S874&gt;60),"Alta",IF(AND(C874="CxP",S874&gt;30),"Media",IF(C874="CxP","Baja","")))</f>
        <v/>
      </c>
      <c r="W874">
        <f>IF(AND(C874="CxC",S874&gt;90),"Alta",IF(AND(C874="CxC",S874&gt;60),"Media",IF(C874="CxC","Baja","")))</f>
        <v/>
      </c>
    </row>
    <row r="875">
      <c r="A875" s="19" t="n"/>
      <c r="F875" s="20" t="n"/>
      <c r="Q875" s="10">
        <f>IF(E875="USD",CONFIG!$B$5,1)</f>
        <v/>
      </c>
      <c r="R875">
        <f>IF(AND(A875&lt;&gt;"",ISNUMBER(A875),B875&lt;&gt;"",C875&lt;&gt;"",OR(E875="USD",E875="CRC"),F875&gt;0,ISNUMBER(Q875),Q875&gt;0),"✓ OK","✗ ERROR: Revisa datos")</f>
        <v/>
      </c>
      <c r="S875" s="6">
        <f>IF(A875&lt;&gt;"",TODAY()-A875,"")</f>
        <v/>
      </c>
      <c r="T875" s="4">
        <f>IF(E875="USD",F875,IF(E875="CRC",F875/CONFIG!$B$5,""))</f>
        <v/>
      </c>
      <c r="U875" s="19">
        <f>IF(A875&lt;&gt;"",A875+30,"")</f>
        <v/>
      </c>
      <c r="V875">
        <f>IF(AND(C875="CxP",S875&gt;60),"Alta",IF(AND(C875="CxP",S875&gt;30),"Media",IF(C875="CxP","Baja","")))</f>
        <v/>
      </c>
      <c r="W875">
        <f>IF(AND(C875="CxC",S875&gt;90),"Alta",IF(AND(C875="CxC",S875&gt;60),"Media",IF(C875="CxC","Baja","")))</f>
        <v/>
      </c>
    </row>
    <row r="876">
      <c r="A876" s="19" t="n"/>
      <c r="F876" s="20" t="n"/>
      <c r="Q876" s="10">
        <f>IF(E876="USD",CONFIG!$B$5,1)</f>
        <v/>
      </c>
      <c r="R876">
        <f>IF(AND(A876&lt;&gt;"",ISNUMBER(A876),B876&lt;&gt;"",C876&lt;&gt;"",OR(E876="USD",E876="CRC"),F876&gt;0,ISNUMBER(Q876),Q876&gt;0),"✓ OK","✗ ERROR: Revisa datos")</f>
        <v/>
      </c>
      <c r="S876" s="6">
        <f>IF(A876&lt;&gt;"",TODAY()-A876,"")</f>
        <v/>
      </c>
      <c r="T876" s="4">
        <f>IF(E876="USD",F876,IF(E876="CRC",F876/CONFIG!$B$5,""))</f>
        <v/>
      </c>
      <c r="U876" s="19">
        <f>IF(A876&lt;&gt;"",A876+30,"")</f>
        <v/>
      </c>
      <c r="V876">
        <f>IF(AND(C876="CxP",S876&gt;60),"Alta",IF(AND(C876="CxP",S876&gt;30),"Media",IF(C876="CxP","Baja","")))</f>
        <v/>
      </c>
      <c r="W876">
        <f>IF(AND(C876="CxC",S876&gt;90),"Alta",IF(AND(C876="CxC",S876&gt;60),"Media",IF(C876="CxC","Baja","")))</f>
        <v/>
      </c>
    </row>
    <row r="877">
      <c r="A877" s="19" t="n"/>
      <c r="F877" s="20" t="n"/>
      <c r="Q877" s="10">
        <f>IF(E877="USD",CONFIG!$B$5,1)</f>
        <v/>
      </c>
      <c r="R877">
        <f>IF(AND(A877&lt;&gt;"",ISNUMBER(A877),B877&lt;&gt;"",C877&lt;&gt;"",OR(E877="USD",E877="CRC"),F877&gt;0,ISNUMBER(Q877),Q877&gt;0),"✓ OK","✗ ERROR: Revisa datos")</f>
        <v/>
      </c>
      <c r="S877" s="6">
        <f>IF(A877&lt;&gt;"",TODAY()-A877,"")</f>
        <v/>
      </c>
      <c r="T877" s="4">
        <f>IF(E877="USD",F877,IF(E877="CRC",F877/CONFIG!$B$5,""))</f>
        <v/>
      </c>
      <c r="U877" s="19">
        <f>IF(A877&lt;&gt;"",A877+30,"")</f>
        <v/>
      </c>
      <c r="V877">
        <f>IF(AND(C877="CxP",S877&gt;60),"Alta",IF(AND(C877="CxP",S877&gt;30),"Media",IF(C877="CxP","Baja","")))</f>
        <v/>
      </c>
      <c r="W877">
        <f>IF(AND(C877="CxC",S877&gt;90),"Alta",IF(AND(C877="CxC",S877&gt;60),"Media",IF(C877="CxC","Baja","")))</f>
        <v/>
      </c>
    </row>
    <row r="878">
      <c r="A878" s="19" t="n"/>
      <c r="F878" s="20" t="n"/>
      <c r="Q878" s="10">
        <f>IF(E878="USD",CONFIG!$B$5,1)</f>
        <v/>
      </c>
      <c r="R878">
        <f>IF(AND(A878&lt;&gt;"",ISNUMBER(A878),B878&lt;&gt;"",C878&lt;&gt;"",OR(E878="USD",E878="CRC"),F878&gt;0,ISNUMBER(Q878),Q878&gt;0),"✓ OK","✗ ERROR: Revisa datos")</f>
        <v/>
      </c>
      <c r="S878" s="6">
        <f>IF(A878&lt;&gt;"",TODAY()-A878,"")</f>
        <v/>
      </c>
      <c r="T878" s="4">
        <f>IF(E878="USD",F878,IF(E878="CRC",F878/CONFIG!$B$5,""))</f>
        <v/>
      </c>
      <c r="U878" s="19">
        <f>IF(A878&lt;&gt;"",A878+30,"")</f>
        <v/>
      </c>
      <c r="V878">
        <f>IF(AND(C878="CxP",S878&gt;60),"Alta",IF(AND(C878="CxP",S878&gt;30),"Media",IF(C878="CxP","Baja","")))</f>
        <v/>
      </c>
      <c r="W878">
        <f>IF(AND(C878="CxC",S878&gt;90),"Alta",IF(AND(C878="CxC",S878&gt;60),"Media",IF(C878="CxC","Baja","")))</f>
        <v/>
      </c>
    </row>
    <row r="879">
      <c r="A879" s="19" t="n"/>
      <c r="F879" s="20" t="n"/>
      <c r="Q879" s="10">
        <f>IF(E879="USD",CONFIG!$B$5,1)</f>
        <v/>
      </c>
      <c r="R879">
        <f>IF(AND(A879&lt;&gt;"",ISNUMBER(A879),B879&lt;&gt;"",C879&lt;&gt;"",OR(E879="USD",E879="CRC"),F879&gt;0,ISNUMBER(Q879),Q879&gt;0),"✓ OK","✗ ERROR: Revisa datos")</f>
        <v/>
      </c>
      <c r="S879" s="6">
        <f>IF(A879&lt;&gt;"",TODAY()-A879,"")</f>
        <v/>
      </c>
      <c r="T879" s="4">
        <f>IF(E879="USD",F879,IF(E879="CRC",F879/CONFIG!$B$5,""))</f>
        <v/>
      </c>
      <c r="U879" s="19">
        <f>IF(A879&lt;&gt;"",A879+30,"")</f>
        <v/>
      </c>
      <c r="V879">
        <f>IF(AND(C879="CxP",S879&gt;60),"Alta",IF(AND(C879="CxP",S879&gt;30),"Media",IF(C879="CxP","Baja","")))</f>
        <v/>
      </c>
      <c r="W879">
        <f>IF(AND(C879="CxC",S879&gt;90),"Alta",IF(AND(C879="CxC",S879&gt;60),"Media",IF(C879="CxC","Baja","")))</f>
        <v/>
      </c>
    </row>
    <row r="880">
      <c r="A880" s="19" t="n"/>
      <c r="F880" s="20" t="n"/>
      <c r="Q880" s="10">
        <f>IF(E880="USD",CONFIG!$B$5,1)</f>
        <v/>
      </c>
      <c r="R880">
        <f>IF(AND(A880&lt;&gt;"",ISNUMBER(A880),B880&lt;&gt;"",C880&lt;&gt;"",OR(E880="USD",E880="CRC"),F880&gt;0,ISNUMBER(Q880),Q880&gt;0),"✓ OK","✗ ERROR: Revisa datos")</f>
        <v/>
      </c>
      <c r="S880" s="6">
        <f>IF(A880&lt;&gt;"",TODAY()-A880,"")</f>
        <v/>
      </c>
      <c r="T880" s="4">
        <f>IF(E880="USD",F880,IF(E880="CRC",F880/CONFIG!$B$5,""))</f>
        <v/>
      </c>
      <c r="U880" s="19">
        <f>IF(A880&lt;&gt;"",A880+30,"")</f>
        <v/>
      </c>
      <c r="V880">
        <f>IF(AND(C880="CxP",S880&gt;60),"Alta",IF(AND(C880="CxP",S880&gt;30),"Media",IF(C880="CxP","Baja","")))</f>
        <v/>
      </c>
      <c r="W880">
        <f>IF(AND(C880="CxC",S880&gt;90),"Alta",IF(AND(C880="CxC",S880&gt;60),"Media",IF(C880="CxC","Baja","")))</f>
        <v/>
      </c>
    </row>
    <row r="881">
      <c r="A881" s="19" t="n"/>
      <c r="F881" s="20" t="n"/>
      <c r="Q881" s="10">
        <f>IF(E881="USD",CONFIG!$B$5,1)</f>
        <v/>
      </c>
      <c r="R881">
        <f>IF(AND(A881&lt;&gt;"",ISNUMBER(A881),B881&lt;&gt;"",C881&lt;&gt;"",OR(E881="USD",E881="CRC"),F881&gt;0,ISNUMBER(Q881),Q881&gt;0),"✓ OK","✗ ERROR: Revisa datos")</f>
        <v/>
      </c>
      <c r="S881" s="6">
        <f>IF(A881&lt;&gt;"",TODAY()-A881,"")</f>
        <v/>
      </c>
      <c r="T881" s="4">
        <f>IF(E881="USD",F881,IF(E881="CRC",F881/CONFIG!$B$5,""))</f>
        <v/>
      </c>
      <c r="U881" s="19">
        <f>IF(A881&lt;&gt;"",A881+30,"")</f>
        <v/>
      </c>
      <c r="V881">
        <f>IF(AND(C881="CxP",S881&gt;60),"Alta",IF(AND(C881="CxP",S881&gt;30),"Media",IF(C881="CxP","Baja","")))</f>
        <v/>
      </c>
      <c r="W881">
        <f>IF(AND(C881="CxC",S881&gt;90),"Alta",IF(AND(C881="CxC",S881&gt;60),"Media",IF(C881="CxC","Baja","")))</f>
        <v/>
      </c>
    </row>
    <row r="882">
      <c r="A882" s="19" t="n"/>
      <c r="F882" s="20" t="n"/>
      <c r="Q882" s="10">
        <f>IF(E882="USD",CONFIG!$B$5,1)</f>
        <v/>
      </c>
      <c r="R882">
        <f>IF(AND(A882&lt;&gt;"",ISNUMBER(A882),B882&lt;&gt;"",C882&lt;&gt;"",OR(E882="USD",E882="CRC"),F882&gt;0,ISNUMBER(Q882),Q882&gt;0),"✓ OK","✗ ERROR: Revisa datos")</f>
        <v/>
      </c>
      <c r="S882" s="6">
        <f>IF(A882&lt;&gt;"",TODAY()-A882,"")</f>
        <v/>
      </c>
      <c r="T882" s="4">
        <f>IF(E882="USD",F882,IF(E882="CRC",F882/CONFIG!$B$5,""))</f>
        <v/>
      </c>
      <c r="U882" s="19">
        <f>IF(A882&lt;&gt;"",A882+30,"")</f>
        <v/>
      </c>
      <c r="V882">
        <f>IF(AND(C882="CxP",S882&gt;60),"Alta",IF(AND(C882="CxP",S882&gt;30),"Media",IF(C882="CxP","Baja","")))</f>
        <v/>
      </c>
      <c r="W882">
        <f>IF(AND(C882="CxC",S882&gt;90),"Alta",IF(AND(C882="CxC",S882&gt;60),"Media",IF(C882="CxC","Baja","")))</f>
        <v/>
      </c>
    </row>
    <row r="883">
      <c r="A883" s="19" t="n"/>
      <c r="F883" s="20" t="n"/>
      <c r="Q883" s="10">
        <f>IF(E883="USD",CONFIG!$B$5,1)</f>
        <v/>
      </c>
      <c r="R883">
        <f>IF(AND(A883&lt;&gt;"",ISNUMBER(A883),B883&lt;&gt;"",C883&lt;&gt;"",OR(E883="USD",E883="CRC"),F883&gt;0,ISNUMBER(Q883),Q883&gt;0),"✓ OK","✗ ERROR: Revisa datos")</f>
        <v/>
      </c>
      <c r="S883" s="6">
        <f>IF(A883&lt;&gt;"",TODAY()-A883,"")</f>
        <v/>
      </c>
      <c r="T883" s="4">
        <f>IF(E883="USD",F883,IF(E883="CRC",F883/CONFIG!$B$5,""))</f>
        <v/>
      </c>
      <c r="U883" s="19">
        <f>IF(A883&lt;&gt;"",A883+30,"")</f>
        <v/>
      </c>
      <c r="V883">
        <f>IF(AND(C883="CxP",S883&gt;60),"Alta",IF(AND(C883="CxP",S883&gt;30),"Media",IF(C883="CxP","Baja","")))</f>
        <v/>
      </c>
      <c r="W883">
        <f>IF(AND(C883="CxC",S883&gt;90),"Alta",IF(AND(C883="CxC",S883&gt;60),"Media",IF(C883="CxC","Baja","")))</f>
        <v/>
      </c>
    </row>
    <row r="884">
      <c r="A884" s="19" t="n"/>
      <c r="F884" s="20" t="n"/>
      <c r="Q884" s="10">
        <f>IF(E884="USD",CONFIG!$B$5,1)</f>
        <v/>
      </c>
      <c r="R884">
        <f>IF(AND(A884&lt;&gt;"",ISNUMBER(A884),B884&lt;&gt;"",C884&lt;&gt;"",OR(E884="USD",E884="CRC"),F884&gt;0,ISNUMBER(Q884),Q884&gt;0),"✓ OK","✗ ERROR: Revisa datos")</f>
        <v/>
      </c>
      <c r="S884" s="6">
        <f>IF(A884&lt;&gt;"",TODAY()-A884,"")</f>
        <v/>
      </c>
      <c r="T884" s="4">
        <f>IF(E884="USD",F884,IF(E884="CRC",F884/CONFIG!$B$5,""))</f>
        <v/>
      </c>
      <c r="U884" s="19">
        <f>IF(A884&lt;&gt;"",A884+30,"")</f>
        <v/>
      </c>
      <c r="V884">
        <f>IF(AND(C884="CxP",S884&gt;60),"Alta",IF(AND(C884="CxP",S884&gt;30),"Media",IF(C884="CxP","Baja","")))</f>
        <v/>
      </c>
      <c r="W884">
        <f>IF(AND(C884="CxC",S884&gt;90),"Alta",IF(AND(C884="CxC",S884&gt;60),"Media",IF(C884="CxC","Baja","")))</f>
        <v/>
      </c>
    </row>
    <row r="885">
      <c r="A885" s="19" t="n"/>
      <c r="F885" s="20" t="n"/>
      <c r="Q885" s="10">
        <f>IF(E885="USD",CONFIG!$B$5,1)</f>
        <v/>
      </c>
      <c r="R885">
        <f>IF(AND(A885&lt;&gt;"",ISNUMBER(A885),B885&lt;&gt;"",C885&lt;&gt;"",OR(E885="USD",E885="CRC"),F885&gt;0,ISNUMBER(Q885),Q885&gt;0),"✓ OK","✗ ERROR: Revisa datos")</f>
        <v/>
      </c>
      <c r="S885" s="6">
        <f>IF(A885&lt;&gt;"",TODAY()-A885,"")</f>
        <v/>
      </c>
      <c r="T885" s="4">
        <f>IF(E885="USD",F885,IF(E885="CRC",F885/CONFIG!$B$5,""))</f>
        <v/>
      </c>
      <c r="U885" s="19">
        <f>IF(A885&lt;&gt;"",A885+30,"")</f>
        <v/>
      </c>
      <c r="V885">
        <f>IF(AND(C885="CxP",S885&gt;60),"Alta",IF(AND(C885="CxP",S885&gt;30),"Media",IF(C885="CxP","Baja","")))</f>
        <v/>
      </c>
      <c r="W885">
        <f>IF(AND(C885="CxC",S885&gt;90),"Alta",IF(AND(C885="CxC",S885&gt;60),"Media",IF(C885="CxC","Baja","")))</f>
        <v/>
      </c>
    </row>
    <row r="886">
      <c r="A886" s="19" t="n"/>
      <c r="F886" s="20" t="n"/>
      <c r="Q886" s="10">
        <f>IF(E886="USD",CONFIG!$B$5,1)</f>
        <v/>
      </c>
      <c r="R886">
        <f>IF(AND(A886&lt;&gt;"",ISNUMBER(A886),B886&lt;&gt;"",C886&lt;&gt;"",OR(E886="USD",E886="CRC"),F886&gt;0,ISNUMBER(Q886),Q886&gt;0),"✓ OK","✗ ERROR: Revisa datos")</f>
        <v/>
      </c>
      <c r="S886" s="6">
        <f>IF(A886&lt;&gt;"",TODAY()-A886,"")</f>
        <v/>
      </c>
      <c r="T886" s="4">
        <f>IF(E886="USD",F886,IF(E886="CRC",F886/CONFIG!$B$5,""))</f>
        <v/>
      </c>
      <c r="U886" s="19">
        <f>IF(A886&lt;&gt;"",A886+30,"")</f>
        <v/>
      </c>
      <c r="V886">
        <f>IF(AND(C886="CxP",S886&gt;60),"Alta",IF(AND(C886="CxP",S886&gt;30),"Media",IF(C886="CxP","Baja","")))</f>
        <v/>
      </c>
      <c r="W886">
        <f>IF(AND(C886="CxC",S886&gt;90),"Alta",IF(AND(C886="CxC",S886&gt;60),"Media",IF(C886="CxC","Baja","")))</f>
        <v/>
      </c>
    </row>
    <row r="887">
      <c r="A887" s="19" t="n"/>
      <c r="F887" s="20" t="n"/>
      <c r="Q887" s="10">
        <f>IF(E887="USD",CONFIG!$B$5,1)</f>
        <v/>
      </c>
      <c r="R887">
        <f>IF(AND(A887&lt;&gt;"",ISNUMBER(A887),B887&lt;&gt;"",C887&lt;&gt;"",OR(E887="USD",E887="CRC"),F887&gt;0,ISNUMBER(Q887),Q887&gt;0),"✓ OK","✗ ERROR: Revisa datos")</f>
        <v/>
      </c>
      <c r="S887" s="6">
        <f>IF(A887&lt;&gt;"",TODAY()-A887,"")</f>
        <v/>
      </c>
      <c r="T887" s="4">
        <f>IF(E887="USD",F887,IF(E887="CRC",F887/CONFIG!$B$5,""))</f>
        <v/>
      </c>
      <c r="U887" s="19">
        <f>IF(A887&lt;&gt;"",A887+30,"")</f>
        <v/>
      </c>
      <c r="V887">
        <f>IF(AND(C887="CxP",S887&gt;60),"Alta",IF(AND(C887="CxP",S887&gt;30),"Media",IF(C887="CxP","Baja","")))</f>
        <v/>
      </c>
      <c r="W887">
        <f>IF(AND(C887="CxC",S887&gt;90),"Alta",IF(AND(C887="CxC",S887&gt;60),"Media",IF(C887="CxC","Baja","")))</f>
        <v/>
      </c>
    </row>
    <row r="888">
      <c r="A888" s="19" t="n"/>
      <c r="F888" s="20" t="n"/>
      <c r="Q888" s="10">
        <f>IF(E888="USD",CONFIG!$B$5,1)</f>
        <v/>
      </c>
      <c r="R888">
        <f>IF(AND(A888&lt;&gt;"",ISNUMBER(A888),B888&lt;&gt;"",C888&lt;&gt;"",OR(E888="USD",E888="CRC"),F888&gt;0,ISNUMBER(Q888),Q888&gt;0),"✓ OK","✗ ERROR: Revisa datos")</f>
        <v/>
      </c>
      <c r="S888" s="6">
        <f>IF(A888&lt;&gt;"",TODAY()-A888,"")</f>
        <v/>
      </c>
      <c r="T888" s="4">
        <f>IF(E888="USD",F888,IF(E888="CRC",F888/CONFIG!$B$5,""))</f>
        <v/>
      </c>
      <c r="U888" s="19">
        <f>IF(A888&lt;&gt;"",A888+30,"")</f>
        <v/>
      </c>
      <c r="V888">
        <f>IF(AND(C888="CxP",S888&gt;60),"Alta",IF(AND(C888="CxP",S888&gt;30),"Media",IF(C888="CxP","Baja","")))</f>
        <v/>
      </c>
      <c r="W888">
        <f>IF(AND(C888="CxC",S888&gt;90),"Alta",IF(AND(C888="CxC",S888&gt;60),"Media",IF(C888="CxC","Baja","")))</f>
        <v/>
      </c>
    </row>
    <row r="889">
      <c r="A889" s="19" t="n"/>
      <c r="F889" s="20" t="n"/>
      <c r="Q889" s="10">
        <f>IF(E889="USD",CONFIG!$B$5,1)</f>
        <v/>
      </c>
      <c r="R889">
        <f>IF(AND(A889&lt;&gt;"",ISNUMBER(A889),B889&lt;&gt;"",C889&lt;&gt;"",OR(E889="USD",E889="CRC"),F889&gt;0,ISNUMBER(Q889),Q889&gt;0),"✓ OK","✗ ERROR: Revisa datos")</f>
        <v/>
      </c>
      <c r="S889" s="6">
        <f>IF(A889&lt;&gt;"",TODAY()-A889,"")</f>
        <v/>
      </c>
      <c r="T889" s="4">
        <f>IF(E889="USD",F889,IF(E889="CRC",F889/CONFIG!$B$5,""))</f>
        <v/>
      </c>
      <c r="U889" s="19">
        <f>IF(A889&lt;&gt;"",A889+30,"")</f>
        <v/>
      </c>
      <c r="V889">
        <f>IF(AND(C889="CxP",S889&gt;60),"Alta",IF(AND(C889="CxP",S889&gt;30),"Media",IF(C889="CxP","Baja","")))</f>
        <v/>
      </c>
      <c r="W889">
        <f>IF(AND(C889="CxC",S889&gt;90),"Alta",IF(AND(C889="CxC",S889&gt;60),"Media",IF(C889="CxC","Baja","")))</f>
        <v/>
      </c>
    </row>
    <row r="890">
      <c r="A890" s="19" t="n"/>
      <c r="F890" s="20" t="n"/>
      <c r="Q890" s="10">
        <f>IF(E890="USD",CONFIG!$B$5,1)</f>
        <v/>
      </c>
      <c r="R890">
        <f>IF(AND(A890&lt;&gt;"",ISNUMBER(A890),B890&lt;&gt;"",C890&lt;&gt;"",OR(E890="USD",E890="CRC"),F890&gt;0,ISNUMBER(Q890),Q890&gt;0),"✓ OK","✗ ERROR: Revisa datos")</f>
        <v/>
      </c>
      <c r="S890" s="6">
        <f>IF(A890&lt;&gt;"",TODAY()-A890,"")</f>
        <v/>
      </c>
      <c r="T890" s="4">
        <f>IF(E890="USD",F890,IF(E890="CRC",F890/CONFIG!$B$5,""))</f>
        <v/>
      </c>
      <c r="U890" s="19">
        <f>IF(A890&lt;&gt;"",A890+30,"")</f>
        <v/>
      </c>
      <c r="V890">
        <f>IF(AND(C890="CxP",S890&gt;60),"Alta",IF(AND(C890="CxP",S890&gt;30),"Media",IF(C890="CxP","Baja","")))</f>
        <v/>
      </c>
      <c r="W890">
        <f>IF(AND(C890="CxC",S890&gt;90),"Alta",IF(AND(C890="CxC",S890&gt;60),"Media",IF(C890="CxC","Baja","")))</f>
        <v/>
      </c>
    </row>
    <row r="891">
      <c r="A891" s="19" t="n"/>
      <c r="F891" s="20" t="n"/>
      <c r="Q891" s="10">
        <f>IF(E891="USD",CONFIG!$B$5,1)</f>
        <v/>
      </c>
      <c r="R891">
        <f>IF(AND(A891&lt;&gt;"",ISNUMBER(A891),B891&lt;&gt;"",C891&lt;&gt;"",OR(E891="USD",E891="CRC"),F891&gt;0,ISNUMBER(Q891),Q891&gt;0),"✓ OK","✗ ERROR: Revisa datos")</f>
        <v/>
      </c>
      <c r="S891" s="6">
        <f>IF(A891&lt;&gt;"",TODAY()-A891,"")</f>
        <v/>
      </c>
      <c r="T891" s="4">
        <f>IF(E891="USD",F891,IF(E891="CRC",F891/CONFIG!$B$5,""))</f>
        <v/>
      </c>
      <c r="U891" s="19">
        <f>IF(A891&lt;&gt;"",A891+30,"")</f>
        <v/>
      </c>
      <c r="V891">
        <f>IF(AND(C891="CxP",S891&gt;60),"Alta",IF(AND(C891="CxP",S891&gt;30),"Media",IF(C891="CxP","Baja","")))</f>
        <v/>
      </c>
      <c r="W891">
        <f>IF(AND(C891="CxC",S891&gt;90),"Alta",IF(AND(C891="CxC",S891&gt;60),"Media",IF(C891="CxC","Baja","")))</f>
        <v/>
      </c>
    </row>
    <row r="892">
      <c r="A892" s="19" t="n"/>
      <c r="F892" s="20" t="n"/>
      <c r="Q892" s="10">
        <f>IF(E892="USD",CONFIG!$B$5,1)</f>
        <v/>
      </c>
      <c r="R892">
        <f>IF(AND(A892&lt;&gt;"",ISNUMBER(A892),B892&lt;&gt;"",C892&lt;&gt;"",OR(E892="USD",E892="CRC"),F892&gt;0,ISNUMBER(Q892),Q892&gt;0),"✓ OK","✗ ERROR: Revisa datos")</f>
        <v/>
      </c>
      <c r="S892" s="6">
        <f>IF(A892&lt;&gt;"",TODAY()-A892,"")</f>
        <v/>
      </c>
      <c r="T892" s="4">
        <f>IF(E892="USD",F892,IF(E892="CRC",F892/CONFIG!$B$5,""))</f>
        <v/>
      </c>
      <c r="U892" s="19">
        <f>IF(A892&lt;&gt;"",A892+30,"")</f>
        <v/>
      </c>
      <c r="V892">
        <f>IF(AND(C892="CxP",S892&gt;60),"Alta",IF(AND(C892="CxP",S892&gt;30),"Media",IF(C892="CxP","Baja","")))</f>
        <v/>
      </c>
      <c r="W892">
        <f>IF(AND(C892="CxC",S892&gt;90),"Alta",IF(AND(C892="CxC",S892&gt;60),"Media",IF(C892="CxC","Baja","")))</f>
        <v/>
      </c>
    </row>
    <row r="893">
      <c r="A893" s="19" t="n"/>
      <c r="F893" s="20" t="n"/>
      <c r="Q893" s="10">
        <f>IF(E893="USD",CONFIG!$B$5,1)</f>
        <v/>
      </c>
      <c r="R893">
        <f>IF(AND(A893&lt;&gt;"",ISNUMBER(A893),B893&lt;&gt;"",C893&lt;&gt;"",OR(E893="USD",E893="CRC"),F893&gt;0,ISNUMBER(Q893),Q893&gt;0),"✓ OK","✗ ERROR: Revisa datos")</f>
        <v/>
      </c>
      <c r="S893" s="6">
        <f>IF(A893&lt;&gt;"",TODAY()-A893,"")</f>
        <v/>
      </c>
      <c r="T893" s="4">
        <f>IF(E893="USD",F893,IF(E893="CRC",F893/CONFIG!$B$5,""))</f>
        <v/>
      </c>
      <c r="U893" s="19">
        <f>IF(A893&lt;&gt;"",A893+30,"")</f>
        <v/>
      </c>
      <c r="V893">
        <f>IF(AND(C893="CxP",S893&gt;60),"Alta",IF(AND(C893="CxP",S893&gt;30),"Media",IF(C893="CxP","Baja","")))</f>
        <v/>
      </c>
      <c r="W893">
        <f>IF(AND(C893="CxC",S893&gt;90),"Alta",IF(AND(C893="CxC",S893&gt;60),"Media",IF(C893="CxC","Baja","")))</f>
        <v/>
      </c>
    </row>
    <row r="894">
      <c r="A894" s="19" t="n"/>
      <c r="F894" s="20" t="n"/>
      <c r="Q894" s="10">
        <f>IF(E894="USD",CONFIG!$B$5,1)</f>
        <v/>
      </c>
      <c r="R894">
        <f>IF(AND(A894&lt;&gt;"",ISNUMBER(A894),B894&lt;&gt;"",C894&lt;&gt;"",OR(E894="USD",E894="CRC"),F894&gt;0,ISNUMBER(Q894),Q894&gt;0),"✓ OK","✗ ERROR: Revisa datos")</f>
        <v/>
      </c>
      <c r="S894" s="6">
        <f>IF(A894&lt;&gt;"",TODAY()-A894,"")</f>
        <v/>
      </c>
      <c r="T894" s="4">
        <f>IF(E894="USD",F894,IF(E894="CRC",F894/CONFIG!$B$5,""))</f>
        <v/>
      </c>
      <c r="U894" s="19">
        <f>IF(A894&lt;&gt;"",A894+30,"")</f>
        <v/>
      </c>
      <c r="V894">
        <f>IF(AND(C894="CxP",S894&gt;60),"Alta",IF(AND(C894="CxP",S894&gt;30),"Media",IF(C894="CxP","Baja","")))</f>
        <v/>
      </c>
      <c r="W894">
        <f>IF(AND(C894="CxC",S894&gt;90),"Alta",IF(AND(C894="CxC",S894&gt;60),"Media",IF(C894="CxC","Baja","")))</f>
        <v/>
      </c>
    </row>
    <row r="895">
      <c r="A895" s="19" t="n"/>
      <c r="F895" s="20" t="n"/>
      <c r="Q895" s="10">
        <f>IF(E895="USD",CONFIG!$B$5,1)</f>
        <v/>
      </c>
      <c r="R895">
        <f>IF(AND(A895&lt;&gt;"",ISNUMBER(A895),B895&lt;&gt;"",C895&lt;&gt;"",OR(E895="USD",E895="CRC"),F895&gt;0,ISNUMBER(Q895),Q895&gt;0),"✓ OK","✗ ERROR: Revisa datos")</f>
        <v/>
      </c>
      <c r="S895" s="6">
        <f>IF(A895&lt;&gt;"",TODAY()-A895,"")</f>
        <v/>
      </c>
      <c r="T895" s="4">
        <f>IF(E895="USD",F895,IF(E895="CRC",F895/CONFIG!$B$5,""))</f>
        <v/>
      </c>
      <c r="U895" s="19">
        <f>IF(A895&lt;&gt;"",A895+30,"")</f>
        <v/>
      </c>
      <c r="V895">
        <f>IF(AND(C895="CxP",S895&gt;60),"Alta",IF(AND(C895="CxP",S895&gt;30),"Media",IF(C895="CxP","Baja","")))</f>
        <v/>
      </c>
      <c r="W895">
        <f>IF(AND(C895="CxC",S895&gt;90),"Alta",IF(AND(C895="CxC",S895&gt;60),"Media",IF(C895="CxC","Baja","")))</f>
        <v/>
      </c>
    </row>
    <row r="896">
      <c r="A896" s="19" t="n"/>
      <c r="F896" s="20" t="n"/>
      <c r="Q896" s="10">
        <f>IF(E896="USD",CONFIG!$B$5,1)</f>
        <v/>
      </c>
      <c r="R896">
        <f>IF(AND(A896&lt;&gt;"",ISNUMBER(A896),B896&lt;&gt;"",C896&lt;&gt;"",OR(E896="USD",E896="CRC"),F896&gt;0,ISNUMBER(Q896),Q896&gt;0),"✓ OK","✗ ERROR: Revisa datos")</f>
        <v/>
      </c>
      <c r="S896" s="6">
        <f>IF(A896&lt;&gt;"",TODAY()-A896,"")</f>
        <v/>
      </c>
      <c r="T896" s="4">
        <f>IF(E896="USD",F896,IF(E896="CRC",F896/CONFIG!$B$5,""))</f>
        <v/>
      </c>
      <c r="U896" s="19">
        <f>IF(A896&lt;&gt;"",A896+30,"")</f>
        <v/>
      </c>
      <c r="V896">
        <f>IF(AND(C896="CxP",S896&gt;60),"Alta",IF(AND(C896="CxP",S896&gt;30),"Media",IF(C896="CxP","Baja","")))</f>
        <v/>
      </c>
      <c r="W896">
        <f>IF(AND(C896="CxC",S896&gt;90),"Alta",IF(AND(C896="CxC",S896&gt;60),"Media",IF(C896="CxC","Baja","")))</f>
        <v/>
      </c>
    </row>
    <row r="897">
      <c r="A897" s="19" t="n"/>
      <c r="F897" s="20" t="n"/>
      <c r="Q897" s="10">
        <f>IF(E897="USD",CONFIG!$B$5,1)</f>
        <v/>
      </c>
      <c r="R897">
        <f>IF(AND(A897&lt;&gt;"",ISNUMBER(A897),B897&lt;&gt;"",C897&lt;&gt;"",OR(E897="USD",E897="CRC"),F897&gt;0,ISNUMBER(Q897),Q897&gt;0),"✓ OK","✗ ERROR: Revisa datos")</f>
        <v/>
      </c>
      <c r="S897" s="6">
        <f>IF(A897&lt;&gt;"",TODAY()-A897,"")</f>
        <v/>
      </c>
      <c r="T897" s="4">
        <f>IF(E897="USD",F897,IF(E897="CRC",F897/CONFIG!$B$5,""))</f>
        <v/>
      </c>
      <c r="U897" s="19">
        <f>IF(A897&lt;&gt;"",A897+30,"")</f>
        <v/>
      </c>
      <c r="V897">
        <f>IF(AND(C897="CxP",S897&gt;60),"Alta",IF(AND(C897="CxP",S897&gt;30),"Media",IF(C897="CxP","Baja","")))</f>
        <v/>
      </c>
      <c r="W897">
        <f>IF(AND(C897="CxC",S897&gt;90),"Alta",IF(AND(C897="CxC",S897&gt;60),"Media",IF(C897="CxC","Baja","")))</f>
        <v/>
      </c>
    </row>
    <row r="898">
      <c r="A898" s="19" t="n"/>
      <c r="F898" s="20" t="n"/>
      <c r="Q898" s="10">
        <f>IF(E898="USD",CONFIG!$B$5,1)</f>
        <v/>
      </c>
      <c r="R898">
        <f>IF(AND(A898&lt;&gt;"",ISNUMBER(A898),B898&lt;&gt;"",C898&lt;&gt;"",OR(E898="USD",E898="CRC"),F898&gt;0,ISNUMBER(Q898),Q898&gt;0),"✓ OK","✗ ERROR: Revisa datos")</f>
        <v/>
      </c>
      <c r="S898" s="6">
        <f>IF(A898&lt;&gt;"",TODAY()-A898,"")</f>
        <v/>
      </c>
      <c r="T898" s="4">
        <f>IF(E898="USD",F898,IF(E898="CRC",F898/CONFIG!$B$5,""))</f>
        <v/>
      </c>
      <c r="U898" s="19">
        <f>IF(A898&lt;&gt;"",A898+30,"")</f>
        <v/>
      </c>
      <c r="V898">
        <f>IF(AND(C898="CxP",S898&gt;60),"Alta",IF(AND(C898="CxP",S898&gt;30),"Media",IF(C898="CxP","Baja","")))</f>
        <v/>
      </c>
      <c r="W898">
        <f>IF(AND(C898="CxC",S898&gt;90),"Alta",IF(AND(C898="CxC",S898&gt;60),"Media",IF(C898="CxC","Baja","")))</f>
        <v/>
      </c>
    </row>
    <row r="899">
      <c r="A899" s="19" t="n"/>
      <c r="F899" s="20" t="n"/>
      <c r="Q899" s="10">
        <f>IF(E899="USD",CONFIG!$B$5,1)</f>
        <v/>
      </c>
      <c r="R899">
        <f>IF(AND(A899&lt;&gt;"",ISNUMBER(A899),B899&lt;&gt;"",C899&lt;&gt;"",OR(E899="USD",E899="CRC"),F899&gt;0,ISNUMBER(Q899),Q899&gt;0),"✓ OK","✗ ERROR: Revisa datos")</f>
        <v/>
      </c>
      <c r="S899" s="6">
        <f>IF(A899&lt;&gt;"",TODAY()-A899,"")</f>
        <v/>
      </c>
      <c r="T899" s="4">
        <f>IF(E899="USD",F899,IF(E899="CRC",F899/CONFIG!$B$5,""))</f>
        <v/>
      </c>
      <c r="U899" s="19">
        <f>IF(A899&lt;&gt;"",A899+30,"")</f>
        <v/>
      </c>
      <c r="V899">
        <f>IF(AND(C899="CxP",S899&gt;60),"Alta",IF(AND(C899="CxP",S899&gt;30),"Media",IF(C899="CxP","Baja","")))</f>
        <v/>
      </c>
      <c r="W899">
        <f>IF(AND(C899="CxC",S899&gt;90),"Alta",IF(AND(C899="CxC",S899&gt;60),"Media",IF(C899="CxC","Baja","")))</f>
        <v/>
      </c>
    </row>
    <row r="900">
      <c r="A900" s="19" t="n"/>
      <c r="F900" s="20" t="n"/>
      <c r="Q900" s="10">
        <f>IF(E900="USD",CONFIG!$B$5,1)</f>
        <v/>
      </c>
      <c r="R900">
        <f>IF(AND(A900&lt;&gt;"",ISNUMBER(A900),B900&lt;&gt;"",C900&lt;&gt;"",OR(E900="USD",E900="CRC"),F900&gt;0,ISNUMBER(Q900),Q900&gt;0),"✓ OK","✗ ERROR: Revisa datos")</f>
        <v/>
      </c>
      <c r="S900" s="6">
        <f>IF(A900&lt;&gt;"",TODAY()-A900,"")</f>
        <v/>
      </c>
      <c r="T900" s="4">
        <f>IF(E900="USD",F900,IF(E900="CRC",F900/CONFIG!$B$5,""))</f>
        <v/>
      </c>
      <c r="U900" s="19">
        <f>IF(A900&lt;&gt;"",A900+30,"")</f>
        <v/>
      </c>
      <c r="V900">
        <f>IF(AND(C900="CxP",S900&gt;60),"Alta",IF(AND(C900="CxP",S900&gt;30),"Media",IF(C900="CxP","Baja","")))</f>
        <v/>
      </c>
      <c r="W900">
        <f>IF(AND(C900="CxC",S900&gt;90),"Alta",IF(AND(C900="CxC",S900&gt;60),"Media",IF(C900="CxC","Baja","")))</f>
        <v/>
      </c>
    </row>
    <row r="901">
      <c r="A901" s="19" t="n"/>
      <c r="F901" s="20" t="n"/>
      <c r="Q901" s="10">
        <f>IF(E901="USD",CONFIG!$B$5,1)</f>
        <v/>
      </c>
      <c r="R901">
        <f>IF(AND(A901&lt;&gt;"",ISNUMBER(A901),B901&lt;&gt;"",C901&lt;&gt;"",OR(E901="USD",E901="CRC"),F901&gt;0,ISNUMBER(Q901),Q901&gt;0),"✓ OK","✗ ERROR: Revisa datos")</f>
        <v/>
      </c>
      <c r="S901" s="6">
        <f>IF(A901&lt;&gt;"",TODAY()-A901,"")</f>
        <v/>
      </c>
      <c r="T901" s="4">
        <f>IF(E901="USD",F901,IF(E901="CRC",F901/CONFIG!$B$5,""))</f>
        <v/>
      </c>
      <c r="U901" s="19">
        <f>IF(A901&lt;&gt;"",A901+30,"")</f>
        <v/>
      </c>
      <c r="V901">
        <f>IF(AND(C901="CxP",S901&gt;60),"Alta",IF(AND(C901="CxP",S901&gt;30),"Media",IF(C901="CxP","Baja","")))</f>
        <v/>
      </c>
      <c r="W901">
        <f>IF(AND(C901="CxC",S901&gt;90),"Alta",IF(AND(C901="CxC",S901&gt;60),"Media",IF(C901="CxC","Baja","")))</f>
        <v/>
      </c>
    </row>
    <row r="902">
      <c r="A902" s="19" t="n"/>
      <c r="F902" s="20" t="n"/>
      <c r="Q902" s="10">
        <f>IF(E902="USD",CONFIG!$B$5,1)</f>
        <v/>
      </c>
      <c r="R902">
        <f>IF(AND(A902&lt;&gt;"",ISNUMBER(A902),B902&lt;&gt;"",C902&lt;&gt;"",OR(E902="USD",E902="CRC"),F902&gt;0,ISNUMBER(Q902),Q902&gt;0),"✓ OK","✗ ERROR: Revisa datos")</f>
        <v/>
      </c>
      <c r="S902" s="6">
        <f>IF(A902&lt;&gt;"",TODAY()-A902,"")</f>
        <v/>
      </c>
      <c r="T902" s="4">
        <f>IF(E902="USD",F902,IF(E902="CRC",F902/CONFIG!$B$5,""))</f>
        <v/>
      </c>
      <c r="U902" s="19">
        <f>IF(A902&lt;&gt;"",A902+30,"")</f>
        <v/>
      </c>
      <c r="V902">
        <f>IF(AND(C902="CxP",S902&gt;60),"Alta",IF(AND(C902="CxP",S902&gt;30),"Media",IF(C902="CxP","Baja","")))</f>
        <v/>
      </c>
      <c r="W902">
        <f>IF(AND(C902="CxC",S902&gt;90),"Alta",IF(AND(C902="CxC",S902&gt;60),"Media",IF(C902="CxC","Baja","")))</f>
        <v/>
      </c>
    </row>
    <row r="903">
      <c r="A903" s="19" t="n"/>
      <c r="F903" s="20" t="n"/>
      <c r="Q903" s="10">
        <f>IF(E903="USD",CONFIG!$B$5,1)</f>
        <v/>
      </c>
      <c r="R903">
        <f>IF(AND(A903&lt;&gt;"",ISNUMBER(A903),B903&lt;&gt;"",C903&lt;&gt;"",OR(E903="USD",E903="CRC"),F903&gt;0,ISNUMBER(Q903),Q903&gt;0),"✓ OK","✗ ERROR: Revisa datos")</f>
        <v/>
      </c>
      <c r="S903" s="6">
        <f>IF(A903&lt;&gt;"",TODAY()-A903,"")</f>
        <v/>
      </c>
      <c r="T903" s="4">
        <f>IF(E903="USD",F903,IF(E903="CRC",F903/CONFIG!$B$5,""))</f>
        <v/>
      </c>
      <c r="U903" s="19">
        <f>IF(A903&lt;&gt;"",A903+30,"")</f>
        <v/>
      </c>
      <c r="V903">
        <f>IF(AND(C903="CxP",S903&gt;60),"Alta",IF(AND(C903="CxP",S903&gt;30),"Media",IF(C903="CxP","Baja","")))</f>
        <v/>
      </c>
      <c r="W903">
        <f>IF(AND(C903="CxC",S903&gt;90),"Alta",IF(AND(C903="CxC",S903&gt;60),"Media",IF(C903="CxC","Baja","")))</f>
        <v/>
      </c>
    </row>
    <row r="904">
      <c r="A904" s="19" t="n"/>
      <c r="F904" s="20" t="n"/>
      <c r="Q904" s="10">
        <f>IF(E904="USD",CONFIG!$B$5,1)</f>
        <v/>
      </c>
      <c r="R904">
        <f>IF(AND(A904&lt;&gt;"",ISNUMBER(A904),B904&lt;&gt;"",C904&lt;&gt;"",OR(E904="USD",E904="CRC"),F904&gt;0,ISNUMBER(Q904),Q904&gt;0),"✓ OK","✗ ERROR: Revisa datos")</f>
        <v/>
      </c>
      <c r="S904" s="6">
        <f>IF(A904&lt;&gt;"",TODAY()-A904,"")</f>
        <v/>
      </c>
      <c r="T904" s="4">
        <f>IF(E904="USD",F904,IF(E904="CRC",F904/CONFIG!$B$5,""))</f>
        <v/>
      </c>
      <c r="U904" s="19">
        <f>IF(A904&lt;&gt;"",A904+30,"")</f>
        <v/>
      </c>
      <c r="V904">
        <f>IF(AND(C904="CxP",S904&gt;60),"Alta",IF(AND(C904="CxP",S904&gt;30),"Media",IF(C904="CxP","Baja","")))</f>
        <v/>
      </c>
      <c r="W904">
        <f>IF(AND(C904="CxC",S904&gt;90),"Alta",IF(AND(C904="CxC",S904&gt;60),"Media",IF(C904="CxC","Baja","")))</f>
        <v/>
      </c>
    </row>
    <row r="905">
      <c r="A905" s="19" t="n"/>
      <c r="F905" s="20" t="n"/>
      <c r="Q905" s="10">
        <f>IF(E905="USD",CONFIG!$B$5,1)</f>
        <v/>
      </c>
      <c r="R905">
        <f>IF(AND(A905&lt;&gt;"",ISNUMBER(A905),B905&lt;&gt;"",C905&lt;&gt;"",OR(E905="USD",E905="CRC"),F905&gt;0,ISNUMBER(Q905),Q905&gt;0),"✓ OK","✗ ERROR: Revisa datos")</f>
        <v/>
      </c>
      <c r="S905" s="6">
        <f>IF(A905&lt;&gt;"",TODAY()-A905,"")</f>
        <v/>
      </c>
      <c r="T905" s="4">
        <f>IF(E905="USD",F905,IF(E905="CRC",F905/CONFIG!$B$5,""))</f>
        <v/>
      </c>
      <c r="U905" s="19">
        <f>IF(A905&lt;&gt;"",A905+30,"")</f>
        <v/>
      </c>
      <c r="V905">
        <f>IF(AND(C905="CxP",S905&gt;60),"Alta",IF(AND(C905="CxP",S905&gt;30),"Media",IF(C905="CxP","Baja","")))</f>
        <v/>
      </c>
      <c r="W905">
        <f>IF(AND(C905="CxC",S905&gt;90),"Alta",IF(AND(C905="CxC",S905&gt;60),"Media",IF(C905="CxC","Baja","")))</f>
        <v/>
      </c>
    </row>
    <row r="906">
      <c r="A906" s="19" t="n"/>
      <c r="F906" s="20" t="n"/>
      <c r="Q906" s="10">
        <f>IF(E906="USD",CONFIG!$B$5,1)</f>
        <v/>
      </c>
      <c r="R906">
        <f>IF(AND(A906&lt;&gt;"",ISNUMBER(A906),B906&lt;&gt;"",C906&lt;&gt;"",OR(E906="USD",E906="CRC"),F906&gt;0,ISNUMBER(Q906),Q906&gt;0),"✓ OK","✗ ERROR: Revisa datos")</f>
        <v/>
      </c>
      <c r="S906" s="6">
        <f>IF(A906&lt;&gt;"",TODAY()-A906,"")</f>
        <v/>
      </c>
      <c r="T906" s="4">
        <f>IF(E906="USD",F906,IF(E906="CRC",F906/CONFIG!$B$5,""))</f>
        <v/>
      </c>
      <c r="U906" s="19">
        <f>IF(A906&lt;&gt;"",A906+30,"")</f>
        <v/>
      </c>
      <c r="V906">
        <f>IF(AND(C906="CxP",S906&gt;60),"Alta",IF(AND(C906="CxP",S906&gt;30),"Media",IF(C906="CxP","Baja","")))</f>
        <v/>
      </c>
      <c r="W906">
        <f>IF(AND(C906="CxC",S906&gt;90),"Alta",IF(AND(C906="CxC",S906&gt;60),"Media",IF(C906="CxC","Baja","")))</f>
        <v/>
      </c>
    </row>
    <row r="907">
      <c r="A907" s="19" t="n"/>
      <c r="F907" s="20" t="n"/>
      <c r="Q907" s="10">
        <f>IF(E907="USD",CONFIG!$B$5,1)</f>
        <v/>
      </c>
      <c r="R907">
        <f>IF(AND(A907&lt;&gt;"",ISNUMBER(A907),B907&lt;&gt;"",C907&lt;&gt;"",OR(E907="USD",E907="CRC"),F907&gt;0,ISNUMBER(Q907),Q907&gt;0),"✓ OK","✗ ERROR: Revisa datos")</f>
        <v/>
      </c>
      <c r="S907" s="6">
        <f>IF(A907&lt;&gt;"",TODAY()-A907,"")</f>
        <v/>
      </c>
      <c r="T907" s="4">
        <f>IF(E907="USD",F907,IF(E907="CRC",F907/CONFIG!$B$5,""))</f>
        <v/>
      </c>
      <c r="U907" s="19">
        <f>IF(A907&lt;&gt;"",A907+30,"")</f>
        <v/>
      </c>
      <c r="V907">
        <f>IF(AND(C907="CxP",S907&gt;60),"Alta",IF(AND(C907="CxP",S907&gt;30),"Media",IF(C907="CxP","Baja","")))</f>
        <v/>
      </c>
      <c r="W907">
        <f>IF(AND(C907="CxC",S907&gt;90),"Alta",IF(AND(C907="CxC",S907&gt;60),"Media",IF(C907="CxC","Baja","")))</f>
        <v/>
      </c>
    </row>
    <row r="908">
      <c r="A908" s="19" t="n"/>
      <c r="F908" s="20" t="n"/>
      <c r="Q908" s="10">
        <f>IF(E908="USD",CONFIG!$B$5,1)</f>
        <v/>
      </c>
      <c r="R908">
        <f>IF(AND(A908&lt;&gt;"",ISNUMBER(A908),B908&lt;&gt;"",C908&lt;&gt;"",OR(E908="USD",E908="CRC"),F908&gt;0,ISNUMBER(Q908),Q908&gt;0),"✓ OK","✗ ERROR: Revisa datos")</f>
        <v/>
      </c>
      <c r="S908" s="6">
        <f>IF(A908&lt;&gt;"",TODAY()-A908,"")</f>
        <v/>
      </c>
      <c r="T908" s="4">
        <f>IF(E908="USD",F908,IF(E908="CRC",F908/CONFIG!$B$5,""))</f>
        <v/>
      </c>
      <c r="U908" s="19">
        <f>IF(A908&lt;&gt;"",A908+30,"")</f>
        <v/>
      </c>
      <c r="V908">
        <f>IF(AND(C908="CxP",S908&gt;60),"Alta",IF(AND(C908="CxP",S908&gt;30),"Media",IF(C908="CxP","Baja","")))</f>
        <v/>
      </c>
      <c r="W908">
        <f>IF(AND(C908="CxC",S908&gt;90),"Alta",IF(AND(C908="CxC",S908&gt;60),"Media",IF(C908="CxC","Baja","")))</f>
        <v/>
      </c>
    </row>
    <row r="909">
      <c r="A909" s="19" t="n"/>
      <c r="F909" s="20" t="n"/>
      <c r="Q909" s="10">
        <f>IF(E909="USD",CONFIG!$B$5,1)</f>
        <v/>
      </c>
      <c r="R909">
        <f>IF(AND(A909&lt;&gt;"",ISNUMBER(A909),B909&lt;&gt;"",C909&lt;&gt;"",OR(E909="USD",E909="CRC"),F909&gt;0,ISNUMBER(Q909),Q909&gt;0),"✓ OK","✗ ERROR: Revisa datos")</f>
        <v/>
      </c>
      <c r="S909" s="6">
        <f>IF(A909&lt;&gt;"",TODAY()-A909,"")</f>
        <v/>
      </c>
      <c r="T909" s="4">
        <f>IF(E909="USD",F909,IF(E909="CRC",F909/CONFIG!$B$5,""))</f>
        <v/>
      </c>
      <c r="U909" s="19">
        <f>IF(A909&lt;&gt;"",A909+30,"")</f>
        <v/>
      </c>
      <c r="V909">
        <f>IF(AND(C909="CxP",S909&gt;60),"Alta",IF(AND(C909="CxP",S909&gt;30),"Media",IF(C909="CxP","Baja","")))</f>
        <v/>
      </c>
      <c r="W909">
        <f>IF(AND(C909="CxC",S909&gt;90),"Alta",IF(AND(C909="CxC",S909&gt;60),"Media",IF(C909="CxC","Baja","")))</f>
        <v/>
      </c>
    </row>
    <row r="910">
      <c r="A910" s="19" t="n"/>
      <c r="F910" s="20" t="n"/>
      <c r="Q910" s="10">
        <f>IF(E910="USD",CONFIG!$B$5,1)</f>
        <v/>
      </c>
      <c r="R910">
        <f>IF(AND(A910&lt;&gt;"",ISNUMBER(A910),B910&lt;&gt;"",C910&lt;&gt;"",OR(E910="USD",E910="CRC"),F910&gt;0,ISNUMBER(Q910),Q910&gt;0),"✓ OK","✗ ERROR: Revisa datos")</f>
        <v/>
      </c>
      <c r="S910" s="6">
        <f>IF(A910&lt;&gt;"",TODAY()-A910,"")</f>
        <v/>
      </c>
      <c r="T910" s="4">
        <f>IF(E910="USD",F910,IF(E910="CRC",F910/CONFIG!$B$5,""))</f>
        <v/>
      </c>
      <c r="U910" s="19">
        <f>IF(A910&lt;&gt;"",A910+30,"")</f>
        <v/>
      </c>
      <c r="V910">
        <f>IF(AND(C910="CxP",S910&gt;60),"Alta",IF(AND(C910="CxP",S910&gt;30),"Media",IF(C910="CxP","Baja","")))</f>
        <v/>
      </c>
      <c r="W910">
        <f>IF(AND(C910="CxC",S910&gt;90),"Alta",IF(AND(C910="CxC",S910&gt;60),"Media",IF(C910="CxC","Baja","")))</f>
        <v/>
      </c>
    </row>
    <row r="911">
      <c r="A911" s="19" t="n"/>
      <c r="F911" s="20" t="n"/>
      <c r="Q911" s="10">
        <f>IF(E911="USD",CONFIG!$B$5,1)</f>
        <v/>
      </c>
      <c r="R911">
        <f>IF(AND(A911&lt;&gt;"",ISNUMBER(A911),B911&lt;&gt;"",C911&lt;&gt;"",OR(E911="USD",E911="CRC"),F911&gt;0,ISNUMBER(Q911),Q911&gt;0),"✓ OK","✗ ERROR: Revisa datos")</f>
        <v/>
      </c>
      <c r="S911" s="6">
        <f>IF(A911&lt;&gt;"",TODAY()-A911,"")</f>
        <v/>
      </c>
      <c r="T911" s="4">
        <f>IF(E911="USD",F911,IF(E911="CRC",F911/CONFIG!$B$5,""))</f>
        <v/>
      </c>
      <c r="U911" s="19">
        <f>IF(A911&lt;&gt;"",A911+30,"")</f>
        <v/>
      </c>
      <c r="V911">
        <f>IF(AND(C911="CxP",S911&gt;60),"Alta",IF(AND(C911="CxP",S911&gt;30),"Media",IF(C911="CxP","Baja","")))</f>
        <v/>
      </c>
      <c r="W911">
        <f>IF(AND(C911="CxC",S911&gt;90),"Alta",IF(AND(C911="CxC",S911&gt;60),"Media",IF(C911="CxC","Baja","")))</f>
        <v/>
      </c>
    </row>
    <row r="912">
      <c r="A912" s="19" t="n"/>
      <c r="F912" s="20" t="n"/>
      <c r="Q912" s="10">
        <f>IF(E912="USD",CONFIG!$B$5,1)</f>
        <v/>
      </c>
      <c r="R912">
        <f>IF(AND(A912&lt;&gt;"",ISNUMBER(A912),B912&lt;&gt;"",C912&lt;&gt;"",OR(E912="USD",E912="CRC"),F912&gt;0,ISNUMBER(Q912),Q912&gt;0),"✓ OK","✗ ERROR: Revisa datos")</f>
        <v/>
      </c>
      <c r="S912" s="6">
        <f>IF(A912&lt;&gt;"",TODAY()-A912,"")</f>
        <v/>
      </c>
      <c r="T912" s="4">
        <f>IF(E912="USD",F912,IF(E912="CRC",F912/CONFIG!$B$5,""))</f>
        <v/>
      </c>
      <c r="U912" s="19">
        <f>IF(A912&lt;&gt;"",A912+30,"")</f>
        <v/>
      </c>
      <c r="V912">
        <f>IF(AND(C912="CxP",S912&gt;60),"Alta",IF(AND(C912="CxP",S912&gt;30),"Media",IF(C912="CxP","Baja","")))</f>
        <v/>
      </c>
      <c r="W912">
        <f>IF(AND(C912="CxC",S912&gt;90),"Alta",IF(AND(C912="CxC",S912&gt;60),"Media",IF(C912="CxC","Baja","")))</f>
        <v/>
      </c>
    </row>
    <row r="913">
      <c r="A913" s="19" t="n"/>
      <c r="F913" s="20" t="n"/>
      <c r="Q913" s="10">
        <f>IF(E913="USD",CONFIG!$B$5,1)</f>
        <v/>
      </c>
      <c r="R913">
        <f>IF(AND(A913&lt;&gt;"",ISNUMBER(A913),B913&lt;&gt;"",C913&lt;&gt;"",OR(E913="USD",E913="CRC"),F913&gt;0,ISNUMBER(Q913),Q913&gt;0),"✓ OK","✗ ERROR: Revisa datos")</f>
        <v/>
      </c>
      <c r="S913" s="6">
        <f>IF(A913&lt;&gt;"",TODAY()-A913,"")</f>
        <v/>
      </c>
      <c r="T913" s="4">
        <f>IF(E913="USD",F913,IF(E913="CRC",F913/CONFIG!$B$5,""))</f>
        <v/>
      </c>
      <c r="U913" s="19">
        <f>IF(A913&lt;&gt;"",A913+30,"")</f>
        <v/>
      </c>
      <c r="V913">
        <f>IF(AND(C913="CxP",S913&gt;60),"Alta",IF(AND(C913="CxP",S913&gt;30),"Media",IF(C913="CxP","Baja","")))</f>
        <v/>
      </c>
      <c r="W913">
        <f>IF(AND(C913="CxC",S913&gt;90),"Alta",IF(AND(C913="CxC",S913&gt;60),"Media",IF(C913="CxC","Baja","")))</f>
        <v/>
      </c>
    </row>
    <row r="914">
      <c r="A914" s="19" t="n"/>
      <c r="F914" s="20" t="n"/>
      <c r="Q914" s="10">
        <f>IF(E914="USD",CONFIG!$B$5,1)</f>
        <v/>
      </c>
      <c r="R914">
        <f>IF(AND(A914&lt;&gt;"",ISNUMBER(A914),B914&lt;&gt;"",C914&lt;&gt;"",OR(E914="USD",E914="CRC"),F914&gt;0,ISNUMBER(Q914),Q914&gt;0),"✓ OK","✗ ERROR: Revisa datos")</f>
        <v/>
      </c>
      <c r="S914" s="6">
        <f>IF(A914&lt;&gt;"",TODAY()-A914,"")</f>
        <v/>
      </c>
      <c r="T914" s="4">
        <f>IF(E914="USD",F914,IF(E914="CRC",F914/CONFIG!$B$5,""))</f>
        <v/>
      </c>
      <c r="U914" s="19">
        <f>IF(A914&lt;&gt;"",A914+30,"")</f>
        <v/>
      </c>
      <c r="V914">
        <f>IF(AND(C914="CxP",S914&gt;60),"Alta",IF(AND(C914="CxP",S914&gt;30),"Media",IF(C914="CxP","Baja","")))</f>
        <v/>
      </c>
      <c r="W914">
        <f>IF(AND(C914="CxC",S914&gt;90),"Alta",IF(AND(C914="CxC",S914&gt;60),"Media",IF(C914="CxC","Baja","")))</f>
        <v/>
      </c>
    </row>
    <row r="915">
      <c r="A915" s="19" t="n"/>
      <c r="F915" s="20" t="n"/>
      <c r="Q915" s="10">
        <f>IF(E915="USD",CONFIG!$B$5,1)</f>
        <v/>
      </c>
      <c r="R915">
        <f>IF(AND(A915&lt;&gt;"",ISNUMBER(A915),B915&lt;&gt;"",C915&lt;&gt;"",OR(E915="USD",E915="CRC"),F915&gt;0,ISNUMBER(Q915),Q915&gt;0),"✓ OK","✗ ERROR: Revisa datos")</f>
        <v/>
      </c>
      <c r="S915" s="6">
        <f>IF(A915&lt;&gt;"",TODAY()-A915,"")</f>
        <v/>
      </c>
      <c r="T915" s="4">
        <f>IF(E915="USD",F915,IF(E915="CRC",F915/CONFIG!$B$5,""))</f>
        <v/>
      </c>
      <c r="U915" s="19">
        <f>IF(A915&lt;&gt;"",A915+30,"")</f>
        <v/>
      </c>
      <c r="V915">
        <f>IF(AND(C915="CxP",S915&gt;60),"Alta",IF(AND(C915="CxP",S915&gt;30),"Media",IF(C915="CxP","Baja","")))</f>
        <v/>
      </c>
      <c r="W915">
        <f>IF(AND(C915="CxC",S915&gt;90),"Alta",IF(AND(C915="CxC",S915&gt;60),"Media",IF(C915="CxC","Baja","")))</f>
        <v/>
      </c>
    </row>
    <row r="916">
      <c r="A916" s="19" t="n"/>
      <c r="F916" s="20" t="n"/>
      <c r="Q916" s="10">
        <f>IF(E916="USD",CONFIG!$B$5,1)</f>
        <v/>
      </c>
      <c r="R916">
        <f>IF(AND(A916&lt;&gt;"",ISNUMBER(A916),B916&lt;&gt;"",C916&lt;&gt;"",OR(E916="USD",E916="CRC"),F916&gt;0,ISNUMBER(Q916),Q916&gt;0),"✓ OK","✗ ERROR: Revisa datos")</f>
        <v/>
      </c>
      <c r="S916" s="6">
        <f>IF(A916&lt;&gt;"",TODAY()-A916,"")</f>
        <v/>
      </c>
      <c r="T916" s="4">
        <f>IF(E916="USD",F916,IF(E916="CRC",F916/CONFIG!$B$5,""))</f>
        <v/>
      </c>
      <c r="U916" s="19">
        <f>IF(A916&lt;&gt;"",A916+30,"")</f>
        <v/>
      </c>
      <c r="V916">
        <f>IF(AND(C916="CxP",S916&gt;60),"Alta",IF(AND(C916="CxP",S916&gt;30),"Media",IF(C916="CxP","Baja","")))</f>
        <v/>
      </c>
      <c r="W916">
        <f>IF(AND(C916="CxC",S916&gt;90),"Alta",IF(AND(C916="CxC",S916&gt;60),"Media",IF(C916="CxC","Baja","")))</f>
        <v/>
      </c>
    </row>
    <row r="917">
      <c r="A917" s="19" t="n"/>
      <c r="F917" s="20" t="n"/>
      <c r="Q917" s="10">
        <f>IF(E917="USD",CONFIG!$B$5,1)</f>
        <v/>
      </c>
      <c r="R917">
        <f>IF(AND(A917&lt;&gt;"",ISNUMBER(A917),B917&lt;&gt;"",C917&lt;&gt;"",OR(E917="USD",E917="CRC"),F917&gt;0,ISNUMBER(Q917),Q917&gt;0),"✓ OK","✗ ERROR: Revisa datos")</f>
        <v/>
      </c>
      <c r="S917" s="6">
        <f>IF(A917&lt;&gt;"",TODAY()-A917,"")</f>
        <v/>
      </c>
      <c r="T917" s="4">
        <f>IF(E917="USD",F917,IF(E917="CRC",F917/CONFIG!$B$5,""))</f>
        <v/>
      </c>
      <c r="U917" s="19">
        <f>IF(A917&lt;&gt;"",A917+30,"")</f>
        <v/>
      </c>
      <c r="V917">
        <f>IF(AND(C917="CxP",S917&gt;60),"Alta",IF(AND(C917="CxP",S917&gt;30),"Media",IF(C917="CxP","Baja","")))</f>
        <v/>
      </c>
      <c r="W917">
        <f>IF(AND(C917="CxC",S917&gt;90),"Alta",IF(AND(C917="CxC",S917&gt;60),"Media",IF(C917="CxC","Baja","")))</f>
        <v/>
      </c>
    </row>
    <row r="918">
      <c r="A918" s="19" t="n"/>
      <c r="F918" s="20" t="n"/>
      <c r="Q918" s="10">
        <f>IF(E918="USD",CONFIG!$B$5,1)</f>
        <v/>
      </c>
      <c r="R918">
        <f>IF(AND(A918&lt;&gt;"",ISNUMBER(A918),B918&lt;&gt;"",C918&lt;&gt;"",OR(E918="USD",E918="CRC"),F918&gt;0,ISNUMBER(Q918),Q918&gt;0),"✓ OK","✗ ERROR: Revisa datos")</f>
        <v/>
      </c>
      <c r="S918" s="6">
        <f>IF(A918&lt;&gt;"",TODAY()-A918,"")</f>
        <v/>
      </c>
      <c r="T918" s="4">
        <f>IF(E918="USD",F918,IF(E918="CRC",F918/CONFIG!$B$5,""))</f>
        <v/>
      </c>
      <c r="U918" s="19">
        <f>IF(A918&lt;&gt;"",A918+30,"")</f>
        <v/>
      </c>
      <c r="V918">
        <f>IF(AND(C918="CxP",S918&gt;60),"Alta",IF(AND(C918="CxP",S918&gt;30),"Media",IF(C918="CxP","Baja","")))</f>
        <v/>
      </c>
      <c r="W918">
        <f>IF(AND(C918="CxC",S918&gt;90),"Alta",IF(AND(C918="CxC",S918&gt;60),"Media",IF(C918="CxC","Baja","")))</f>
        <v/>
      </c>
    </row>
    <row r="919">
      <c r="A919" s="19" t="n"/>
      <c r="F919" s="20" t="n"/>
      <c r="Q919" s="10">
        <f>IF(E919="USD",CONFIG!$B$5,1)</f>
        <v/>
      </c>
      <c r="R919">
        <f>IF(AND(A919&lt;&gt;"",ISNUMBER(A919),B919&lt;&gt;"",C919&lt;&gt;"",OR(E919="USD",E919="CRC"),F919&gt;0,ISNUMBER(Q919),Q919&gt;0),"✓ OK","✗ ERROR: Revisa datos")</f>
        <v/>
      </c>
      <c r="S919" s="6">
        <f>IF(A919&lt;&gt;"",TODAY()-A919,"")</f>
        <v/>
      </c>
      <c r="T919" s="4">
        <f>IF(E919="USD",F919,IF(E919="CRC",F919/CONFIG!$B$5,""))</f>
        <v/>
      </c>
      <c r="U919" s="19">
        <f>IF(A919&lt;&gt;"",A919+30,"")</f>
        <v/>
      </c>
      <c r="V919">
        <f>IF(AND(C919="CxP",S919&gt;60),"Alta",IF(AND(C919="CxP",S919&gt;30),"Media",IF(C919="CxP","Baja","")))</f>
        <v/>
      </c>
      <c r="W919">
        <f>IF(AND(C919="CxC",S919&gt;90),"Alta",IF(AND(C919="CxC",S919&gt;60),"Media",IF(C919="CxC","Baja","")))</f>
        <v/>
      </c>
    </row>
    <row r="920">
      <c r="A920" s="19" t="n"/>
      <c r="F920" s="20" t="n"/>
      <c r="Q920" s="10">
        <f>IF(E920="USD",CONFIG!$B$5,1)</f>
        <v/>
      </c>
      <c r="R920">
        <f>IF(AND(A920&lt;&gt;"",ISNUMBER(A920),B920&lt;&gt;"",C920&lt;&gt;"",OR(E920="USD",E920="CRC"),F920&gt;0,ISNUMBER(Q920),Q920&gt;0),"✓ OK","✗ ERROR: Revisa datos")</f>
        <v/>
      </c>
      <c r="S920" s="6">
        <f>IF(A920&lt;&gt;"",TODAY()-A920,"")</f>
        <v/>
      </c>
      <c r="T920" s="4">
        <f>IF(E920="USD",F920,IF(E920="CRC",F920/CONFIG!$B$5,""))</f>
        <v/>
      </c>
      <c r="U920" s="19">
        <f>IF(A920&lt;&gt;"",A920+30,"")</f>
        <v/>
      </c>
      <c r="V920">
        <f>IF(AND(C920="CxP",S920&gt;60),"Alta",IF(AND(C920="CxP",S920&gt;30),"Media",IF(C920="CxP","Baja","")))</f>
        <v/>
      </c>
      <c r="W920">
        <f>IF(AND(C920="CxC",S920&gt;90),"Alta",IF(AND(C920="CxC",S920&gt;60),"Media",IF(C920="CxC","Baja","")))</f>
        <v/>
      </c>
    </row>
    <row r="921">
      <c r="A921" s="19" t="n"/>
      <c r="F921" s="20" t="n"/>
      <c r="Q921" s="10">
        <f>IF(E921="USD",CONFIG!$B$5,1)</f>
        <v/>
      </c>
      <c r="R921">
        <f>IF(AND(A921&lt;&gt;"",ISNUMBER(A921),B921&lt;&gt;"",C921&lt;&gt;"",OR(E921="USD",E921="CRC"),F921&gt;0,ISNUMBER(Q921),Q921&gt;0),"✓ OK","✗ ERROR: Revisa datos")</f>
        <v/>
      </c>
      <c r="S921" s="6">
        <f>IF(A921&lt;&gt;"",TODAY()-A921,"")</f>
        <v/>
      </c>
      <c r="T921" s="4">
        <f>IF(E921="USD",F921,IF(E921="CRC",F921/CONFIG!$B$5,""))</f>
        <v/>
      </c>
      <c r="U921" s="19">
        <f>IF(A921&lt;&gt;"",A921+30,"")</f>
        <v/>
      </c>
      <c r="V921">
        <f>IF(AND(C921="CxP",S921&gt;60),"Alta",IF(AND(C921="CxP",S921&gt;30),"Media",IF(C921="CxP","Baja","")))</f>
        <v/>
      </c>
      <c r="W921">
        <f>IF(AND(C921="CxC",S921&gt;90),"Alta",IF(AND(C921="CxC",S921&gt;60),"Media",IF(C921="CxC","Baja","")))</f>
        <v/>
      </c>
    </row>
    <row r="922">
      <c r="A922" s="19" t="n"/>
      <c r="F922" s="20" t="n"/>
      <c r="Q922" s="10">
        <f>IF(E922="USD",CONFIG!$B$5,1)</f>
        <v/>
      </c>
      <c r="R922">
        <f>IF(AND(A922&lt;&gt;"",ISNUMBER(A922),B922&lt;&gt;"",C922&lt;&gt;"",OR(E922="USD",E922="CRC"),F922&gt;0,ISNUMBER(Q922),Q922&gt;0),"✓ OK","✗ ERROR: Revisa datos")</f>
        <v/>
      </c>
      <c r="S922" s="6">
        <f>IF(A922&lt;&gt;"",TODAY()-A922,"")</f>
        <v/>
      </c>
      <c r="T922" s="4">
        <f>IF(E922="USD",F922,IF(E922="CRC",F922/CONFIG!$B$5,""))</f>
        <v/>
      </c>
      <c r="U922" s="19">
        <f>IF(A922&lt;&gt;"",A922+30,"")</f>
        <v/>
      </c>
      <c r="V922">
        <f>IF(AND(C922="CxP",S922&gt;60),"Alta",IF(AND(C922="CxP",S922&gt;30),"Media",IF(C922="CxP","Baja","")))</f>
        <v/>
      </c>
      <c r="W922">
        <f>IF(AND(C922="CxC",S922&gt;90),"Alta",IF(AND(C922="CxC",S922&gt;60),"Media",IF(C922="CxC","Baja","")))</f>
        <v/>
      </c>
    </row>
    <row r="923">
      <c r="A923" s="19" t="n"/>
      <c r="F923" s="20" t="n"/>
      <c r="Q923" s="10">
        <f>IF(E923="USD",CONFIG!$B$5,1)</f>
        <v/>
      </c>
      <c r="R923">
        <f>IF(AND(A923&lt;&gt;"",ISNUMBER(A923),B923&lt;&gt;"",C923&lt;&gt;"",OR(E923="USD",E923="CRC"),F923&gt;0,ISNUMBER(Q923),Q923&gt;0),"✓ OK","✗ ERROR: Revisa datos")</f>
        <v/>
      </c>
      <c r="S923" s="6">
        <f>IF(A923&lt;&gt;"",TODAY()-A923,"")</f>
        <v/>
      </c>
      <c r="T923" s="4">
        <f>IF(E923="USD",F923,IF(E923="CRC",F923/CONFIG!$B$5,""))</f>
        <v/>
      </c>
      <c r="U923" s="19">
        <f>IF(A923&lt;&gt;"",A923+30,"")</f>
        <v/>
      </c>
      <c r="V923">
        <f>IF(AND(C923="CxP",S923&gt;60),"Alta",IF(AND(C923="CxP",S923&gt;30),"Media",IF(C923="CxP","Baja","")))</f>
        <v/>
      </c>
      <c r="W923">
        <f>IF(AND(C923="CxC",S923&gt;90),"Alta",IF(AND(C923="CxC",S923&gt;60),"Media",IF(C923="CxC","Baja","")))</f>
        <v/>
      </c>
    </row>
    <row r="924">
      <c r="A924" s="19" t="n"/>
      <c r="F924" s="20" t="n"/>
      <c r="Q924" s="10">
        <f>IF(E924="USD",CONFIG!$B$5,1)</f>
        <v/>
      </c>
      <c r="R924">
        <f>IF(AND(A924&lt;&gt;"",ISNUMBER(A924),B924&lt;&gt;"",C924&lt;&gt;"",OR(E924="USD",E924="CRC"),F924&gt;0,ISNUMBER(Q924),Q924&gt;0),"✓ OK","✗ ERROR: Revisa datos")</f>
        <v/>
      </c>
      <c r="S924" s="6">
        <f>IF(A924&lt;&gt;"",TODAY()-A924,"")</f>
        <v/>
      </c>
      <c r="T924" s="4">
        <f>IF(E924="USD",F924,IF(E924="CRC",F924/CONFIG!$B$5,""))</f>
        <v/>
      </c>
      <c r="U924" s="19">
        <f>IF(A924&lt;&gt;"",A924+30,"")</f>
        <v/>
      </c>
      <c r="V924">
        <f>IF(AND(C924="CxP",S924&gt;60),"Alta",IF(AND(C924="CxP",S924&gt;30),"Media",IF(C924="CxP","Baja","")))</f>
        <v/>
      </c>
      <c r="W924">
        <f>IF(AND(C924="CxC",S924&gt;90),"Alta",IF(AND(C924="CxC",S924&gt;60),"Media",IF(C924="CxC","Baja","")))</f>
        <v/>
      </c>
    </row>
    <row r="925">
      <c r="A925" s="19" t="n"/>
      <c r="F925" s="20" t="n"/>
      <c r="Q925" s="10">
        <f>IF(E925="USD",CONFIG!$B$5,1)</f>
        <v/>
      </c>
      <c r="R925">
        <f>IF(AND(A925&lt;&gt;"",ISNUMBER(A925),B925&lt;&gt;"",C925&lt;&gt;"",OR(E925="USD",E925="CRC"),F925&gt;0,ISNUMBER(Q925),Q925&gt;0),"✓ OK","✗ ERROR: Revisa datos")</f>
        <v/>
      </c>
      <c r="S925" s="6">
        <f>IF(A925&lt;&gt;"",TODAY()-A925,"")</f>
        <v/>
      </c>
      <c r="T925" s="4">
        <f>IF(E925="USD",F925,IF(E925="CRC",F925/CONFIG!$B$5,""))</f>
        <v/>
      </c>
      <c r="U925" s="19">
        <f>IF(A925&lt;&gt;"",A925+30,"")</f>
        <v/>
      </c>
      <c r="V925">
        <f>IF(AND(C925="CxP",S925&gt;60),"Alta",IF(AND(C925="CxP",S925&gt;30),"Media",IF(C925="CxP","Baja","")))</f>
        <v/>
      </c>
      <c r="W925">
        <f>IF(AND(C925="CxC",S925&gt;90),"Alta",IF(AND(C925="CxC",S925&gt;60),"Media",IF(C925="CxC","Baja","")))</f>
        <v/>
      </c>
    </row>
    <row r="926">
      <c r="A926" s="19" t="n"/>
      <c r="F926" s="20" t="n"/>
      <c r="Q926" s="10">
        <f>IF(E926="USD",CONFIG!$B$5,1)</f>
        <v/>
      </c>
      <c r="R926">
        <f>IF(AND(A926&lt;&gt;"",ISNUMBER(A926),B926&lt;&gt;"",C926&lt;&gt;"",OR(E926="USD",E926="CRC"),F926&gt;0,ISNUMBER(Q926),Q926&gt;0),"✓ OK","✗ ERROR: Revisa datos")</f>
        <v/>
      </c>
      <c r="S926" s="6">
        <f>IF(A926&lt;&gt;"",TODAY()-A926,"")</f>
        <v/>
      </c>
      <c r="T926" s="4">
        <f>IF(E926="USD",F926,IF(E926="CRC",F926/CONFIG!$B$5,""))</f>
        <v/>
      </c>
      <c r="U926" s="19">
        <f>IF(A926&lt;&gt;"",A926+30,"")</f>
        <v/>
      </c>
      <c r="V926">
        <f>IF(AND(C926="CxP",S926&gt;60),"Alta",IF(AND(C926="CxP",S926&gt;30),"Media",IF(C926="CxP","Baja","")))</f>
        <v/>
      </c>
      <c r="W926">
        <f>IF(AND(C926="CxC",S926&gt;90),"Alta",IF(AND(C926="CxC",S926&gt;60),"Media",IF(C926="CxC","Baja","")))</f>
        <v/>
      </c>
    </row>
    <row r="927">
      <c r="A927" s="19" t="n"/>
      <c r="F927" s="20" t="n"/>
      <c r="Q927" s="10">
        <f>IF(E927="USD",CONFIG!$B$5,1)</f>
        <v/>
      </c>
      <c r="R927">
        <f>IF(AND(A927&lt;&gt;"",ISNUMBER(A927),B927&lt;&gt;"",C927&lt;&gt;"",OR(E927="USD",E927="CRC"),F927&gt;0,ISNUMBER(Q927),Q927&gt;0),"✓ OK","✗ ERROR: Revisa datos")</f>
        <v/>
      </c>
      <c r="S927" s="6">
        <f>IF(A927&lt;&gt;"",TODAY()-A927,"")</f>
        <v/>
      </c>
      <c r="T927" s="4">
        <f>IF(E927="USD",F927,IF(E927="CRC",F927/CONFIG!$B$5,""))</f>
        <v/>
      </c>
      <c r="U927" s="19">
        <f>IF(A927&lt;&gt;"",A927+30,"")</f>
        <v/>
      </c>
      <c r="V927">
        <f>IF(AND(C927="CxP",S927&gt;60),"Alta",IF(AND(C927="CxP",S927&gt;30),"Media",IF(C927="CxP","Baja","")))</f>
        <v/>
      </c>
      <c r="W927">
        <f>IF(AND(C927="CxC",S927&gt;90),"Alta",IF(AND(C927="CxC",S927&gt;60),"Media",IF(C927="CxC","Baja","")))</f>
        <v/>
      </c>
    </row>
    <row r="928">
      <c r="A928" s="19" t="n"/>
      <c r="F928" s="20" t="n"/>
      <c r="Q928" s="10">
        <f>IF(E928="USD",CONFIG!$B$5,1)</f>
        <v/>
      </c>
      <c r="R928">
        <f>IF(AND(A928&lt;&gt;"",ISNUMBER(A928),B928&lt;&gt;"",C928&lt;&gt;"",OR(E928="USD",E928="CRC"),F928&gt;0,ISNUMBER(Q928),Q928&gt;0),"✓ OK","✗ ERROR: Revisa datos")</f>
        <v/>
      </c>
      <c r="S928" s="6">
        <f>IF(A928&lt;&gt;"",TODAY()-A928,"")</f>
        <v/>
      </c>
      <c r="T928" s="4">
        <f>IF(E928="USD",F928,IF(E928="CRC",F928/CONFIG!$B$5,""))</f>
        <v/>
      </c>
      <c r="U928" s="19">
        <f>IF(A928&lt;&gt;"",A928+30,"")</f>
        <v/>
      </c>
      <c r="V928">
        <f>IF(AND(C928="CxP",S928&gt;60),"Alta",IF(AND(C928="CxP",S928&gt;30),"Media",IF(C928="CxP","Baja","")))</f>
        <v/>
      </c>
      <c r="W928">
        <f>IF(AND(C928="CxC",S928&gt;90),"Alta",IF(AND(C928="CxC",S928&gt;60),"Media",IF(C928="CxC","Baja","")))</f>
        <v/>
      </c>
    </row>
    <row r="929">
      <c r="A929" s="19" t="n"/>
      <c r="F929" s="20" t="n"/>
      <c r="Q929" s="10">
        <f>IF(E929="USD",CONFIG!$B$5,1)</f>
        <v/>
      </c>
      <c r="R929">
        <f>IF(AND(A929&lt;&gt;"",ISNUMBER(A929),B929&lt;&gt;"",C929&lt;&gt;"",OR(E929="USD",E929="CRC"),F929&gt;0,ISNUMBER(Q929),Q929&gt;0),"✓ OK","✗ ERROR: Revisa datos")</f>
        <v/>
      </c>
      <c r="S929" s="6">
        <f>IF(A929&lt;&gt;"",TODAY()-A929,"")</f>
        <v/>
      </c>
      <c r="T929" s="4">
        <f>IF(E929="USD",F929,IF(E929="CRC",F929/CONFIG!$B$5,""))</f>
        <v/>
      </c>
      <c r="U929" s="19">
        <f>IF(A929&lt;&gt;"",A929+30,"")</f>
        <v/>
      </c>
      <c r="V929">
        <f>IF(AND(C929="CxP",S929&gt;60),"Alta",IF(AND(C929="CxP",S929&gt;30),"Media",IF(C929="CxP","Baja","")))</f>
        <v/>
      </c>
      <c r="W929">
        <f>IF(AND(C929="CxC",S929&gt;90),"Alta",IF(AND(C929="CxC",S929&gt;60),"Media",IF(C929="CxC","Baja","")))</f>
        <v/>
      </c>
    </row>
    <row r="930">
      <c r="A930" s="19" t="n"/>
      <c r="F930" s="20" t="n"/>
      <c r="Q930" s="10">
        <f>IF(E930="USD",CONFIG!$B$5,1)</f>
        <v/>
      </c>
      <c r="R930">
        <f>IF(AND(A930&lt;&gt;"",ISNUMBER(A930),B930&lt;&gt;"",C930&lt;&gt;"",OR(E930="USD",E930="CRC"),F930&gt;0,ISNUMBER(Q930),Q930&gt;0),"✓ OK","✗ ERROR: Revisa datos")</f>
        <v/>
      </c>
      <c r="S930" s="6">
        <f>IF(A930&lt;&gt;"",TODAY()-A930,"")</f>
        <v/>
      </c>
      <c r="T930" s="4">
        <f>IF(E930="USD",F930,IF(E930="CRC",F930/CONFIG!$B$5,""))</f>
        <v/>
      </c>
      <c r="U930" s="19">
        <f>IF(A930&lt;&gt;"",A930+30,"")</f>
        <v/>
      </c>
      <c r="V930">
        <f>IF(AND(C930="CxP",S930&gt;60),"Alta",IF(AND(C930="CxP",S930&gt;30),"Media",IF(C930="CxP","Baja","")))</f>
        <v/>
      </c>
      <c r="W930">
        <f>IF(AND(C930="CxC",S930&gt;90),"Alta",IF(AND(C930="CxC",S930&gt;60),"Media",IF(C930="CxC","Baja","")))</f>
        <v/>
      </c>
    </row>
    <row r="931">
      <c r="A931" s="19" t="n"/>
      <c r="F931" s="20" t="n"/>
      <c r="Q931" s="10">
        <f>IF(E931="USD",CONFIG!$B$5,1)</f>
        <v/>
      </c>
      <c r="R931">
        <f>IF(AND(A931&lt;&gt;"",ISNUMBER(A931),B931&lt;&gt;"",C931&lt;&gt;"",OR(E931="USD",E931="CRC"),F931&gt;0,ISNUMBER(Q931),Q931&gt;0),"✓ OK","✗ ERROR: Revisa datos")</f>
        <v/>
      </c>
      <c r="S931" s="6">
        <f>IF(A931&lt;&gt;"",TODAY()-A931,"")</f>
        <v/>
      </c>
      <c r="T931" s="4">
        <f>IF(E931="USD",F931,IF(E931="CRC",F931/CONFIG!$B$5,""))</f>
        <v/>
      </c>
      <c r="U931" s="19">
        <f>IF(A931&lt;&gt;"",A931+30,"")</f>
        <v/>
      </c>
      <c r="V931">
        <f>IF(AND(C931="CxP",S931&gt;60),"Alta",IF(AND(C931="CxP",S931&gt;30),"Media",IF(C931="CxP","Baja","")))</f>
        <v/>
      </c>
      <c r="W931">
        <f>IF(AND(C931="CxC",S931&gt;90),"Alta",IF(AND(C931="CxC",S931&gt;60),"Media",IF(C931="CxC","Baja","")))</f>
        <v/>
      </c>
    </row>
    <row r="932">
      <c r="A932" s="19" t="n"/>
      <c r="F932" s="20" t="n"/>
      <c r="Q932" s="10">
        <f>IF(E932="USD",CONFIG!$B$5,1)</f>
        <v/>
      </c>
      <c r="R932">
        <f>IF(AND(A932&lt;&gt;"",ISNUMBER(A932),B932&lt;&gt;"",C932&lt;&gt;"",OR(E932="USD",E932="CRC"),F932&gt;0,ISNUMBER(Q932),Q932&gt;0),"✓ OK","✗ ERROR: Revisa datos")</f>
        <v/>
      </c>
      <c r="S932" s="6">
        <f>IF(A932&lt;&gt;"",TODAY()-A932,"")</f>
        <v/>
      </c>
      <c r="T932" s="4">
        <f>IF(E932="USD",F932,IF(E932="CRC",F932/CONFIG!$B$5,""))</f>
        <v/>
      </c>
      <c r="U932" s="19">
        <f>IF(A932&lt;&gt;"",A932+30,"")</f>
        <v/>
      </c>
      <c r="V932">
        <f>IF(AND(C932="CxP",S932&gt;60),"Alta",IF(AND(C932="CxP",S932&gt;30),"Media",IF(C932="CxP","Baja","")))</f>
        <v/>
      </c>
      <c r="W932">
        <f>IF(AND(C932="CxC",S932&gt;90),"Alta",IF(AND(C932="CxC",S932&gt;60),"Media",IF(C932="CxC","Baja","")))</f>
        <v/>
      </c>
    </row>
    <row r="933">
      <c r="A933" s="19" t="n"/>
      <c r="F933" s="20" t="n"/>
      <c r="Q933" s="10">
        <f>IF(E933="USD",CONFIG!$B$5,1)</f>
        <v/>
      </c>
      <c r="R933">
        <f>IF(AND(A933&lt;&gt;"",ISNUMBER(A933),B933&lt;&gt;"",C933&lt;&gt;"",OR(E933="USD",E933="CRC"),F933&gt;0,ISNUMBER(Q933),Q933&gt;0),"✓ OK","✗ ERROR: Revisa datos")</f>
        <v/>
      </c>
      <c r="S933" s="6">
        <f>IF(A933&lt;&gt;"",TODAY()-A933,"")</f>
        <v/>
      </c>
      <c r="T933" s="4">
        <f>IF(E933="USD",F933,IF(E933="CRC",F933/CONFIG!$B$5,""))</f>
        <v/>
      </c>
      <c r="U933" s="19">
        <f>IF(A933&lt;&gt;"",A933+30,"")</f>
        <v/>
      </c>
      <c r="V933">
        <f>IF(AND(C933="CxP",S933&gt;60),"Alta",IF(AND(C933="CxP",S933&gt;30),"Media",IF(C933="CxP","Baja","")))</f>
        <v/>
      </c>
      <c r="W933">
        <f>IF(AND(C933="CxC",S933&gt;90),"Alta",IF(AND(C933="CxC",S933&gt;60),"Media",IF(C933="CxC","Baja","")))</f>
        <v/>
      </c>
    </row>
    <row r="934">
      <c r="A934" s="19" t="n"/>
      <c r="F934" s="20" t="n"/>
      <c r="Q934" s="10">
        <f>IF(E934="USD",CONFIG!$B$5,1)</f>
        <v/>
      </c>
      <c r="R934">
        <f>IF(AND(A934&lt;&gt;"",ISNUMBER(A934),B934&lt;&gt;"",C934&lt;&gt;"",OR(E934="USD",E934="CRC"),F934&gt;0,ISNUMBER(Q934),Q934&gt;0),"✓ OK","✗ ERROR: Revisa datos")</f>
        <v/>
      </c>
      <c r="S934" s="6">
        <f>IF(A934&lt;&gt;"",TODAY()-A934,"")</f>
        <v/>
      </c>
      <c r="T934" s="4">
        <f>IF(E934="USD",F934,IF(E934="CRC",F934/CONFIG!$B$5,""))</f>
        <v/>
      </c>
      <c r="U934" s="19">
        <f>IF(A934&lt;&gt;"",A934+30,"")</f>
        <v/>
      </c>
      <c r="V934">
        <f>IF(AND(C934="CxP",S934&gt;60),"Alta",IF(AND(C934="CxP",S934&gt;30),"Media",IF(C934="CxP","Baja","")))</f>
        <v/>
      </c>
      <c r="W934">
        <f>IF(AND(C934="CxC",S934&gt;90),"Alta",IF(AND(C934="CxC",S934&gt;60),"Media",IF(C934="CxC","Baja","")))</f>
        <v/>
      </c>
    </row>
    <row r="935">
      <c r="A935" s="19" t="n"/>
      <c r="F935" s="20" t="n"/>
      <c r="Q935" s="10">
        <f>IF(E935="USD",CONFIG!$B$5,1)</f>
        <v/>
      </c>
      <c r="R935">
        <f>IF(AND(A935&lt;&gt;"",ISNUMBER(A935),B935&lt;&gt;"",C935&lt;&gt;"",OR(E935="USD",E935="CRC"),F935&gt;0,ISNUMBER(Q935),Q935&gt;0),"✓ OK","✗ ERROR: Revisa datos")</f>
        <v/>
      </c>
      <c r="S935" s="6">
        <f>IF(A935&lt;&gt;"",TODAY()-A935,"")</f>
        <v/>
      </c>
      <c r="T935" s="4">
        <f>IF(E935="USD",F935,IF(E935="CRC",F935/CONFIG!$B$5,""))</f>
        <v/>
      </c>
      <c r="U935" s="19">
        <f>IF(A935&lt;&gt;"",A935+30,"")</f>
        <v/>
      </c>
      <c r="V935">
        <f>IF(AND(C935="CxP",S935&gt;60),"Alta",IF(AND(C935="CxP",S935&gt;30),"Media",IF(C935="CxP","Baja","")))</f>
        <v/>
      </c>
      <c r="W935">
        <f>IF(AND(C935="CxC",S935&gt;90),"Alta",IF(AND(C935="CxC",S935&gt;60),"Media",IF(C935="CxC","Baja","")))</f>
        <v/>
      </c>
    </row>
    <row r="936">
      <c r="A936" s="19" t="n"/>
      <c r="F936" s="20" t="n"/>
      <c r="Q936" s="10">
        <f>IF(E936="USD",CONFIG!$B$5,1)</f>
        <v/>
      </c>
      <c r="R936">
        <f>IF(AND(A936&lt;&gt;"",ISNUMBER(A936),B936&lt;&gt;"",C936&lt;&gt;"",OR(E936="USD",E936="CRC"),F936&gt;0,ISNUMBER(Q936),Q936&gt;0),"✓ OK","✗ ERROR: Revisa datos")</f>
        <v/>
      </c>
      <c r="S936" s="6">
        <f>IF(A936&lt;&gt;"",TODAY()-A936,"")</f>
        <v/>
      </c>
      <c r="T936" s="4">
        <f>IF(E936="USD",F936,IF(E936="CRC",F936/CONFIG!$B$5,""))</f>
        <v/>
      </c>
      <c r="U936" s="19">
        <f>IF(A936&lt;&gt;"",A936+30,"")</f>
        <v/>
      </c>
      <c r="V936">
        <f>IF(AND(C936="CxP",S936&gt;60),"Alta",IF(AND(C936="CxP",S936&gt;30),"Media",IF(C936="CxP","Baja","")))</f>
        <v/>
      </c>
      <c r="W936">
        <f>IF(AND(C936="CxC",S936&gt;90),"Alta",IF(AND(C936="CxC",S936&gt;60),"Media",IF(C936="CxC","Baja","")))</f>
        <v/>
      </c>
    </row>
    <row r="937">
      <c r="A937" s="19" t="n"/>
      <c r="F937" s="20" t="n"/>
      <c r="Q937" s="10">
        <f>IF(E937="USD",CONFIG!$B$5,1)</f>
        <v/>
      </c>
      <c r="R937">
        <f>IF(AND(A937&lt;&gt;"",ISNUMBER(A937),B937&lt;&gt;"",C937&lt;&gt;"",OR(E937="USD",E937="CRC"),F937&gt;0,ISNUMBER(Q937),Q937&gt;0),"✓ OK","✗ ERROR: Revisa datos")</f>
        <v/>
      </c>
      <c r="S937" s="6">
        <f>IF(A937&lt;&gt;"",TODAY()-A937,"")</f>
        <v/>
      </c>
      <c r="T937" s="4">
        <f>IF(E937="USD",F937,IF(E937="CRC",F937/CONFIG!$B$5,""))</f>
        <v/>
      </c>
      <c r="U937" s="19">
        <f>IF(A937&lt;&gt;"",A937+30,"")</f>
        <v/>
      </c>
      <c r="V937">
        <f>IF(AND(C937="CxP",S937&gt;60),"Alta",IF(AND(C937="CxP",S937&gt;30),"Media",IF(C937="CxP","Baja","")))</f>
        <v/>
      </c>
      <c r="W937">
        <f>IF(AND(C937="CxC",S937&gt;90),"Alta",IF(AND(C937="CxC",S937&gt;60),"Media",IF(C937="CxC","Baja","")))</f>
        <v/>
      </c>
    </row>
    <row r="938">
      <c r="A938" s="19" t="n"/>
      <c r="F938" s="20" t="n"/>
      <c r="Q938" s="10">
        <f>IF(E938="USD",CONFIG!$B$5,1)</f>
        <v/>
      </c>
      <c r="R938">
        <f>IF(AND(A938&lt;&gt;"",ISNUMBER(A938),B938&lt;&gt;"",C938&lt;&gt;"",OR(E938="USD",E938="CRC"),F938&gt;0,ISNUMBER(Q938),Q938&gt;0),"✓ OK","✗ ERROR: Revisa datos")</f>
        <v/>
      </c>
      <c r="S938" s="6">
        <f>IF(A938&lt;&gt;"",TODAY()-A938,"")</f>
        <v/>
      </c>
      <c r="T938" s="4">
        <f>IF(E938="USD",F938,IF(E938="CRC",F938/CONFIG!$B$5,""))</f>
        <v/>
      </c>
      <c r="U938" s="19">
        <f>IF(A938&lt;&gt;"",A938+30,"")</f>
        <v/>
      </c>
      <c r="V938">
        <f>IF(AND(C938="CxP",S938&gt;60),"Alta",IF(AND(C938="CxP",S938&gt;30),"Media",IF(C938="CxP","Baja","")))</f>
        <v/>
      </c>
      <c r="W938">
        <f>IF(AND(C938="CxC",S938&gt;90),"Alta",IF(AND(C938="CxC",S938&gt;60),"Media",IF(C938="CxC","Baja","")))</f>
        <v/>
      </c>
    </row>
    <row r="939">
      <c r="A939" s="19" t="n"/>
      <c r="F939" s="20" t="n"/>
      <c r="Q939" s="10">
        <f>IF(E939="USD",CONFIG!$B$5,1)</f>
        <v/>
      </c>
      <c r="R939">
        <f>IF(AND(A939&lt;&gt;"",ISNUMBER(A939),B939&lt;&gt;"",C939&lt;&gt;"",OR(E939="USD",E939="CRC"),F939&gt;0,ISNUMBER(Q939),Q939&gt;0),"✓ OK","✗ ERROR: Revisa datos")</f>
        <v/>
      </c>
      <c r="S939" s="6">
        <f>IF(A939&lt;&gt;"",TODAY()-A939,"")</f>
        <v/>
      </c>
      <c r="T939" s="4">
        <f>IF(E939="USD",F939,IF(E939="CRC",F939/CONFIG!$B$5,""))</f>
        <v/>
      </c>
      <c r="U939" s="19">
        <f>IF(A939&lt;&gt;"",A939+30,"")</f>
        <v/>
      </c>
      <c r="V939">
        <f>IF(AND(C939="CxP",S939&gt;60),"Alta",IF(AND(C939="CxP",S939&gt;30),"Media",IF(C939="CxP","Baja","")))</f>
        <v/>
      </c>
      <c r="W939">
        <f>IF(AND(C939="CxC",S939&gt;90),"Alta",IF(AND(C939="CxC",S939&gt;60),"Media",IF(C939="CxC","Baja","")))</f>
        <v/>
      </c>
    </row>
    <row r="940">
      <c r="A940" s="19" t="n"/>
      <c r="F940" s="20" t="n"/>
      <c r="Q940" s="10">
        <f>IF(E940="USD",CONFIG!$B$5,1)</f>
        <v/>
      </c>
      <c r="R940">
        <f>IF(AND(A940&lt;&gt;"",ISNUMBER(A940),B940&lt;&gt;"",C940&lt;&gt;"",OR(E940="USD",E940="CRC"),F940&gt;0,ISNUMBER(Q940),Q940&gt;0),"✓ OK","✗ ERROR: Revisa datos")</f>
        <v/>
      </c>
      <c r="S940" s="6">
        <f>IF(A940&lt;&gt;"",TODAY()-A940,"")</f>
        <v/>
      </c>
      <c r="T940" s="4">
        <f>IF(E940="USD",F940,IF(E940="CRC",F940/CONFIG!$B$5,""))</f>
        <v/>
      </c>
      <c r="U940" s="19">
        <f>IF(A940&lt;&gt;"",A940+30,"")</f>
        <v/>
      </c>
      <c r="V940">
        <f>IF(AND(C940="CxP",S940&gt;60),"Alta",IF(AND(C940="CxP",S940&gt;30),"Media",IF(C940="CxP","Baja","")))</f>
        <v/>
      </c>
      <c r="W940">
        <f>IF(AND(C940="CxC",S940&gt;90),"Alta",IF(AND(C940="CxC",S940&gt;60),"Media",IF(C940="CxC","Baja","")))</f>
        <v/>
      </c>
    </row>
    <row r="941">
      <c r="A941" s="19" t="n"/>
      <c r="F941" s="20" t="n"/>
      <c r="Q941" s="10">
        <f>IF(E941="USD",CONFIG!$B$5,1)</f>
        <v/>
      </c>
      <c r="R941">
        <f>IF(AND(A941&lt;&gt;"",ISNUMBER(A941),B941&lt;&gt;"",C941&lt;&gt;"",OR(E941="USD",E941="CRC"),F941&gt;0,ISNUMBER(Q941),Q941&gt;0),"✓ OK","✗ ERROR: Revisa datos")</f>
        <v/>
      </c>
      <c r="S941" s="6">
        <f>IF(A941&lt;&gt;"",TODAY()-A941,"")</f>
        <v/>
      </c>
      <c r="T941" s="4">
        <f>IF(E941="USD",F941,IF(E941="CRC",F941/CONFIG!$B$5,""))</f>
        <v/>
      </c>
      <c r="U941" s="19">
        <f>IF(A941&lt;&gt;"",A941+30,"")</f>
        <v/>
      </c>
      <c r="V941">
        <f>IF(AND(C941="CxP",S941&gt;60),"Alta",IF(AND(C941="CxP",S941&gt;30),"Media",IF(C941="CxP","Baja","")))</f>
        <v/>
      </c>
      <c r="W941">
        <f>IF(AND(C941="CxC",S941&gt;90),"Alta",IF(AND(C941="CxC",S941&gt;60),"Media",IF(C941="CxC","Baja","")))</f>
        <v/>
      </c>
    </row>
    <row r="942">
      <c r="A942" s="19" t="n"/>
      <c r="F942" s="20" t="n"/>
      <c r="Q942" s="10">
        <f>IF(E942="USD",CONFIG!$B$5,1)</f>
        <v/>
      </c>
      <c r="R942">
        <f>IF(AND(A942&lt;&gt;"",ISNUMBER(A942),B942&lt;&gt;"",C942&lt;&gt;"",OR(E942="USD",E942="CRC"),F942&gt;0,ISNUMBER(Q942),Q942&gt;0),"✓ OK","✗ ERROR: Revisa datos")</f>
        <v/>
      </c>
      <c r="S942" s="6">
        <f>IF(A942&lt;&gt;"",TODAY()-A942,"")</f>
        <v/>
      </c>
      <c r="T942" s="4">
        <f>IF(E942="USD",F942,IF(E942="CRC",F942/CONFIG!$B$5,""))</f>
        <v/>
      </c>
      <c r="U942" s="19">
        <f>IF(A942&lt;&gt;"",A942+30,"")</f>
        <v/>
      </c>
      <c r="V942">
        <f>IF(AND(C942="CxP",S942&gt;60),"Alta",IF(AND(C942="CxP",S942&gt;30),"Media",IF(C942="CxP","Baja","")))</f>
        <v/>
      </c>
      <c r="W942">
        <f>IF(AND(C942="CxC",S942&gt;90),"Alta",IF(AND(C942="CxC",S942&gt;60),"Media",IF(C942="CxC","Baja","")))</f>
        <v/>
      </c>
    </row>
    <row r="943">
      <c r="A943" s="19" t="n"/>
      <c r="F943" s="20" t="n"/>
      <c r="Q943" s="10">
        <f>IF(E943="USD",CONFIG!$B$5,1)</f>
        <v/>
      </c>
      <c r="R943">
        <f>IF(AND(A943&lt;&gt;"",ISNUMBER(A943),B943&lt;&gt;"",C943&lt;&gt;"",OR(E943="USD",E943="CRC"),F943&gt;0,ISNUMBER(Q943),Q943&gt;0),"✓ OK","✗ ERROR: Revisa datos")</f>
        <v/>
      </c>
      <c r="S943" s="6">
        <f>IF(A943&lt;&gt;"",TODAY()-A943,"")</f>
        <v/>
      </c>
      <c r="T943" s="4">
        <f>IF(E943="USD",F943,IF(E943="CRC",F943/CONFIG!$B$5,""))</f>
        <v/>
      </c>
      <c r="U943" s="19">
        <f>IF(A943&lt;&gt;"",A943+30,"")</f>
        <v/>
      </c>
      <c r="V943">
        <f>IF(AND(C943="CxP",S943&gt;60),"Alta",IF(AND(C943="CxP",S943&gt;30),"Media",IF(C943="CxP","Baja","")))</f>
        <v/>
      </c>
      <c r="W943">
        <f>IF(AND(C943="CxC",S943&gt;90),"Alta",IF(AND(C943="CxC",S943&gt;60),"Media",IF(C943="CxC","Baja","")))</f>
        <v/>
      </c>
    </row>
    <row r="944">
      <c r="A944" s="19" t="n"/>
      <c r="F944" s="20" t="n"/>
      <c r="Q944" s="10">
        <f>IF(E944="USD",CONFIG!$B$5,1)</f>
        <v/>
      </c>
      <c r="R944">
        <f>IF(AND(A944&lt;&gt;"",ISNUMBER(A944),B944&lt;&gt;"",C944&lt;&gt;"",OR(E944="USD",E944="CRC"),F944&gt;0,ISNUMBER(Q944),Q944&gt;0),"✓ OK","✗ ERROR: Revisa datos")</f>
        <v/>
      </c>
      <c r="S944" s="6">
        <f>IF(A944&lt;&gt;"",TODAY()-A944,"")</f>
        <v/>
      </c>
      <c r="T944" s="4">
        <f>IF(E944="USD",F944,IF(E944="CRC",F944/CONFIG!$B$5,""))</f>
        <v/>
      </c>
      <c r="U944" s="19">
        <f>IF(A944&lt;&gt;"",A944+30,"")</f>
        <v/>
      </c>
      <c r="V944">
        <f>IF(AND(C944="CxP",S944&gt;60),"Alta",IF(AND(C944="CxP",S944&gt;30),"Media",IF(C944="CxP","Baja","")))</f>
        <v/>
      </c>
      <c r="W944">
        <f>IF(AND(C944="CxC",S944&gt;90),"Alta",IF(AND(C944="CxC",S944&gt;60),"Media",IF(C944="CxC","Baja","")))</f>
        <v/>
      </c>
    </row>
    <row r="945">
      <c r="A945" s="19" t="n"/>
      <c r="F945" s="20" t="n"/>
      <c r="Q945" s="10">
        <f>IF(E945="USD",CONFIG!$B$5,1)</f>
        <v/>
      </c>
      <c r="R945">
        <f>IF(AND(A945&lt;&gt;"",ISNUMBER(A945),B945&lt;&gt;"",C945&lt;&gt;"",OR(E945="USD",E945="CRC"),F945&gt;0,ISNUMBER(Q945),Q945&gt;0),"✓ OK","✗ ERROR: Revisa datos")</f>
        <v/>
      </c>
      <c r="S945" s="6">
        <f>IF(A945&lt;&gt;"",TODAY()-A945,"")</f>
        <v/>
      </c>
      <c r="T945" s="4">
        <f>IF(E945="USD",F945,IF(E945="CRC",F945/CONFIG!$B$5,""))</f>
        <v/>
      </c>
      <c r="U945" s="19">
        <f>IF(A945&lt;&gt;"",A945+30,"")</f>
        <v/>
      </c>
      <c r="V945">
        <f>IF(AND(C945="CxP",S945&gt;60),"Alta",IF(AND(C945="CxP",S945&gt;30),"Media",IF(C945="CxP","Baja","")))</f>
        <v/>
      </c>
      <c r="W945">
        <f>IF(AND(C945="CxC",S945&gt;90),"Alta",IF(AND(C945="CxC",S945&gt;60),"Media",IF(C945="CxC","Baja","")))</f>
        <v/>
      </c>
    </row>
    <row r="946">
      <c r="A946" s="19" t="n"/>
      <c r="F946" s="20" t="n"/>
      <c r="Q946" s="10">
        <f>IF(E946="USD",CONFIG!$B$5,1)</f>
        <v/>
      </c>
      <c r="R946">
        <f>IF(AND(A946&lt;&gt;"",ISNUMBER(A946),B946&lt;&gt;"",C946&lt;&gt;"",OR(E946="USD",E946="CRC"),F946&gt;0,ISNUMBER(Q946),Q946&gt;0),"✓ OK","✗ ERROR: Revisa datos")</f>
        <v/>
      </c>
      <c r="S946" s="6">
        <f>IF(A946&lt;&gt;"",TODAY()-A946,"")</f>
        <v/>
      </c>
      <c r="T946" s="4">
        <f>IF(E946="USD",F946,IF(E946="CRC",F946/CONFIG!$B$5,""))</f>
        <v/>
      </c>
      <c r="U946" s="19">
        <f>IF(A946&lt;&gt;"",A946+30,"")</f>
        <v/>
      </c>
      <c r="V946">
        <f>IF(AND(C946="CxP",S946&gt;60),"Alta",IF(AND(C946="CxP",S946&gt;30),"Media",IF(C946="CxP","Baja","")))</f>
        <v/>
      </c>
      <c r="W946">
        <f>IF(AND(C946="CxC",S946&gt;90),"Alta",IF(AND(C946="CxC",S946&gt;60),"Media",IF(C946="CxC","Baja","")))</f>
        <v/>
      </c>
    </row>
    <row r="947">
      <c r="A947" s="19" t="n"/>
      <c r="F947" s="20" t="n"/>
      <c r="Q947" s="10">
        <f>IF(E947="USD",CONFIG!$B$5,1)</f>
        <v/>
      </c>
      <c r="R947">
        <f>IF(AND(A947&lt;&gt;"",ISNUMBER(A947),B947&lt;&gt;"",C947&lt;&gt;"",OR(E947="USD",E947="CRC"),F947&gt;0,ISNUMBER(Q947),Q947&gt;0),"✓ OK","✗ ERROR: Revisa datos")</f>
        <v/>
      </c>
      <c r="S947" s="6">
        <f>IF(A947&lt;&gt;"",TODAY()-A947,"")</f>
        <v/>
      </c>
      <c r="T947" s="4">
        <f>IF(E947="USD",F947,IF(E947="CRC",F947/CONFIG!$B$5,""))</f>
        <v/>
      </c>
      <c r="U947" s="19">
        <f>IF(A947&lt;&gt;"",A947+30,"")</f>
        <v/>
      </c>
      <c r="V947">
        <f>IF(AND(C947="CxP",S947&gt;60),"Alta",IF(AND(C947="CxP",S947&gt;30),"Media",IF(C947="CxP","Baja","")))</f>
        <v/>
      </c>
      <c r="W947">
        <f>IF(AND(C947="CxC",S947&gt;90),"Alta",IF(AND(C947="CxC",S947&gt;60),"Media",IF(C947="CxC","Baja","")))</f>
        <v/>
      </c>
    </row>
    <row r="948">
      <c r="A948" s="19" t="n"/>
      <c r="F948" s="20" t="n"/>
      <c r="Q948" s="10">
        <f>IF(E948="USD",CONFIG!$B$5,1)</f>
        <v/>
      </c>
      <c r="R948">
        <f>IF(AND(A948&lt;&gt;"",ISNUMBER(A948),B948&lt;&gt;"",C948&lt;&gt;"",OR(E948="USD",E948="CRC"),F948&gt;0,ISNUMBER(Q948),Q948&gt;0),"✓ OK","✗ ERROR: Revisa datos")</f>
        <v/>
      </c>
      <c r="S948" s="6">
        <f>IF(A948&lt;&gt;"",TODAY()-A948,"")</f>
        <v/>
      </c>
      <c r="T948" s="4">
        <f>IF(E948="USD",F948,IF(E948="CRC",F948/CONFIG!$B$5,""))</f>
        <v/>
      </c>
      <c r="U948" s="19">
        <f>IF(A948&lt;&gt;"",A948+30,"")</f>
        <v/>
      </c>
      <c r="V948">
        <f>IF(AND(C948="CxP",S948&gt;60),"Alta",IF(AND(C948="CxP",S948&gt;30),"Media",IF(C948="CxP","Baja","")))</f>
        <v/>
      </c>
      <c r="W948">
        <f>IF(AND(C948="CxC",S948&gt;90),"Alta",IF(AND(C948="CxC",S948&gt;60),"Media",IF(C948="CxC","Baja","")))</f>
        <v/>
      </c>
    </row>
    <row r="949">
      <c r="A949" s="19" t="n"/>
      <c r="F949" s="20" t="n"/>
      <c r="Q949" s="10">
        <f>IF(E949="USD",CONFIG!$B$5,1)</f>
        <v/>
      </c>
      <c r="R949">
        <f>IF(AND(A949&lt;&gt;"",ISNUMBER(A949),B949&lt;&gt;"",C949&lt;&gt;"",OR(E949="USD",E949="CRC"),F949&gt;0,ISNUMBER(Q949),Q949&gt;0),"✓ OK","✗ ERROR: Revisa datos")</f>
        <v/>
      </c>
      <c r="S949" s="6">
        <f>IF(A949&lt;&gt;"",TODAY()-A949,"")</f>
        <v/>
      </c>
      <c r="T949" s="4">
        <f>IF(E949="USD",F949,IF(E949="CRC",F949/CONFIG!$B$5,""))</f>
        <v/>
      </c>
      <c r="U949" s="19">
        <f>IF(A949&lt;&gt;"",A949+30,"")</f>
        <v/>
      </c>
      <c r="V949">
        <f>IF(AND(C949="CxP",S949&gt;60),"Alta",IF(AND(C949="CxP",S949&gt;30),"Media",IF(C949="CxP","Baja","")))</f>
        <v/>
      </c>
      <c r="W949">
        <f>IF(AND(C949="CxC",S949&gt;90),"Alta",IF(AND(C949="CxC",S949&gt;60),"Media",IF(C949="CxC","Baja","")))</f>
        <v/>
      </c>
    </row>
    <row r="950">
      <c r="A950" s="19" t="n"/>
      <c r="F950" s="20" t="n"/>
      <c r="Q950" s="10">
        <f>IF(E950="USD",CONFIG!$B$5,1)</f>
        <v/>
      </c>
      <c r="R950">
        <f>IF(AND(A950&lt;&gt;"",ISNUMBER(A950),B950&lt;&gt;"",C950&lt;&gt;"",OR(E950="USD",E950="CRC"),F950&gt;0,ISNUMBER(Q950),Q950&gt;0),"✓ OK","✗ ERROR: Revisa datos")</f>
        <v/>
      </c>
      <c r="S950" s="6">
        <f>IF(A950&lt;&gt;"",TODAY()-A950,"")</f>
        <v/>
      </c>
      <c r="T950" s="4">
        <f>IF(E950="USD",F950,IF(E950="CRC",F950/CONFIG!$B$5,""))</f>
        <v/>
      </c>
      <c r="U950" s="19">
        <f>IF(A950&lt;&gt;"",A950+30,"")</f>
        <v/>
      </c>
      <c r="V950">
        <f>IF(AND(C950="CxP",S950&gt;60),"Alta",IF(AND(C950="CxP",S950&gt;30),"Media",IF(C950="CxP","Baja","")))</f>
        <v/>
      </c>
      <c r="W950">
        <f>IF(AND(C950="CxC",S950&gt;90),"Alta",IF(AND(C950="CxC",S950&gt;60),"Media",IF(C950="CxC","Baja","")))</f>
        <v/>
      </c>
    </row>
    <row r="951">
      <c r="A951" s="19" t="n"/>
      <c r="F951" s="20" t="n"/>
      <c r="Q951" s="10">
        <f>IF(E951="USD",CONFIG!$B$5,1)</f>
        <v/>
      </c>
      <c r="R951">
        <f>IF(AND(A951&lt;&gt;"",ISNUMBER(A951),B951&lt;&gt;"",C951&lt;&gt;"",OR(E951="USD",E951="CRC"),F951&gt;0,ISNUMBER(Q951),Q951&gt;0),"✓ OK","✗ ERROR: Revisa datos")</f>
        <v/>
      </c>
      <c r="S951" s="6">
        <f>IF(A951&lt;&gt;"",TODAY()-A951,"")</f>
        <v/>
      </c>
      <c r="T951" s="4">
        <f>IF(E951="USD",F951,IF(E951="CRC",F951/CONFIG!$B$5,""))</f>
        <v/>
      </c>
      <c r="U951" s="19">
        <f>IF(A951&lt;&gt;"",A951+30,"")</f>
        <v/>
      </c>
      <c r="V951">
        <f>IF(AND(C951="CxP",S951&gt;60),"Alta",IF(AND(C951="CxP",S951&gt;30),"Media",IF(C951="CxP","Baja","")))</f>
        <v/>
      </c>
      <c r="W951">
        <f>IF(AND(C951="CxC",S951&gt;90),"Alta",IF(AND(C951="CxC",S951&gt;60),"Media",IF(C951="CxC","Baja","")))</f>
        <v/>
      </c>
    </row>
    <row r="952">
      <c r="A952" s="19" t="n"/>
      <c r="F952" s="20" t="n"/>
      <c r="Q952" s="10">
        <f>IF(E952="USD",CONFIG!$B$5,1)</f>
        <v/>
      </c>
      <c r="R952">
        <f>IF(AND(A952&lt;&gt;"",ISNUMBER(A952),B952&lt;&gt;"",C952&lt;&gt;"",OR(E952="USD",E952="CRC"),F952&gt;0,ISNUMBER(Q952),Q952&gt;0),"✓ OK","✗ ERROR: Revisa datos")</f>
        <v/>
      </c>
      <c r="S952" s="6">
        <f>IF(A952&lt;&gt;"",TODAY()-A952,"")</f>
        <v/>
      </c>
      <c r="T952" s="4">
        <f>IF(E952="USD",F952,IF(E952="CRC",F952/CONFIG!$B$5,""))</f>
        <v/>
      </c>
      <c r="U952" s="19">
        <f>IF(A952&lt;&gt;"",A952+30,"")</f>
        <v/>
      </c>
      <c r="V952">
        <f>IF(AND(C952="CxP",S952&gt;60),"Alta",IF(AND(C952="CxP",S952&gt;30),"Media",IF(C952="CxP","Baja","")))</f>
        <v/>
      </c>
      <c r="W952">
        <f>IF(AND(C952="CxC",S952&gt;90),"Alta",IF(AND(C952="CxC",S952&gt;60),"Media",IF(C952="CxC","Baja","")))</f>
        <v/>
      </c>
    </row>
    <row r="953">
      <c r="A953" s="19" t="n"/>
      <c r="F953" s="20" t="n"/>
      <c r="Q953" s="10">
        <f>IF(E953="USD",CONFIG!$B$5,1)</f>
        <v/>
      </c>
      <c r="R953">
        <f>IF(AND(A953&lt;&gt;"",ISNUMBER(A953),B953&lt;&gt;"",C953&lt;&gt;"",OR(E953="USD",E953="CRC"),F953&gt;0,ISNUMBER(Q953),Q953&gt;0),"✓ OK","✗ ERROR: Revisa datos")</f>
        <v/>
      </c>
      <c r="S953" s="6">
        <f>IF(A953&lt;&gt;"",TODAY()-A953,"")</f>
        <v/>
      </c>
      <c r="T953" s="4">
        <f>IF(E953="USD",F953,IF(E953="CRC",F953/CONFIG!$B$5,""))</f>
        <v/>
      </c>
      <c r="U953" s="19">
        <f>IF(A953&lt;&gt;"",A953+30,"")</f>
        <v/>
      </c>
      <c r="V953">
        <f>IF(AND(C953="CxP",S953&gt;60),"Alta",IF(AND(C953="CxP",S953&gt;30),"Media",IF(C953="CxP","Baja","")))</f>
        <v/>
      </c>
      <c r="W953">
        <f>IF(AND(C953="CxC",S953&gt;90),"Alta",IF(AND(C953="CxC",S953&gt;60),"Media",IF(C953="CxC","Baja","")))</f>
        <v/>
      </c>
    </row>
    <row r="954">
      <c r="A954" s="19" t="n"/>
      <c r="F954" s="20" t="n"/>
      <c r="Q954" s="10">
        <f>IF(E954="USD",CONFIG!$B$5,1)</f>
        <v/>
      </c>
      <c r="R954">
        <f>IF(AND(A954&lt;&gt;"",ISNUMBER(A954),B954&lt;&gt;"",C954&lt;&gt;"",OR(E954="USD",E954="CRC"),F954&gt;0,ISNUMBER(Q954),Q954&gt;0),"✓ OK","✗ ERROR: Revisa datos")</f>
        <v/>
      </c>
      <c r="S954" s="6">
        <f>IF(A954&lt;&gt;"",TODAY()-A954,"")</f>
        <v/>
      </c>
      <c r="T954" s="4">
        <f>IF(E954="USD",F954,IF(E954="CRC",F954/CONFIG!$B$5,""))</f>
        <v/>
      </c>
      <c r="U954" s="19">
        <f>IF(A954&lt;&gt;"",A954+30,"")</f>
        <v/>
      </c>
      <c r="V954">
        <f>IF(AND(C954="CxP",S954&gt;60),"Alta",IF(AND(C954="CxP",S954&gt;30),"Media",IF(C954="CxP","Baja","")))</f>
        <v/>
      </c>
      <c r="W954">
        <f>IF(AND(C954="CxC",S954&gt;90),"Alta",IF(AND(C954="CxC",S954&gt;60),"Media",IF(C954="CxC","Baja","")))</f>
        <v/>
      </c>
    </row>
    <row r="955">
      <c r="A955" s="19" t="n"/>
      <c r="F955" s="20" t="n"/>
      <c r="Q955" s="10">
        <f>IF(E955="USD",CONFIG!$B$5,1)</f>
        <v/>
      </c>
      <c r="R955">
        <f>IF(AND(A955&lt;&gt;"",ISNUMBER(A955),B955&lt;&gt;"",C955&lt;&gt;"",OR(E955="USD",E955="CRC"),F955&gt;0,ISNUMBER(Q955),Q955&gt;0),"✓ OK","✗ ERROR: Revisa datos")</f>
        <v/>
      </c>
      <c r="S955" s="6">
        <f>IF(A955&lt;&gt;"",TODAY()-A955,"")</f>
        <v/>
      </c>
      <c r="T955" s="4">
        <f>IF(E955="USD",F955,IF(E955="CRC",F955/CONFIG!$B$5,""))</f>
        <v/>
      </c>
      <c r="U955" s="19">
        <f>IF(A955&lt;&gt;"",A955+30,"")</f>
        <v/>
      </c>
      <c r="V955">
        <f>IF(AND(C955="CxP",S955&gt;60),"Alta",IF(AND(C955="CxP",S955&gt;30),"Media",IF(C955="CxP","Baja","")))</f>
        <v/>
      </c>
      <c r="W955">
        <f>IF(AND(C955="CxC",S955&gt;90),"Alta",IF(AND(C955="CxC",S955&gt;60),"Media",IF(C955="CxC","Baja","")))</f>
        <v/>
      </c>
    </row>
    <row r="956">
      <c r="A956" s="19" t="n"/>
      <c r="F956" s="20" t="n"/>
      <c r="Q956" s="10">
        <f>IF(E956="USD",CONFIG!$B$5,1)</f>
        <v/>
      </c>
      <c r="R956">
        <f>IF(AND(A956&lt;&gt;"",ISNUMBER(A956),B956&lt;&gt;"",C956&lt;&gt;"",OR(E956="USD",E956="CRC"),F956&gt;0,ISNUMBER(Q956),Q956&gt;0),"✓ OK","✗ ERROR: Revisa datos")</f>
        <v/>
      </c>
      <c r="S956" s="6">
        <f>IF(A956&lt;&gt;"",TODAY()-A956,"")</f>
        <v/>
      </c>
      <c r="T956" s="4">
        <f>IF(E956="USD",F956,IF(E956="CRC",F956/CONFIG!$B$5,""))</f>
        <v/>
      </c>
      <c r="U956" s="19">
        <f>IF(A956&lt;&gt;"",A956+30,"")</f>
        <v/>
      </c>
      <c r="V956">
        <f>IF(AND(C956="CxP",S956&gt;60),"Alta",IF(AND(C956="CxP",S956&gt;30),"Media",IF(C956="CxP","Baja","")))</f>
        <v/>
      </c>
      <c r="W956">
        <f>IF(AND(C956="CxC",S956&gt;90),"Alta",IF(AND(C956="CxC",S956&gt;60),"Media",IF(C956="CxC","Baja","")))</f>
        <v/>
      </c>
    </row>
    <row r="957">
      <c r="A957" s="19" t="n"/>
      <c r="F957" s="20" t="n"/>
      <c r="Q957" s="10">
        <f>IF(E957="USD",CONFIG!$B$5,1)</f>
        <v/>
      </c>
      <c r="R957">
        <f>IF(AND(A957&lt;&gt;"",ISNUMBER(A957),B957&lt;&gt;"",C957&lt;&gt;"",OR(E957="USD",E957="CRC"),F957&gt;0,ISNUMBER(Q957),Q957&gt;0),"✓ OK","✗ ERROR: Revisa datos")</f>
        <v/>
      </c>
      <c r="S957" s="6">
        <f>IF(A957&lt;&gt;"",TODAY()-A957,"")</f>
        <v/>
      </c>
      <c r="T957" s="4">
        <f>IF(E957="USD",F957,IF(E957="CRC",F957/CONFIG!$B$5,""))</f>
        <v/>
      </c>
      <c r="U957" s="19">
        <f>IF(A957&lt;&gt;"",A957+30,"")</f>
        <v/>
      </c>
      <c r="V957">
        <f>IF(AND(C957="CxP",S957&gt;60),"Alta",IF(AND(C957="CxP",S957&gt;30),"Media",IF(C957="CxP","Baja","")))</f>
        <v/>
      </c>
      <c r="W957">
        <f>IF(AND(C957="CxC",S957&gt;90),"Alta",IF(AND(C957="CxC",S957&gt;60),"Media",IF(C957="CxC","Baja","")))</f>
        <v/>
      </c>
    </row>
    <row r="958">
      <c r="A958" s="19" t="n"/>
      <c r="F958" s="20" t="n"/>
      <c r="Q958" s="10">
        <f>IF(E958="USD",CONFIG!$B$5,1)</f>
        <v/>
      </c>
      <c r="R958">
        <f>IF(AND(A958&lt;&gt;"",ISNUMBER(A958),B958&lt;&gt;"",C958&lt;&gt;"",OR(E958="USD",E958="CRC"),F958&gt;0,ISNUMBER(Q958),Q958&gt;0),"✓ OK","✗ ERROR: Revisa datos")</f>
        <v/>
      </c>
      <c r="S958" s="6">
        <f>IF(A958&lt;&gt;"",TODAY()-A958,"")</f>
        <v/>
      </c>
      <c r="T958" s="4">
        <f>IF(E958="USD",F958,IF(E958="CRC",F958/CONFIG!$B$5,""))</f>
        <v/>
      </c>
      <c r="U958" s="19">
        <f>IF(A958&lt;&gt;"",A958+30,"")</f>
        <v/>
      </c>
      <c r="V958">
        <f>IF(AND(C958="CxP",S958&gt;60),"Alta",IF(AND(C958="CxP",S958&gt;30),"Media",IF(C958="CxP","Baja","")))</f>
        <v/>
      </c>
      <c r="W958">
        <f>IF(AND(C958="CxC",S958&gt;90),"Alta",IF(AND(C958="CxC",S958&gt;60),"Media",IF(C958="CxC","Baja","")))</f>
        <v/>
      </c>
    </row>
    <row r="959">
      <c r="A959" s="19" t="n"/>
      <c r="F959" s="20" t="n"/>
      <c r="Q959" s="10">
        <f>IF(E959="USD",CONFIG!$B$5,1)</f>
        <v/>
      </c>
      <c r="R959">
        <f>IF(AND(A959&lt;&gt;"",ISNUMBER(A959),B959&lt;&gt;"",C959&lt;&gt;"",OR(E959="USD",E959="CRC"),F959&gt;0,ISNUMBER(Q959),Q959&gt;0),"✓ OK","✗ ERROR: Revisa datos")</f>
        <v/>
      </c>
      <c r="S959" s="6">
        <f>IF(A959&lt;&gt;"",TODAY()-A959,"")</f>
        <v/>
      </c>
      <c r="T959" s="4">
        <f>IF(E959="USD",F959,IF(E959="CRC",F959/CONFIG!$B$5,""))</f>
        <v/>
      </c>
      <c r="U959" s="19">
        <f>IF(A959&lt;&gt;"",A959+30,"")</f>
        <v/>
      </c>
      <c r="V959">
        <f>IF(AND(C959="CxP",S959&gt;60),"Alta",IF(AND(C959="CxP",S959&gt;30),"Media",IF(C959="CxP","Baja","")))</f>
        <v/>
      </c>
      <c r="W959">
        <f>IF(AND(C959="CxC",S959&gt;90),"Alta",IF(AND(C959="CxC",S959&gt;60),"Media",IF(C959="CxC","Baja","")))</f>
        <v/>
      </c>
    </row>
    <row r="960">
      <c r="A960" s="19" t="n"/>
      <c r="F960" s="20" t="n"/>
      <c r="Q960" s="10">
        <f>IF(E960="USD",CONFIG!$B$5,1)</f>
        <v/>
      </c>
      <c r="R960">
        <f>IF(AND(A960&lt;&gt;"",ISNUMBER(A960),B960&lt;&gt;"",C960&lt;&gt;"",OR(E960="USD",E960="CRC"),F960&gt;0,ISNUMBER(Q960),Q960&gt;0),"✓ OK","✗ ERROR: Revisa datos")</f>
        <v/>
      </c>
      <c r="S960" s="6">
        <f>IF(A960&lt;&gt;"",TODAY()-A960,"")</f>
        <v/>
      </c>
      <c r="T960" s="4">
        <f>IF(E960="USD",F960,IF(E960="CRC",F960/CONFIG!$B$5,""))</f>
        <v/>
      </c>
      <c r="U960" s="19">
        <f>IF(A960&lt;&gt;"",A960+30,"")</f>
        <v/>
      </c>
      <c r="V960">
        <f>IF(AND(C960="CxP",S960&gt;60),"Alta",IF(AND(C960="CxP",S960&gt;30),"Media",IF(C960="CxP","Baja","")))</f>
        <v/>
      </c>
      <c r="W960">
        <f>IF(AND(C960="CxC",S960&gt;90),"Alta",IF(AND(C960="CxC",S960&gt;60),"Media",IF(C960="CxC","Baja","")))</f>
        <v/>
      </c>
    </row>
    <row r="961">
      <c r="A961" s="19" t="n"/>
      <c r="F961" s="20" t="n"/>
      <c r="Q961" s="10">
        <f>IF(E961="USD",CONFIG!$B$5,1)</f>
        <v/>
      </c>
      <c r="R961">
        <f>IF(AND(A961&lt;&gt;"",ISNUMBER(A961),B961&lt;&gt;"",C961&lt;&gt;"",OR(E961="USD",E961="CRC"),F961&gt;0,ISNUMBER(Q961),Q961&gt;0),"✓ OK","✗ ERROR: Revisa datos")</f>
        <v/>
      </c>
      <c r="S961" s="6">
        <f>IF(A961&lt;&gt;"",TODAY()-A961,"")</f>
        <v/>
      </c>
      <c r="T961" s="4">
        <f>IF(E961="USD",F961,IF(E961="CRC",F961/CONFIG!$B$5,""))</f>
        <v/>
      </c>
      <c r="U961" s="19">
        <f>IF(A961&lt;&gt;"",A961+30,"")</f>
        <v/>
      </c>
      <c r="V961">
        <f>IF(AND(C961="CxP",S961&gt;60),"Alta",IF(AND(C961="CxP",S961&gt;30),"Media",IF(C961="CxP","Baja","")))</f>
        <v/>
      </c>
      <c r="W961">
        <f>IF(AND(C961="CxC",S961&gt;90),"Alta",IF(AND(C961="CxC",S961&gt;60),"Media",IF(C961="CxC","Baja","")))</f>
        <v/>
      </c>
    </row>
    <row r="962">
      <c r="A962" s="19" t="n"/>
      <c r="F962" s="20" t="n"/>
      <c r="Q962" s="10">
        <f>IF(E962="USD",CONFIG!$B$5,1)</f>
        <v/>
      </c>
      <c r="R962">
        <f>IF(AND(A962&lt;&gt;"",ISNUMBER(A962),B962&lt;&gt;"",C962&lt;&gt;"",OR(E962="USD",E962="CRC"),F962&gt;0,ISNUMBER(Q962),Q962&gt;0),"✓ OK","✗ ERROR: Revisa datos")</f>
        <v/>
      </c>
      <c r="S962" s="6">
        <f>IF(A962&lt;&gt;"",TODAY()-A962,"")</f>
        <v/>
      </c>
      <c r="T962" s="4">
        <f>IF(E962="USD",F962,IF(E962="CRC",F962/CONFIG!$B$5,""))</f>
        <v/>
      </c>
      <c r="U962" s="19">
        <f>IF(A962&lt;&gt;"",A962+30,"")</f>
        <v/>
      </c>
      <c r="V962">
        <f>IF(AND(C962="CxP",S962&gt;60),"Alta",IF(AND(C962="CxP",S962&gt;30),"Media",IF(C962="CxP","Baja","")))</f>
        <v/>
      </c>
      <c r="W962">
        <f>IF(AND(C962="CxC",S962&gt;90),"Alta",IF(AND(C962="CxC",S962&gt;60),"Media",IF(C962="CxC","Baja","")))</f>
        <v/>
      </c>
    </row>
    <row r="963">
      <c r="A963" s="19" t="n"/>
      <c r="F963" s="20" t="n"/>
      <c r="Q963" s="10">
        <f>IF(E963="USD",CONFIG!$B$5,1)</f>
        <v/>
      </c>
      <c r="R963">
        <f>IF(AND(A963&lt;&gt;"",ISNUMBER(A963),B963&lt;&gt;"",C963&lt;&gt;"",OR(E963="USD",E963="CRC"),F963&gt;0,ISNUMBER(Q963),Q963&gt;0),"✓ OK","✗ ERROR: Revisa datos")</f>
        <v/>
      </c>
      <c r="S963" s="6">
        <f>IF(A963&lt;&gt;"",TODAY()-A963,"")</f>
        <v/>
      </c>
      <c r="T963" s="4">
        <f>IF(E963="USD",F963,IF(E963="CRC",F963/CONFIG!$B$5,""))</f>
        <v/>
      </c>
      <c r="U963" s="19">
        <f>IF(A963&lt;&gt;"",A963+30,"")</f>
        <v/>
      </c>
      <c r="V963">
        <f>IF(AND(C963="CxP",S963&gt;60),"Alta",IF(AND(C963="CxP",S963&gt;30),"Media",IF(C963="CxP","Baja","")))</f>
        <v/>
      </c>
      <c r="W963">
        <f>IF(AND(C963="CxC",S963&gt;90),"Alta",IF(AND(C963="CxC",S963&gt;60),"Media",IF(C963="CxC","Baja","")))</f>
        <v/>
      </c>
    </row>
    <row r="964">
      <c r="A964" s="19" t="n"/>
      <c r="F964" s="20" t="n"/>
      <c r="Q964" s="10">
        <f>IF(E964="USD",CONFIG!$B$5,1)</f>
        <v/>
      </c>
      <c r="R964">
        <f>IF(AND(A964&lt;&gt;"",ISNUMBER(A964),B964&lt;&gt;"",C964&lt;&gt;"",OR(E964="USD",E964="CRC"),F964&gt;0,ISNUMBER(Q964),Q964&gt;0),"✓ OK","✗ ERROR: Revisa datos")</f>
        <v/>
      </c>
      <c r="S964" s="6">
        <f>IF(A964&lt;&gt;"",TODAY()-A964,"")</f>
        <v/>
      </c>
      <c r="T964" s="4">
        <f>IF(E964="USD",F964,IF(E964="CRC",F964/CONFIG!$B$5,""))</f>
        <v/>
      </c>
      <c r="U964" s="19">
        <f>IF(A964&lt;&gt;"",A964+30,"")</f>
        <v/>
      </c>
      <c r="V964">
        <f>IF(AND(C964="CxP",S964&gt;60),"Alta",IF(AND(C964="CxP",S964&gt;30),"Media",IF(C964="CxP","Baja","")))</f>
        <v/>
      </c>
      <c r="W964">
        <f>IF(AND(C964="CxC",S964&gt;90),"Alta",IF(AND(C964="CxC",S964&gt;60),"Media",IF(C964="CxC","Baja","")))</f>
        <v/>
      </c>
    </row>
    <row r="965">
      <c r="A965" s="19" t="n"/>
      <c r="F965" s="20" t="n"/>
      <c r="Q965" s="10">
        <f>IF(E965="USD",CONFIG!$B$5,1)</f>
        <v/>
      </c>
      <c r="R965">
        <f>IF(AND(A965&lt;&gt;"",ISNUMBER(A965),B965&lt;&gt;"",C965&lt;&gt;"",OR(E965="USD",E965="CRC"),F965&gt;0,ISNUMBER(Q965),Q965&gt;0),"✓ OK","✗ ERROR: Revisa datos")</f>
        <v/>
      </c>
      <c r="S965" s="6">
        <f>IF(A965&lt;&gt;"",TODAY()-A965,"")</f>
        <v/>
      </c>
      <c r="T965" s="4">
        <f>IF(E965="USD",F965,IF(E965="CRC",F965/CONFIG!$B$5,""))</f>
        <v/>
      </c>
      <c r="U965" s="19">
        <f>IF(A965&lt;&gt;"",A965+30,"")</f>
        <v/>
      </c>
      <c r="V965">
        <f>IF(AND(C965="CxP",S965&gt;60),"Alta",IF(AND(C965="CxP",S965&gt;30),"Media",IF(C965="CxP","Baja","")))</f>
        <v/>
      </c>
      <c r="W965">
        <f>IF(AND(C965="CxC",S965&gt;90),"Alta",IF(AND(C965="CxC",S965&gt;60),"Media",IF(C965="CxC","Baja","")))</f>
        <v/>
      </c>
    </row>
    <row r="966">
      <c r="A966" s="19" t="n"/>
      <c r="F966" s="20" t="n"/>
      <c r="Q966" s="10">
        <f>IF(E966="USD",CONFIG!$B$5,1)</f>
        <v/>
      </c>
      <c r="R966">
        <f>IF(AND(A966&lt;&gt;"",ISNUMBER(A966),B966&lt;&gt;"",C966&lt;&gt;"",OR(E966="USD",E966="CRC"),F966&gt;0,ISNUMBER(Q966),Q966&gt;0),"✓ OK","✗ ERROR: Revisa datos")</f>
        <v/>
      </c>
      <c r="S966" s="6">
        <f>IF(A966&lt;&gt;"",TODAY()-A966,"")</f>
        <v/>
      </c>
      <c r="T966" s="4">
        <f>IF(E966="USD",F966,IF(E966="CRC",F966/CONFIG!$B$5,""))</f>
        <v/>
      </c>
      <c r="U966" s="19">
        <f>IF(A966&lt;&gt;"",A966+30,"")</f>
        <v/>
      </c>
      <c r="V966">
        <f>IF(AND(C966="CxP",S966&gt;60),"Alta",IF(AND(C966="CxP",S966&gt;30),"Media",IF(C966="CxP","Baja","")))</f>
        <v/>
      </c>
      <c r="W966">
        <f>IF(AND(C966="CxC",S966&gt;90),"Alta",IF(AND(C966="CxC",S966&gt;60),"Media",IF(C966="CxC","Baja","")))</f>
        <v/>
      </c>
    </row>
    <row r="967">
      <c r="A967" s="19" t="n"/>
      <c r="F967" s="20" t="n"/>
      <c r="Q967" s="10">
        <f>IF(E967="USD",CONFIG!$B$5,1)</f>
        <v/>
      </c>
      <c r="R967">
        <f>IF(AND(A967&lt;&gt;"",ISNUMBER(A967),B967&lt;&gt;"",C967&lt;&gt;"",OR(E967="USD",E967="CRC"),F967&gt;0,ISNUMBER(Q967),Q967&gt;0),"✓ OK","✗ ERROR: Revisa datos")</f>
        <v/>
      </c>
      <c r="S967" s="6">
        <f>IF(A967&lt;&gt;"",TODAY()-A967,"")</f>
        <v/>
      </c>
      <c r="T967" s="4">
        <f>IF(E967="USD",F967,IF(E967="CRC",F967/CONFIG!$B$5,""))</f>
        <v/>
      </c>
      <c r="U967" s="19">
        <f>IF(A967&lt;&gt;"",A967+30,"")</f>
        <v/>
      </c>
      <c r="V967">
        <f>IF(AND(C967="CxP",S967&gt;60),"Alta",IF(AND(C967="CxP",S967&gt;30),"Media",IF(C967="CxP","Baja","")))</f>
        <v/>
      </c>
      <c r="W967">
        <f>IF(AND(C967="CxC",S967&gt;90),"Alta",IF(AND(C967="CxC",S967&gt;60),"Media",IF(C967="CxC","Baja","")))</f>
        <v/>
      </c>
    </row>
    <row r="968">
      <c r="A968" s="19" t="n"/>
      <c r="F968" s="20" t="n"/>
      <c r="Q968" s="10">
        <f>IF(E968="USD",CONFIG!$B$5,1)</f>
        <v/>
      </c>
      <c r="R968">
        <f>IF(AND(A968&lt;&gt;"",ISNUMBER(A968),B968&lt;&gt;"",C968&lt;&gt;"",OR(E968="USD",E968="CRC"),F968&gt;0,ISNUMBER(Q968),Q968&gt;0),"✓ OK","✗ ERROR: Revisa datos")</f>
        <v/>
      </c>
      <c r="S968" s="6">
        <f>IF(A968&lt;&gt;"",TODAY()-A968,"")</f>
        <v/>
      </c>
      <c r="T968" s="4">
        <f>IF(E968="USD",F968,IF(E968="CRC",F968/CONFIG!$B$5,""))</f>
        <v/>
      </c>
      <c r="U968" s="19">
        <f>IF(A968&lt;&gt;"",A968+30,"")</f>
        <v/>
      </c>
      <c r="V968">
        <f>IF(AND(C968="CxP",S968&gt;60),"Alta",IF(AND(C968="CxP",S968&gt;30),"Media",IF(C968="CxP","Baja","")))</f>
        <v/>
      </c>
      <c r="W968">
        <f>IF(AND(C968="CxC",S968&gt;90),"Alta",IF(AND(C968="CxC",S968&gt;60),"Media",IF(C968="CxC","Baja","")))</f>
        <v/>
      </c>
    </row>
    <row r="969">
      <c r="A969" s="19" t="n"/>
      <c r="F969" s="20" t="n"/>
      <c r="Q969" s="10">
        <f>IF(E969="USD",CONFIG!$B$5,1)</f>
        <v/>
      </c>
      <c r="R969">
        <f>IF(AND(A969&lt;&gt;"",ISNUMBER(A969),B969&lt;&gt;"",C969&lt;&gt;"",OR(E969="USD",E969="CRC"),F969&gt;0,ISNUMBER(Q969),Q969&gt;0),"✓ OK","✗ ERROR: Revisa datos")</f>
        <v/>
      </c>
      <c r="S969" s="6">
        <f>IF(A969&lt;&gt;"",TODAY()-A969,"")</f>
        <v/>
      </c>
      <c r="T969" s="4">
        <f>IF(E969="USD",F969,IF(E969="CRC",F969/CONFIG!$B$5,""))</f>
        <v/>
      </c>
      <c r="U969" s="19">
        <f>IF(A969&lt;&gt;"",A969+30,"")</f>
        <v/>
      </c>
      <c r="V969">
        <f>IF(AND(C969="CxP",S969&gt;60),"Alta",IF(AND(C969="CxP",S969&gt;30),"Media",IF(C969="CxP","Baja","")))</f>
        <v/>
      </c>
      <c r="W969">
        <f>IF(AND(C969="CxC",S969&gt;90),"Alta",IF(AND(C969="CxC",S969&gt;60),"Media",IF(C969="CxC","Baja","")))</f>
        <v/>
      </c>
    </row>
    <row r="970">
      <c r="A970" s="19" t="n"/>
      <c r="F970" s="20" t="n"/>
      <c r="Q970" s="10">
        <f>IF(E970="USD",CONFIG!$B$5,1)</f>
        <v/>
      </c>
      <c r="R970">
        <f>IF(AND(A970&lt;&gt;"",ISNUMBER(A970),B970&lt;&gt;"",C970&lt;&gt;"",OR(E970="USD",E970="CRC"),F970&gt;0,ISNUMBER(Q970),Q970&gt;0),"✓ OK","✗ ERROR: Revisa datos")</f>
        <v/>
      </c>
      <c r="S970" s="6">
        <f>IF(A970&lt;&gt;"",TODAY()-A970,"")</f>
        <v/>
      </c>
      <c r="T970" s="4">
        <f>IF(E970="USD",F970,IF(E970="CRC",F970/CONFIG!$B$5,""))</f>
        <v/>
      </c>
      <c r="U970" s="19">
        <f>IF(A970&lt;&gt;"",A970+30,"")</f>
        <v/>
      </c>
      <c r="V970">
        <f>IF(AND(C970="CxP",S970&gt;60),"Alta",IF(AND(C970="CxP",S970&gt;30),"Media",IF(C970="CxP","Baja","")))</f>
        <v/>
      </c>
      <c r="W970">
        <f>IF(AND(C970="CxC",S970&gt;90),"Alta",IF(AND(C970="CxC",S970&gt;60),"Media",IF(C970="CxC","Baja","")))</f>
        <v/>
      </c>
    </row>
    <row r="971">
      <c r="A971" s="19" t="n"/>
      <c r="F971" s="20" t="n"/>
      <c r="Q971" s="10">
        <f>IF(E971="USD",CONFIG!$B$5,1)</f>
        <v/>
      </c>
      <c r="R971">
        <f>IF(AND(A971&lt;&gt;"",ISNUMBER(A971),B971&lt;&gt;"",C971&lt;&gt;"",OR(E971="USD",E971="CRC"),F971&gt;0,ISNUMBER(Q971),Q971&gt;0),"✓ OK","✗ ERROR: Revisa datos")</f>
        <v/>
      </c>
      <c r="S971" s="6">
        <f>IF(A971&lt;&gt;"",TODAY()-A971,"")</f>
        <v/>
      </c>
      <c r="T971" s="4">
        <f>IF(E971="USD",F971,IF(E971="CRC",F971/CONFIG!$B$5,""))</f>
        <v/>
      </c>
      <c r="U971" s="19">
        <f>IF(A971&lt;&gt;"",A971+30,"")</f>
        <v/>
      </c>
      <c r="V971">
        <f>IF(AND(C971="CxP",S971&gt;60),"Alta",IF(AND(C971="CxP",S971&gt;30),"Media",IF(C971="CxP","Baja","")))</f>
        <v/>
      </c>
      <c r="W971">
        <f>IF(AND(C971="CxC",S971&gt;90),"Alta",IF(AND(C971="CxC",S971&gt;60),"Media",IF(C971="CxC","Baja","")))</f>
        <v/>
      </c>
    </row>
    <row r="972">
      <c r="A972" s="19" t="n"/>
      <c r="F972" s="20" t="n"/>
      <c r="Q972" s="10">
        <f>IF(E972="USD",CONFIG!$B$5,1)</f>
        <v/>
      </c>
      <c r="R972">
        <f>IF(AND(A972&lt;&gt;"",ISNUMBER(A972),B972&lt;&gt;"",C972&lt;&gt;"",OR(E972="USD",E972="CRC"),F972&gt;0,ISNUMBER(Q972),Q972&gt;0),"✓ OK","✗ ERROR: Revisa datos")</f>
        <v/>
      </c>
      <c r="S972" s="6">
        <f>IF(A972&lt;&gt;"",TODAY()-A972,"")</f>
        <v/>
      </c>
      <c r="T972" s="4">
        <f>IF(E972="USD",F972,IF(E972="CRC",F972/CONFIG!$B$5,""))</f>
        <v/>
      </c>
      <c r="U972" s="19">
        <f>IF(A972&lt;&gt;"",A972+30,"")</f>
        <v/>
      </c>
      <c r="V972">
        <f>IF(AND(C972="CxP",S972&gt;60),"Alta",IF(AND(C972="CxP",S972&gt;30),"Media",IF(C972="CxP","Baja","")))</f>
        <v/>
      </c>
      <c r="W972">
        <f>IF(AND(C972="CxC",S972&gt;90),"Alta",IF(AND(C972="CxC",S972&gt;60),"Media",IF(C972="CxC","Baja","")))</f>
        <v/>
      </c>
    </row>
    <row r="973">
      <c r="A973" s="19" t="n"/>
      <c r="F973" s="20" t="n"/>
      <c r="Q973" s="10">
        <f>IF(E973="USD",CONFIG!$B$5,1)</f>
        <v/>
      </c>
      <c r="R973">
        <f>IF(AND(A973&lt;&gt;"",ISNUMBER(A973),B973&lt;&gt;"",C973&lt;&gt;"",OR(E973="USD",E973="CRC"),F973&gt;0,ISNUMBER(Q973),Q973&gt;0),"✓ OK","✗ ERROR: Revisa datos")</f>
        <v/>
      </c>
      <c r="S973" s="6">
        <f>IF(A973&lt;&gt;"",TODAY()-A973,"")</f>
        <v/>
      </c>
      <c r="T973" s="4">
        <f>IF(E973="USD",F973,IF(E973="CRC",F973/CONFIG!$B$5,""))</f>
        <v/>
      </c>
      <c r="U973" s="19">
        <f>IF(A973&lt;&gt;"",A973+30,"")</f>
        <v/>
      </c>
      <c r="V973">
        <f>IF(AND(C973="CxP",S973&gt;60),"Alta",IF(AND(C973="CxP",S973&gt;30),"Media",IF(C973="CxP","Baja","")))</f>
        <v/>
      </c>
      <c r="W973">
        <f>IF(AND(C973="CxC",S973&gt;90),"Alta",IF(AND(C973="CxC",S973&gt;60),"Media",IF(C973="CxC","Baja","")))</f>
        <v/>
      </c>
    </row>
    <row r="974">
      <c r="A974" s="19" t="n"/>
      <c r="F974" s="20" t="n"/>
      <c r="Q974" s="10">
        <f>IF(E974="USD",CONFIG!$B$5,1)</f>
        <v/>
      </c>
      <c r="R974">
        <f>IF(AND(A974&lt;&gt;"",ISNUMBER(A974),B974&lt;&gt;"",C974&lt;&gt;"",OR(E974="USD",E974="CRC"),F974&gt;0,ISNUMBER(Q974),Q974&gt;0),"✓ OK","✗ ERROR: Revisa datos")</f>
        <v/>
      </c>
      <c r="S974" s="6">
        <f>IF(A974&lt;&gt;"",TODAY()-A974,"")</f>
        <v/>
      </c>
      <c r="T974" s="4">
        <f>IF(E974="USD",F974,IF(E974="CRC",F974/CONFIG!$B$5,""))</f>
        <v/>
      </c>
      <c r="U974" s="19">
        <f>IF(A974&lt;&gt;"",A974+30,"")</f>
        <v/>
      </c>
      <c r="V974">
        <f>IF(AND(C974="CxP",S974&gt;60),"Alta",IF(AND(C974="CxP",S974&gt;30),"Media",IF(C974="CxP","Baja","")))</f>
        <v/>
      </c>
      <c r="W974">
        <f>IF(AND(C974="CxC",S974&gt;90),"Alta",IF(AND(C974="CxC",S974&gt;60),"Media",IF(C974="CxC","Baja","")))</f>
        <v/>
      </c>
    </row>
    <row r="975">
      <c r="A975" s="19" t="n"/>
      <c r="F975" s="20" t="n"/>
      <c r="Q975" s="10">
        <f>IF(E975="USD",CONFIG!$B$5,1)</f>
        <v/>
      </c>
      <c r="R975">
        <f>IF(AND(A975&lt;&gt;"",ISNUMBER(A975),B975&lt;&gt;"",C975&lt;&gt;"",OR(E975="USD",E975="CRC"),F975&gt;0,ISNUMBER(Q975),Q975&gt;0),"✓ OK","✗ ERROR: Revisa datos")</f>
        <v/>
      </c>
      <c r="S975" s="6">
        <f>IF(A975&lt;&gt;"",TODAY()-A975,"")</f>
        <v/>
      </c>
      <c r="T975" s="4">
        <f>IF(E975="USD",F975,IF(E975="CRC",F975/CONFIG!$B$5,""))</f>
        <v/>
      </c>
      <c r="U975" s="19">
        <f>IF(A975&lt;&gt;"",A975+30,"")</f>
        <v/>
      </c>
      <c r="V975">
        <f>IF(AND(C975="CxP",S975&gt;60),"Alta",IF(AND(C975="CxP",S975&gt;30),"Media",IF(C975="CxP","Baja","")))</f>
        <v/>
      </c>
      <c r="W975">
        <f>IF(AND(C975="CxC",S975&gt;90),"Alta",IF(AND(C975="CxC",S975&gt;60),"Media",IF(C975="CxC","Baja","")))</f>
        <v/>
      </c>
    </row>
    <row r="976">
      <c r="A976" s="19" t="n"/>
      <c r="F976" s="20" t="n"/>
      <c r="Q976" s="10">
        <f>IF(E976="USD",CONFIG!$B$5,1)</f>
        <v/>
      </c>
      <c r="R976">
        <f>IF(AND(A976&lt;&gt;"",ISNUMBER(A976),B976&lt;&gt;"",C976&lt;&gt;"",OR(E976="USD",E976="CRC"),F976&gt;0,ISNUMBER(Q976),Q976&gt;0),"✓ OK","✗ ERROR: Revisa datos")</f>
        <v/>
      </c>
      <c r="S976" s="6">
        <f>IF(A976&lt;&gt;"",TODAY()-A976,"")</f>
        <v/>
      </c>
      <c r="T976" s="4">
        <f>IF(E976="USD",F976,IF(E976="CRC",F976/CONFIG!$B$5,""))</f>
        <v/>
      </c>
      <c r="U976" s="19">
        <f>IF(A976&lt;&gt;"",A976+30,"")</f>
        <v/>
      </c>
      <c r="V976">
        <f>IF(AND(C976="CxP",S976&gt;60),"Alta",IF(AND(C976="CxP",S976&gt;30),"Media",IF(C976="CxP","Baja","")))</f>
        <v/>
      </c>
      <c r="W976">
        <f>IF(AND(C976="CxC",S976&gt;90),"Alta",IF(AND(C976="CxC",S976&gt;60),"Media",IF(C976="CxC","Baja","")))</f>
        <v/>
      </c>
    </row>
    <row r="977">
      <c r="A977" s="19" t="n"/>
      <c r="F977" s="20" t="n"/>
      <c r="Q977" s="10">
        <f>IF(E977="USD",CONFIG!$B$5,1)</f>
        <v/>
      </c>
      <c r="R977">
        <f>IF(AND(A977&lt;&gt;"",ISNUMBER(A977),B977&lt;&gt;"",C977&lt;&gt;"",OR(E977="USD",E977="CRC"),F977&gt;0,ISNUMBER(Q977),Q977&gt;0),"✓ OK","✗ ERROR: Revisa datos")</f>
        <v/>
      </c>
      <c r="S977" s="6">
        <f>IF(A977&lt;&gt;"",TODAY()-A977,"")</f>
        <v/>
      </c>
      <c r="T977" s="4">
        <f>IF(E977="USD",F977,IF(E977="CRC",F977/CONFIG!$B$5,""))</f>
        <v/>
      </c>
      <c r="U977" s="19">
        <f>IF(A977&lt;&gt;"",A977+30,"")</f>
        <v/>
      </c>
      <c r="V977">
        <f>IF(AND(C977="CxP",S977&gt;60),"Alta",IF(AND(C977="CxP",S977&gt;30),"Media",IF(C977="CxP","Baja","")))</f>
        <v/>
      </c>
      <c r="W977">
        <f>IF(AND(C977="CxC",S977&gt;90),"Alta",IF(AND(C977="CxC",S977&gt;60),"Media",IF(C977="CxC","Baja","")))</f>
        <v/>
      </c>
    </row>
    <row r="978">
      <c r="A978" s="19" t="n"/>
      <c r="F978" s="20" t="n"/>
      <c r="Q978" s="10">
        <f>IF(E978="USD",CONFIG!$B$5,1)</f>
        <v/>
      </c>
      <c r="R978">
        <f>IF(AND(A978&lt;&gt;"",ISNUMBER(A978),B978&lt;&gt;"",C978&lt;&gt;"",OR(E978="USD",E978="CRC"),F978&gt;0,ISNUMBER(Q978),Q978&gt;0),"✓ OK","✗ ERROR: Revisa datos")</f>
        <v/>
      </c>
      <c r="S978" s="6">
        <f>IF(A978&lt;&gt;"",TODAY()-A978,"")</f>
        <v/>
      </c>
      <c r="T978" s="4">
        <f>IF(E978="USD",F978,IF(E978="CRC",F978/CONFIG!$B$5,""))</f>
        <v/>
      </c>
      <c r="U978" s="19">
        <f>IF(A978&lt;&gt;"",A978+30,"")</f>
        <v/>
      </c>
      <c r="V978">
        <f>IF(AND(C978="CxP",S978&gt;60),"Alta",IF(AND(C978="CxP",S978&gt;30),"Media",IF(C978="CxP","Baja","")))</f>
        <v/>
      </c>
      <c r="W978">
        <f>IF(AND(C978="CxC",S978&gt;90),"Alta",IF(AND(C978="CxC",S978&gt;60),"Media",IF(C978="CxC","Baja","")))</f>
        <v/>
      </c>
    </row>
    <row r="979">
      <c r="A979" s="19" t="n"/>
      <c r="F979" s="20" t="n"/>
      <c r="Q979" s="10">
        <f>IF(E979="USD",CONFIG!$B$5,1)</f>
        <v/>
      </c>
      <c r="R979">
        <f>IF(AND(A979&lt;&gt;"",ISNUMBER(A979),B979&lt;&gt;"",C979&lt;&gt;"",OR(E979="USD",E979="CRC"),F979&gt;0,ISNUMBER(Q979),Q979&gt;0),"✓ OK","✗ ERROR: Revisa datos")</f>
        <v/>
      </c>
      <c r="S979" s="6">
        <f>IF(A979&lt;&gt;"",TODAY()-A979,"")</f>
        <v/>
      </c>
      <c r="T979" s="4">
        <f>IF(E979="USD",F979,IF(E979="CRC",F979/CONFIG!$B$5,""))</f>
        <v/>
      </c>
      <c r="U979" s="19">
        <f>IF(A979&lt;&gt;"",A979+30,"")</f>
        <v/>
      </c>
      <c r="V979">
        <f>IF(AND(C979="CxP",S979&gt;60),"Alta",IF(AND(C979="CxP",S979&gt;30),"Media",IF(C979="CxP","Baja","")))</f>
        <v/>
      </c>
      <c r="W979">
        <f>IF(AND(C979="CxC",S979&gt;90),"Alta",IF(AND(C979="CxC",S979&gt;60),"Media",IF(C979="CxC","Baja","")))</f>
        <v/>
      </c>
    </row>
    <row r="980">
      <c r="A980" s="19" t="n"/>
      <c r="F980" s="20" t="n"/>
      <c r="Q980" s="10">
        <f>IF(E980="USD",CONFIG!$B$5,1)</f>
        <v/>
      </c>
      <c r="R980">
        <f>IF(AND(A980&lt;&gt;"",ISNUMBER(A980),B980&lt;&gt;"",C980&lt;&gt;"",OR(E980="USD",E980="CRC"),F980&gt;0,ISNUMBER(Q980),Q980&gt;0),"✓ OK","✗ ERROR: Revisa datos")</f>
        <v/>
      </c>
      <c r="S980" s="6">
        <f>IF(A980&lt;&gt;"",TODAY()-A980,"")</f>
        <v/>
      </c>
      <c r="T980" s="4">
        <f>IF(E980="USD",F980,IF(E980="CRC",F980/CONFIG!$B$5,""))</f>
        <v/>
      </c>
      <c r="U980" s="19">
        <f>IF(A980&lt;&gt;"",A980+30,"")</f>
        <v/>
      </c>
      <c r="V980">
        <f>IF(AND(C980="CxP",S980&gt;60),"Alta",IF(AND(C980="CxP",S980&gt;30),"Media",IF(C980="CxP","Baja","")))</f>
        <v/>
      </c>
      <c r="W980">
        <f>IF(AND(C980="CxC",S980&gt;90),"Alta",IF(AND(C980="CxC",S980&gt;60),"Media",IF(C980="CxC","Baja","")))</f>
        <v/>
      </c>
    </row>
    <row r="981">
      <c r="A981" s="19" t="n"/>
      <c r="F981" s="20" t="n"/>
      <c r="Q981" s="10">
        <f>IF(E981="USD",CONFIG!$B$5,1)</f>
        <v/>
      </c>
      <c r="R981">
        <f>IF(AND(A981&lt;&gt;"",ISNUMBER(A981),B981&lt;&gt;"",C981&lt;&gt;"",OR(E981="USD",E981="CRC"),F981&gt;0,ISNUMBER(Q981),Q981&gt;0),"✓ OK","✗ ERROR: Revisa datos")</f>
        <v/>
      </c>
      <c r="S981" s="6">
        <f>IF(A981&lt;&gt;"",TODAY()-A981,"")</f>
        <v/>
      </c>
      <c r="T981" s="4">
        <f>IF(E981="USD",F981,IF(E981="CRC",F981/CONFIG!$B$5,""))</f>
        <v/>
      </c>
      <c r="U981" s="19">
        <f>IF(A981&lt;&gt;"",A981+30,"")</f>
        <v/>
      </c>
      <c r="V981">
        <f>IF(AND(C981="CxP",S981&gt;60),"Alta",IF(AND(C981="CxP",S981&gt;30),"Media",IF(C981="CxP","Baja","")))</f>
        <v/>
      </c>
      <c r="W981">
        <f>IF(AND(C981="CxC",S981&gt;90),"Alta",IF(AND(C981="CxC",S981&gt;60),"Media",IF(C981="CxC","Baja","")))</f>
        <v/>
      </c>
    </row>
    <row r="982">
      <c r="A982" s="19" t="n"/>
      <c r="F982" s="20" t="n"/>
      <c r="Q982" s="10">
        <f>IF(E982="USD",CONFIG!$B$5,1)</f>
        <v/>
      </c>
      <c r="R982">
        <f>IF(AND(A982&lt;&gt;"",ISNUMBER(A982),B982&lt;&gt;"",C982&lt;&gt;"",OR(E982="USD",E982="CRC"),F982&gt;0,ISNUMBER(Q982),Q982&gt;0),"✓ OK","✗ ERROR: Revisa datos")</f>
        <v/>
      </c>
      <c r="S982" s="6">
        <f>IF(A982&lt;&gt;"",TODAY()-A982,"")</f>
        <v/>
      </c>
      <c r="T982" s="4">
        <f>IF(E982="USD",F982,IF(E982="CRC",F982/CONFIG!$B$5,""))</f>
        <v/>
      </c>
      <c r="U982" s="19">
        <f>IF(A982&lt;&gt;"",A982+30,"")</f>
        <v/>
      </c>
      <c r="V982">
        <f>IF(AND(C982="CxP",S982&gt;60),"Alta",IF(AND(C982="CxP",S982&gt;30),"Media",IF(C982="CxP","Baja","")))</f>
        <v/>
      </c>
      <c r="W982">
        <f>IF(AND(C982="CxC",S982&gt;90),"Alta",IF(AND(C982="CxC",S982&gt;60),"Media",IF(C982="CxC","Baja","")))</f>
        <v/>
      </c>
    </row>
    <row r="983">
      <c r="A983" s="19" t="n"/>
      <c r="F983" s="20" t="n"/>
      <c r="Q983" s="10">
        <f>IF(E983="USD",CONFIG!$B$5,1)</f>
        <v/>
      </c>
      <c r="R983">
        <f>IF(AND(A983&lt;&gt;"",ISNUMBER(A983),B983&lt;&gt;"",C983&lt;&gt;"",OR(E983="USD",E983="CRC"),F983&gt;0,ISNUMBER(Q983),Q983&gt;0),"✓ OK","✗ ERROR: Revisa datos")</f>
        <v/>
      </c>
      <c r="S983" s="6">
        <f>IF(A983&lt;&gt;"",TODAY()-A983,"")</f>
        <v/>
      </c>
      <c r="T983" s="4">
        <f>IF(E983="USD",F983,IF(E983="CRC",F983/CONFIG!$B$5,""))</f>
        <v/>
      </c>
      <c r="U983" s="19">
        <f>IF(A983&lt;&gt;"",A983+30,"")</f>
        <v/>
      </c>
      <c r="V983">
        <f>IF(AND(C983="CxP",S983&gt;60),"Alta",IF(AND(C983="CxP",S983&gt;30),"Media",IF(C983="CxP","Baja","")))</f>
        <v/>
      </c>
      <c r="W983">
        <f>IF(AND(C983="CxC",S983&gt;90),"Alta",IF(AND(C983="CxC",S983&gt;60),"Media",IF(C983="CxC","Baja","")))</f>
        <v/>
      </c>
    </row>
    <row r="984">
      <c r="A984" s="19" t="n"/>
      <c r="F984" s="20" t="n"/>
      <c r="Q984" s="10">
        <f>IF(E984="USD",CONFIG!$B$5,1)</f>
        <v/>
      </c>
      <c r="R984">
        <f>IF(AND(A984&lt;&gt;"",ISNUMBER(A984),B984&lt;&gt;"",C984&lt;&gt;"",OR(E984="USD",E984="CRC"),F984&gt;0,ISNUMBER(Q984),Q984&gt;0),"✓ OK","✗ ERROR: Revisa datos")</f>
        <v/>
      </c>
      <c r="S984" s="6">
        <f>IF(A984&lt;&gt;"",TODAY()-A984,"")</f>
        <v/>
      </c>
      <c r="T984" s="4">
        <f>IF(E984="USD",F984,IF(E984="CRC",F984/CONFIG!$B$5,""))</f>
        <v/>
      </c>
      <c r="U984" s="19">
        <f>IF(A984&lt;&gt;"",A984+30,"")</f>
        <v/>
      </c>
      <c r="V984">
        <f>IF(AND(C984="CxP",S984&gt;60),"Alta",IF(AND(C984="CxP",S984&gt;30),"Media",IF(C984="CxP","Baja","")))</f>
        <v/>
      </c>
      <c r="W984">
        <f>IF(AND(C984="CxC",S984&gt;90),"Alta",IF(AND(C984="CxC",S984&gt;60),"Media",IF(C984="CxC","Baja","")))</f>
        <v/>
      </c>
    </row>
    <row r="985">
      <c r="A985" s="19" t="n"/>
      <c r="F985" s="20" t="n"/>
      <c r="Q985" s="10">
        <f>IF(E985="USD",CONFIG!$B$5,1)</f>
        <v/>
      </c>
      <c r="R985">
        <f>IF(AND(A985&lt;&gt;"",ISNUMBER(A985),B985&lt;&gt;"",C985&lt;&gt;"",OR(E985="USD",E985="CRC"),F985&gt;0,ISNUMBER(Q985),Q985&gt;0),"✓ OK","✗ ERROR: Revisa datos")</f>
        <v/>
      </c>
      <c r="S985" s="6">
        <f>IF(A985&lt;&gt;"",TODAY()-A985,"")</f>
        <v/>
      </c>
      <c r="T985" s="4">
        <f>IF(E985="USD",F985,IF(E985="CRC",F985/CONFIG!$B$5,""))</f>
        <v/>
      </c>
      <c r="U985" s="19">
        <f>IF(A985&lt;&gt;"",A985+30,"")</f>
        <v/>
      </c>
      <c r="V985">
        <f>IF(AND(C985="CxP",S985&gt;60),"Alta",IF(AND(C985="CxP",S985&gt;30),"Media",IF(C985="CxP","Baja","")))</f>
        <v/>
      </c>
      <c r="W985">
        <f>IF(AND(C985="CxC",S985&gt;90),"Alta",IF(AND(C985="CxC",S985&gt;60),"Media",IF(C985="CxC","Baja","")))</f>
        <v/>
      </c>
    </row>
    <row r="986">
      <c r="A986" s="19" t="n"/>
      <c r="F986" s="20" t="n"/>
      <c r="Q986" s="10">
        <f>IF(E986="USD",CONFIG!$B$5,1)</f>
        <v/>
      </c>
      <c r="R986">
        <f>IF(AND(A986&lt;&gt;"",ISNUMBER(A986),B986&lt;&gt;"",C986&lt;&gt;"",OR(E986="USD",E986="CRC"),F986&gt;0,ISNUMBER(Q986),Q986&gt;0),"✓ OK","✗ ERROR: Revisa datos")</f>
        <v/>
      </c>
      <c r="S986" s="6">
        <f>IF(A986&lt;&gt;"",TODAY()-A986,"")</f>
        <v/>
      </c>
      <c r="T986" s="4">
        <f>IF(E986="USD",F986,IF(E986="CRC",F986/CONFIG!$B$5,""))</f>
        <v/>
      </c>
      <c r="U986" s="19">
        <f>IF(A986&lt;&gt;"",A986+30,"")</f>
        <v/>
      </c>
      <c r="V986">
        <f>IF(AND(C986="CxP",S986&gt;60),"Alta",IF(AND(C986="CxP",S986&gt;30),"Media",IF(C986="CxP","Baja","")))</f>
        <v/>
      </c>
      <c r="W986">
        <f>IF(AND(C986="CxC",S986&gt;90),"Alta",IF(AND(C986="CxC",S986&gt;60),"Media",IF(C986="CxC","Baja","")))</f>
        <v/>
      </c>
    </row>
    <row r="987">
      <c r="A987" s="19" t="n"/>
      <c r="F987" s="20" t="n"/>
      <c r="Q987" s="10">
        <f>IF(E987="USD",CONFIG!$B$5,1)</f>
        <v/>
      </c>
      <c r="R987">
        <f>IF(AND(A987&lt;&gt;"",ISNUMBER(A987),B987&lt;&gt;"",C987&lt;&gt;"",OR(E987="USD",E987="CRC"),F987&gt;0,ISNUMBER(Q987),Q987&gt;0),"✓ OK","✗ ERROR: Revisa datos")</f>
        <v/>
      </c>
      <c r="S987" s="6">
        <f>IF(A987&lt;&gt;"",TODAY()-A987,"")</f>
        <v/>
      </c>
      <c r="T987" s="4">
        <f>IF(E987="USD",F987,IF(E987="CRC",F987/CONFIG!$B$5,""))</f>
        <v/>
      </c>
      <c r="U987" s="19">
        <f>IF(A987&lt;&gt;"",A987+30,"")</f>
        <v/>
      </c>
      <c r="V987">
        <f>IF(AND(C987="CxP",S987&gt;60),"Alta",IF(AND(C987="CxP",S987&gt;30),"Media",IF(C987="CxP","Baja","")))</f>
        <v/>
      </c>
      <c r="W987">
        <f>IF(AND(C987="CxC",S987&gt;90),"Alta",IF(AND(C987="CxC",S987&gt;60),"Media",IF(C987="CxC","Baja","")))</f>
        <v/>
      </c>
    </row>
    <row r="988">
      <c r="A988" s="19" t="n"/>
      <c r="F988" s="20" t="n"/>
      <c r="Q988" s="10">
        <f>IF(E988="USD",CONFIG!$B$5,1)</f>
        <v/>
      </c>
      <c r="R988">
        <f>IF(AND(A988&lt;&gt;"",ISNUMBER(A988),B988&lt;&gt;"",C988&lt;&gt;"",OR(E988="USD",E988="CRC"),F988&gt;0,ISNUMBER(Q988),Q988&gt;0),"✓ OK","✗ ERROR: Revisa datos")</f>
        <v/>
      </c>
      <c r="S988" s="6">
        <f>IF(A988&lt;&gt;"",TODAY()-A988,"")</f>
        <v/>
      </c>
      <c r="T988" s="4">
        <f>IF(E988="USD",F988,IF(E988="CRC",F988/CONFIG!$B$5,""))</f>
        <v/>
      </c>
      <c r="U988" s="19">
        <f>IF(A988&lt;&gt;"",A988+30,"")</f>
        <v/>
      </c>
      <c r="V988">
        <f>IF(AND(C988="CxP",S988&gt;60),"Alta",IF(AND(C988="CxP",S988&gt;30),"Media",IF(C988="CxP","Baja","")))</f>
        <v/>
      </c>
      <c r="W988">
        <f>IF(AND(C988="CxC",S988&gt;90),"Alta",IF(AND(C988="CxC",S988&gt;60),"Media",IF(C988="CxC","Baja","")))</f>
        <v/>
      </c>
    </row>
    <row r="989">
      <c r="A989" s="19" t="n"/>
      <c r="F989" s="20" t="n"/>
      <c r="Q989" s="10">
        <f>IF(E989="USD",CONFIG!$B$5,1)</f>
        <v/>
      </c>
      <c r="R989">
        <f>IF(AND(A989&lt;&gt;"",ISNUMBER(A989),B989&lt;&gt;"",C989&lt;&gt;"",OR(E989="USD",E989="CRC"),F989&gt;0,ISNUMBER(Q989),Q989&gt;0),"✓ OK","✗ ERROR: Revisa datos")</f>
        <v/>
      </c>
      <c r="S989" s="6">
        <f>IF(A989&lt;&gt;"",TODAY()-A989,"")</f>
        <v/>
      </c>
      <c r="T989" s="4">
        <f>IF(E989="USD",F989,IF(E989="CRC",F989/CONFIG!$B$5,""))</f>
        <v/>
      </c>
      <c r="U989" s="19">
        <f>IF(A989&lt;&gt;"",A989+30,"")</f>
        <v/>
      </c>
      <c r="V989">
        <f>IF(AND(C989="CxP",S989&gt;60),"Alta",IF(AND(C989="CxP",S989&gt;30),"Media",IF(C989="CxP","Baja","")))</f>
        <v/>
      </c>
      <c r="W989">
        <f>IF(AND(C989="CxC",S989&gt;90),"Alta",IF(AND(C989="CxC",S989&gt;60),"Media",IF(C989="CxC","Baja","")))</f>
        <v/>
      </c>
    </row>
    <row r="990">
      <c r="A990" s="19" t="n"/>
      <c r="F990" s="20" t="n"/>
      <c r="Q990" s="10">
        <f>IF(E990="USD",CONFIG!$B$5,1)</f>
        <v/>
      </c>
      <c r="R990">
        <f>IF(AND(A990&lt;&gt;"",ISNUMBER(A990),B990&lt;&gt;"",C990&lt;&gt;"",OR(E990="USD",E990="CRC"),F990&gt;0,ISNUMBER(Q990),Q990&gt;0),"✓ OK","✗ ERROR: Revisa datos")</f>
        <v/>
      </c>
      <c r="S990" s="6">
        <f>IF(A990&lt;&gt;"",TODAY()-A990,"")</f>
        <v/>
      </c>
      <c r="T990" s="4">
        <f>IF(E990="USD",F990,IF(E990="CRC",F990/CONFIG!$B$5,""))</f>
        <v/>
      </c>
      <c r="U990" s="19">
        <f>IF(A990&lt;&gt;"",A990+30,"")</f>
        <v/>
      </c>
      <c r="V990">
        <f>IF(AND(C990="CxP",S990&gt;60),"Alta",IF(AND(C990="CxP",S990&gt;30),"Media",IF(C990="CxP","Baja","")))</f>
        <v/>
      </c>
      <c r="W990">
        <f>IF(AND(C990="CxC",S990&gt;90),"Alta",IF(AND(C990="CxC",S990&gt;60),"Media",IF(C990="CxC","Baja","")))</f>
        <v/>
      </c>
    </row>
    <row r="991">
      <c r="A991" s="19" t="n"/>
      <c r="F991" s="20" t="n"/>
      <c r="Q991" s="10">
        <f>IF(E991="USD",CONFIG!$B$5,1)</f>
        <v/>
      </c>
      <c r="R991">
        <f>IF(AND(A991&lt;&gt;"",ISNUMBER(A991),B991&lt;&gt;"",C991&lt;&gt;"",OR(E991="USD",E991="CRC"),F991&gt;0,ISNUMBER(Q991),Q991&gt;0),"✓ OK","✗ ERROR: Revisa datos")</f>
        <v/>
      </c>
      <c r="S991" s="6">
        <f>IF(A991&lt;&gt;"",TODAY()-A991,"")</f>
        <v/>
      </c>
      <c r="T991" s="4">
        <f>IF(E991="USD",F991,IF(E991="CRC",F991/CONFIG!$B$5,""))</f>
        <v/>
      </c>
      <c r="U991" s="19">
        <f>IF(A991&lt;&gt;"",A991+30,"")</f>
        <v/>
      </c>
      <c r="V991">
        <f>IF(AND(C991="CxP",S991&gt;60),"Alta",IF(AND(C991="CxP",S991&gt;30),"Media",IF(C991="CxP","Baja","")))</f>
        <v/>
      </c>
      <c r="W991">
        <f>IF(AND(C991="CxC",S991&gt;90),"Alta",IF(AND(C991="CxC",S991&gt;60),"Media",IF(C991="CxC","Baja","")))</f>
        <v/>
      </c>
    </row>
    <row r="992">
      <c r="A992" s="19" t="n"/>
      <c r="F992" s="20" t="n"/>
      <c r="Q992" s="10">
        <f>IF(E992="USD",CONFIG!$B$5,1)</f>
        <v/>
      </c>
      <c r="R992">
        <f>IF(AND(A992&lt;&gt;"",ISNUMBER(A992),B992&lt;&gt;"",C992&lt;&gt;"",OR(E992="USD",E992="CRC"),F992&gt;0,ISNUMBER(Q992),Q992&gt;0),"✓ OK","✗ ERROR: Revisa datos")</f>
        <v/>
      </c>
      <c r="S992" s="6">
        <f>IF(A992&lt;&gt;"",TODAY()-A992,"")</f>
        <v/>
      </c>
      <c r="T992" s="4">
        <f>IF(E992="USD",F992,IF(E992="CRC",F992/CONFIG!$B$5,""))</f>
        <v/>
      </c>
      <c r="U992" s="19">
        <f>IF(A992&lt;&gt;"",A992+30,"")</f>
        <v/>
      </c>
      <c r="V992">
        <f>IF(AND(C992="CxP",S992&gt;60),"Alta",IF(AND(C992="CxP",S992&gt;30),"Media",IF(C992="CxP","Baja","")))</f>
        <v/>
      </c>
      <c r="W992">
        <f>IF(AND(C992="CxC",S992&gt;90),"Alta",IF(AND(C992="CxC",S992&gt;60),"Media",IF(C992="CxC","Baja","")))</f>
        <v/>
      </c>
    </row>
    <row r="993">
      <c r="A993" s="19" t="n"/>
      <c r="F993" s="20" t="n"/>
      <c r="Q993" s="10">
        <f>IF(E993="USD",CONFIG!$B$5,1)</f>
        <v/>
      </c>
      <c r="R993">
        <f>IF(AND(A993&lt;&gt;"",ISNUMBER(A993),B993&lt;&gt;"",C993&lt;&gt;"",OR(E993="USD",E993="CRC"),F993&gt;0,ISNUMBER(Q993),Q993&gt;0),"✓ OK","✗ ERROR: Revisa datos")</f>
        <v/>
      </c>
      <c r="S993" s="6">
        <f>IF(A993&lt;&gt;"",TODAY()-A993,"")</f>
        <v/>
      </c>
      <c r="T993" s="4">
        <f>IF(E993="USD",F993,IF(E993="CRC",F993/CONFIG!$B$5,""))</f>
        <v/>
      </c>
      <c r="U993" s="19">
        <f>IF(A993&lt;&gt;"",A993+30,"")</f>
        <v/>
      </c>
      <c r="V993">
        <f>IF(AND(C993="CxP",S993&gt;60),"Alta",IF(AND(C993="CxP",S993&gt;30),"Media",IF(C993="CxP","Baja","")))</f>
        <v/>
      </c>
      <c r="W993">
        <f>IF(AND(C993="CxC",S993&gt;90),"Alta",IF(AND(C993="CxC",S993&gt;60),"Media",IF(C993="CxC","Baja","")))</f>
        <v/>
      </c>
    </row>
    <row r="994">
      <c r="A994" s="19" t="n"/>
      <c r="F994" s="20" t="n"/>
      <c r="Q994" s="10">
        <f>IF(E994="USD",CONFIG!$B$5,1)</f>
        <v/>
      </c>
      <c r="R994">
        <f>IF(AND(A994&lt;&gt;"",ISNUMBER(A994),B994&lt;&gt;"",C994&lt;&gt;"",OR(E994="USD",E994="CRC"),F994&gt;0,ISNUMBER(Q994),Q994&gt;0),"✓ OK","✗ ERROR: Revisa datos")</f>
        <v/>
      </c>
      <c r="S994" s="6">
        <f>IF(A994&lt;&gt;"",TODAY()-A994,"")</f>
        <v/>
      </c>
      <c r="T994" s="4">
        <f>IF(E994="USD",F994,IF(E994="CRC",F994/CONFIG!$B$5,""))</f>
        <v/>
      </c>
      <c r="U994" s="19">
        <f>IF(A994&lt;&gt;"",A994+30,"")</f>
        <v/>
      </c>
      <c r="V994">
        <f>IF(AND(C994="CxP",S994&gt;60),"Alta",IF(AND(C994="CxP",S994&gt;30),"Media",IF(C994="CxP","Baja","")))</f>
        <v/>
      </c>
      <c r="W994">
        <f>IF(AND(C994="CxC",S994&gt;90),"Alta",IF(AND(C994="CxC",S994&gt;60),"Media",IF(C994="CxC","Baja","")))</f>
        <v/>
      </c>
    </row>
    <row r="995">
      <c r="A995" s="19" t="n"/>
      <c r="F995" s="20" t="n"/>
      <c r="Q995" s="10">
        <f>IF(E995="USD",CONFIG!$B$5,1)</f>
        <v/>
      </c>
      <c r="R995">
        <f>IF(AND(A995&lt;&gt;"",ISNUMBER(A995),B995&lt;&gt;"",C995&lt;&gt;"",OR(E995="USD",E995="CRC"),F995&gt;0,ISNUMBER(Q995),Q995&gt;0),"✓ OK","✗ ERROR: Revisa datos")</f>
        <v/>
      </c>
      <c r="S995" s="6">
        <f>IF(A995&lt;&gt;"",TODAY()-A995,"")</f>
        <v/>
      </c>
      <c r="T995" s="4">
        <f>IF(E995="USD",F995,IF(E995="CRC",F995/CONFIG!$B$5,""))</f>
        <v/>
      </c>
      <c r="U995" s="19">
        <f>IF(A995&lt;&gt;"",A995+30,"")</f>
        <v/>
      </c>
      <c r="V995">
        <f>IF(AND(C995="CxP",S995&gt;60),"Alta",IF(AND(C995="CxP",S995&gt;30),"Media",IF(C995="CxP","Baja","")))</f>
        <v/>
      </c>
      <c r="W995">
        <f>IF(AND(C995="CxC",S995&gt;90),"Alta",IF(AND(C995="CxC",S995&gt;60),"Media",IF(C995="CxC","Baja","")))</f>
        <v/>
      </c>
    </row>
    <row r="996">
      <c r="A996" s="19" t="n"/>
      <c r="F996" s="20" t="n"/>
      <c r="Q996" s="10">
        <f>IF(E996="USD",CONFIG!$B$5,1)</f>
        <v/>
      </c>
      <c r="R996">
        <f>IF(AND(A996&lt;&gt;"",ISNUMBER(A996),B996&lt;&gt;"",C996&lt;&gt;"",OR(E996="USD",E996="CRC"),F996&gt;0,ISNUMBER(Q996),Q996&gt;0),"✓ OK","✗ ERROR: Revisa datos")</f>
        <v/>
      </c>
      <c r="S996" s="6">
        <f>IF(A996&lt;&gt;"",TODAY()-A996,"")</f>
        <v/>
      </c>
      <c r="T996" s="4">
        <f>IF(E996="USD",F996,IF(E996="CRC",F996/CONFIG!$B$5,""))</f>
        <v/>
      </c>
      <c r="U996" s="19">
        <f>IF(A996&lt;&gt;"",A996+30,"")</f>
        <v/>
      </c>
      <c r="V996">
        <f>IF(AND(C996="CxP",S996&gt;60),"Alta",IF(AND(C996="CxP",S996&gt;30),"Media",IF(C996="CxP","Baja","")))</f>
        <v/>
      </c>
      <c r="W996">
        <f>IF(AND(C996="CxC",S996&gt;90),"Alta",IF(AND(C996="CxC",S996&gt;60),"Media",IF(C996="CxC","Baja","")))</f>
        <v/>
      </c>
    </row>
    <row r="997">
      <c r="A997" s="19" t="n"/>
      <c r="F997" s="20" t="n"/>
      <c r="Q997" s="10">
        <f>IF(E997="USD",CONFIG!$B$5,1)</f>
        <v/>
      </c>
      <c r="R997">
        <f>IF(AND(A997&lt;&gt;"",ISNUMBER(A997),B997&lt;&gt;"",C997&lt;&gt;"",OR(E997="USD",E997="CRC"),F997&gt;0,ISNUMBER(Q997),Q997&gt;0),"✓ OK","✗ ERROR: Revisa datos")</f>
        <v/>
      </c>
      <c r="S997" s="6">
        <f>IF(A997&lt;&gt;"",TODAY()-A997,"")</f>
        <v/>
      </c>
      <c r="T997" s="4">
        <f>IF(E997="USD",F997,IF(E997="CRC",F997/CONFIG!$B$5,""))</f>
        <v/>
      </c>
      <c r="U997" s="19">
        <f>IF(A997&lt;&gt;"",A997+30,"")</f>
        <v/>
      </c>
      <c r="V997">
        <f>IF(AND(C997="CxP",S997&gt;60),"Alta",IF(AND(C997="CxP",S997&gt;30),"Media",IF(C997="CxP","Baja","")))</f>
        <v/>
      </c>
      <c r="W997">
        <f>IF(AND(C997="CxC",S997&gt;90),"Alta",IF(AND(C997="CxC",S997&gt;60),"Media",IF(C997="CxC","Baja","")))</f>
        <v/>
      </c>
    </row>
    <row r="998">
      <c r="A998" s="19" t="n"/>
      <c r="F998" s="20" t="n"/>
      <c r="Q998" s="10">
        <f>IF(E998="USD",CONFIG!$B$5,1)</f>
        <v/>
      </c>
      <c r="R998">
        <f>IF(AND(A998&lt;&gt;"",ISNUMBER(A998),B998&lt;&gt;"",C998&lt;&gt;"",OR(E998="USD",E998="CRC"),F998&gt;0,ISNUMBER(Q998),Q998&gt;0),"✓ OK","✗ ERROR: Revisa datos")</f>
        <v/>
      </c>
      <c r="S998" s="6">
        <f>IF(A998&lt;&gt;"",TODAY()-A998,"")</f>
        <v/>
      </c>
      <c r="T998" s="4">
        <f>IF(E998="USD",F998,IF(E998="CRC",F998/CONFIG!$B$5,""))</f>
        <v/>
      </c>
      <c r="U998" s="19">
        <f>IF(A998&lt;&gt;"",A998+30,"")</f>
        <v/>
      </c>
      <c r="V998">
        <f>IF(AND(C998="CxP",S998&gt;60),"Alta",IF(AND(C998="CxP",S998&gt;30),"Media",IF(C998="CxP","Baja","")))</f>
        <v/>
      </c>
      <c r="W998">
        <f>IF(AND(C998="CxC",S998&gt;90),"Alta",IF(AND(C998="CxC",S998&gt;60),"Media",IF(C998="CxC","Baja","")))</f>
        <v/>
      </c>
    </row>
    <row r="999">
      <c r="A999" s="19" t="n"/>
      <c r="F999" s="20" t="n"/>
      <c r="Q999" s="10">
        <f>IF(E999="USD",CONFIG!$B$5,1)</f>
        <v/>
      </c>
      <c r="R999">
        <f>IF(AND(A999&lt;&gt;"",ISNUMBER(A999),B999&lt;&gt;"",C999&lt;&gt;"",OR(E999="USD",E999="CRC"),F999&gt;0,ISNUMBER(Q999),Q999&gt;0),"✓ OK","✗ ERROR: Revisa datos")</f>
        <v/>
      </c>
      <c r="S999" s="6">
        <f>IF(A999&lt;&gt;"",TODAY()-A999,"")</f>
        <v/>
      </c>
      <c r="T999" s="4">
        <f>IF(E999="USD",F999,IF(E999="CRC",F999/CONFIG!$B$5,""))</f>
        <v/>
      </c>
      <c r="U999" s="19">
        <f>IF(A999&lt;&gt;"",A999+30,"")</f>
        <v/>
      </c>
      <c r="V999">
        <f>IF(AND(C999="CxP",S999&gt;60),"Alta",IF(AND(C999="CxP",S999&gt;30),"Media",IF(C999="CxP","Baja","")))</f>
        <v/>
      </c>
      <c r="W999">
        <f>IF(AND(C999="CxC",S999&gt;90),"Alta",IF(AND(C999="CxC",S999&gt;60),"Media",IF(C999="CxC","Baja","")))</f>
        <v/>
      </c>
    </row>
    <row r="1000">
      <c r="A1000" s="19" t="n"/>
      <c r="F1000" s="20" t="n"/>
      <c r="Q1000" s="10">
        <f>IF(E1000="USD",CONFIG!$B$5,1)</f>
        <v/>
      </c>
      <c r="R1000">
        <f>IF(AND(A1000&lt;&gt;"",ISNUMBER(A1000),B1000&lt;&gt;"",C1000&lt;&gt;"",OR(E1000="USD",E1000="CRC"),F1000&gt;0,ISNUMBER(Q1000),Q1000&gt;0),"✓ OK","✗ ERROR: Revisa datos")</f>
        <v/>
      </c>
      <c r="S1000" s="6">
        <f>IF(A1000&lt;&gt;"",TODAY()-A1000,"")</f>
        <v/>
      </c>
      <c r="T1000" s="4">
        <f>IF(E1000="USD",F1000,IF(E1000="CRC",F1000/CONFIG!$B$5,""))</f>
        <v/>
      </c>
      <c r="U1000" s="19">
        <f>IF(A1000&lt;&gt;"",A1000+30,"")</f>
        <v/>
      </c>
      <c r="V1000">
        <f>IF(AND(C1000="CxP",S1000&gt;60),"Alta",IF(AND(C1000="CxP",S1000&gt;30),"Media",IF(C1000="CxP","Baja","")))</f>
        <v/>
      </c>
      <c r="W1000">
        <f>IF(AND(C1000="CxC",S1000&gt;90),"Alta",IF(AND(C1000="CxC",S1000&gt;60),"Media",IF(C1000="CxC","Baja","")))</f>
        <v/>
      </c>
    </row>
  </sheetData>
  <mergeCells count="1">
    <mergeCell ref="A1:W1"/>
  </mergeCells>
  <dataValidations count="7">
    <dataValidation sqref="C3:C1000" showDropDown="0" showInputMessage="0" showErrorMessage="0" allowBlank="0" errorTitle="Entrada inválida" error="Valor no válido" promptTitle="Opciones disponibles" prompt="Seleccione una opción" type="list">
      <formula1>"Ingreso,Gasto,Inventario,Servicios,CxP,CxC,Marketing,Personal"</formula1>
    </dataValidation>
    <dataValidation sqref="E3:E1000" showDropDown="0" showInputMessage="0" showErrorMessage="0" allowBlank="0" errorTitle="Entrada inválida" error="Valor no válido" promptTitle="Opciones disponibles" prompt="Seleccione una opción" type="list">
      <formula1>"USD,CRC"</formula1>
    </dataValidation>
    <dataValidation sqref="H3:H1000" showDropDown="0" showInputMessage="0" showErrorMessage="0" allowBlank="0" errorTitle="Entrada inválida" error="Valor no válido" promptTitle="Opciones disponibles" prompt="Seleccione una opción" type="list">
      <formula1>"Efectivo,Transferencia,Tarjeta Crédito,Cheque,SINPE,PayPal"</formula1>
    </dataValidation>
    <dataValidation sqref="I3:I1000" showDropDown="0" showInputMessage="0" showErrorMessage="0" allowBlank="0" errorTitle="Entrada inválida" error="Valor no válido" promptTitle="Opciones disponibles" prompt="Seleccione una opción" type="list">
      <formula1>"Sí,No"</formula1>
    </dataValidation>
    <dataValidation sqref="K3:K1000" showDropDown="0" showInputMessage="0" showErrorMessage="0" allowBlank="0" errorTitle="Entrada inválida" error="Valor no válido" promptTitle="Opciones disponibles" prompt="Seleccione una opción" type="list">
      <formula1>"Sí,No"</formula1>
    </dataValidation>
    <dataValidation sqref="M3:M1000" showDropDown="0" showInputMessage="0" showErrorMessage="0" allowBlank="0" errorTitle="Entrada inválida" error="Valor no válido" promptTitle="Opciones disponibles" prompt="Seleccione una opción" type="list">
      <formula1>"Pagado,Pendiente,Cobrado,Cancelado"</formula1>
    </dataValidation>
    <dataValidation sqref="P3:P1000" showDropDown="0" showInputMessage="0" showErrorMessage="0" allowBlank="0" errorTitle="Entrada inválida" error="Valor no válido" promptTitle="Opciones disponibles" prompt="Seleccione una opción" type="list">
      <formula1>"Personal,Negocio"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 ht="30" customHeight="1">
      <c r="A1" s="21" t="inlineStr">
        <is>
          <t>CONFIGURACIÓN DEL SISTEMA</t>
        </is>
      </c>
    </row>
    <row r="2">
      <c r="A2" s="22" t="inlineStr">
        <is>
          <t>⚠️ Celdas amarillas son EDITABLES - No modificar fórmulas</t>
        </is>
      </c>
    </row>
    <row r="4">
      <c r="A4" s="23" t="inlineStr">
        <is>
          <t>Parámetro</t>
        </is>
      </c>
      <c r="B4" s="23" t="inlineStr">
        <is>
          <t>Valor</t>
        </is>
      </c>
      <c r="C4" s="23" t="inlineStr">
        <is>
          <t>Descripción</t>
        </is>
      </c>
    </row>
    <row r="5">
      <c r="A5" t="inlineStr">
        <is>
          <t>Tipo Cambio USD→CRC</t>
        </is>
      </c>
      <c r="B5" s="24" t="n">
        <v>540</v>
      </c>
      <c r="C5" t="inlineStr">
        <is>
          <t>Tipo de cambio actual</t>
        </is>
      </c>
    </row>
    <row r="6">
      <c r="A6" t="inlineStr">
        <is>
          <t>BAC Visa - Día Corte</t>
        </is>
      </c>
      <c r="B6" s="24" t="n">
        <v>15</v>
      </c>
      <c r="C6" t="inlineStr">
        <is>
          <t>Día de corte mensual</t>
        </is>
      </c>
    </row>
    <row r="7">
      <c r="A7" t="inlineStr">
        <is>
          <t>BCR Mastercard - Día Corte</t>
        </is>
      </c>
      <c r="B7" s="24" t="n">
        <v>20</v>
      </c>
      <c r="C7" t="inlineStr">
        <is>
          <t>Día de corte mensual</t>
        </is>
      </c>
    </row>
    <row r="8">
      <c r="A8" t="inlineStr">
        <is>
          <t>Credomatic Platinum - Día Corte</t>
        </is>
      </c>
      <c r="B8" s="24" t="n">
        <v>10</v>
      </c>
      <c r="C8" t="inlineStr">
        <is>
          <t>Día de corte mensual</t>
        </is>
      </c>
    </row>
    <row r="9">
      <c r="A9" t="inlineStr">
        <is>
          <t>Credomatic Gold - Día Corte</t>
        </is>
      </c>
      <c r="B9" s="24" t="n">
        <v>10</v>
      </c>
      <c r="C9" t="inlineStr">
        <is>
          <t>Día de corte mensual</t>
        </is>
      </c>
    </row>
    <row r="10">
      <c r="A10" t="inlineStr">
        <is>
          <t>Proveedor Zona Franca 1</t>
        </is>
      </c>
      <c r="B10" s="24" t="inlineStr">
        <is>
          <t>VWR International LLC</t>
        </is>
      </c>
      <c r="C10" t="inlineStr">
        <is>
          <t>Exento de IVA</t>
        </is>
      </c>
    </row>
    <row r="11">
      <c r="A11" t="inlineStr">
        <is>
          <t>Proveedor Zona Franca 2</t>
        </is>
      </c>
      <c r="B11" s="24" t="inlineStr">
        <is>
          <t>RS Hughes Co. Inc.</t>
        </is>
      </c>
      <c r="C11" t="inlineStr">
        <is>
          <t>Exento de IVA</t>
        </is>
      </c>
    </row>
    <row r="12">
      <c r="A12" t="inlineStr">
        <is>
          <t>IVA Costa Rica %</t>
        </is>
      </c>
      <c r="B12" s="24" t="n">
        <v>13</v>
      </c>
      <c r="C12" t="inlineStr">
        <is>
          <t>Porcentaje IVA estándar</t>
        </is>
      </c>
    </row>
    <row r="13">
      <c r="A13" t="inlineStr">
        <is>
          <t>Mes Actual de Trabajo</t>
        </is>
      </c>
      <c r="B13" s="25" t="inlineStr">
        <is>
          <t>Noviembre 2025</t>
        </is>
      </c>
      <c r="C13" t="inlineStr">
        <is>
          <t>Cambiar al hacer cierre</t>
        </is>
      </c>
    </row>
    <row r="14">
      <c r="A14" t="inlineStr">
        <is>
          <t>Último Cierre Realizado</t>
        </is>
      </c>
      <c r="B14" s="24" t="inlineStr">
        <is>
          <t>31/10/2025</t>
        </is>
      </c>
      <c r="C14" t="inlineStr">
        <is>
          <t>Auto-actualiza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0" customWidth="1" min="4" max="4"/>
    <col width="30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26" t="inlineStr">
        <is>
          <t>CUENTAS POR PAGAR (CxP)</t>
        </is>
      </c>
    </row>
    <row r="2">
      <c r="A2" s="27" t="inlineStr">
        <is>
          <t>Entidad</t>
        </is>
      </c>
      <c r="B2" s="27" t="inlineStr">
        <is>
          <t>Fecha</t>
        </is>
      </c>
      <c r="C2" s="27" t="inlineStr">
        <is>
          <t>Monto</t>
        </is>
      </c>
      <c r="D2" s="27" t="inlineStr">
        <is>
          <t>Moneda</t>
        </is>
      </c>
      <c r="E2" s="27" t="inlineStr">
        <is>
          <t>Descripción</t>
        </is>
      </c>
      <c r="F2" s="27" t="inlineStr">
        <is>
          <t>Estado</t>
        </is>
      </c>
      <c r="G2" s="27" t="inlineStr">
        <is>
          <t>Días Vencidos</t>
        </is>
      </c>
      <c r="H2" s="27" t="inlineStr">
        <is>
          <t>Equiv USD</t>
        </is>
      </c>
      <c r="I2" s="27" t="inlineStr">
        <is>
          <t>Factura #</t>
        </is>
      </c>
      <c r="J2" s="27" t="inlineStr">
        <is>
          <t>Fecha Venc</t>
        </is>
      </c>
      <c r="K2" s="27" t="inlineStr">
        <is>
          <t>Prioridad</t>
        </is>
      </c>
      <c r="L2" s="27" t="inlineStr">
        <is>
          <t>Contacto</t>
        </is>
      </c>
    </row>
    <row r="3">
      <c r="A3">
        <f>FILTER(TRANSACCIONES!B3:B1000;(TRANSACCIONES!C3:C1000="CxP")*(TRANSACCIONES!M3:M1000="Pendiente");"Sin CxP pendientes")</f>
        <v/>
      </c>
      <c r="B3" s="19">
        <f>FILTER(TRANSACCIONES!A3:A1000;(TRANSACCIONES!C3:C1000="CxP")*(TRANSACCIONES!M3:M1000="Pendiente");"")</f>
        <v/>
      </c>
      <c r="C3" s="20">
        <f>FILTER(TRANSACCIONES!F3:F1000;(TRANSACCIONES!C3:C1000="CxP")*(TRANSACCIONES!M3:M1000="Pendiente");"")</f>
        <v/>
      </c>
      <c r="D3">
        <f>FILTER(TRANSACCIONES!E3:E1000;(TRANSACCIONES!C3:C1000="CxP")*(TRANSACCIONES!M3:M1000="Pendiente");"")</f>
        <v/>
      </c>
      <c r="E3">
        <f>FILTER(TRANSACCIONES!G3:G1000;(TRANSACCIONES!C3:C1000="CxP")*(TRANSACCIONES!M3:M1000="Pendiente");"")</f>
        <v/>
      </c>
      <c r="F3">
        <f>FILTER(TRANSACCIONES!M3:M1000;(TRANSACCIONES!C3:C1000="CxP")*(TRANSACCIONES!M3:M1000="Pendiente");"")</f>
        <v/>
      </c>
      <c r="G3">
        <f>FILTER(TRANSACCIONES!S3:S1000;(TRANSACCIONES!C3:C1000="CxP")*(TRANSACCIONES!M3:M1000="Pendiente");"")</f>
        <v/>
      </c>
      <c r="H3" s="4">
        <f>FILTER(TRANSACCIONES!T3:T1000;(TRANSACCIONES!C3:C1000="CxP")*(TRANSACCIONES!M3:M1000="Pendiente");"")</f>
        <v/>
      </c>
      <c r="I3">
        <f>FILTER(TRANSACCIONES!N3:N1000;(TRANSACCIONES!C3:C1000="CxP")*(TRANSACCIONES!M3:M1000="Pendiente");"")</f>
        <v/>
      </c>
      <c r="J3" s="19">
        <f>FILTER(TRANSACCIONES!U3:U1000;(TRANSACCIONES!C3:C1000="CxP")*(TRANSACCIONES!M3:M1000="Pendiente");"")</f>
        <v/>
      </c>
      <c r="K3">
        <f>FILTER(TRANSACCIONES!V3:V1000;(TRANSACCIONES!C3:C1000="CxP")*(TRANSACCIONES!M3:M1000="Pendiente");"")</f>
        <v/>
      </c>
      <c r="L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0" customWidth="1" min="4" max="4"/>
    <col width="30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28" t="inlineStr">
        <is>
          <t>CUENTAS POR COBRAR (CxC)</t>
        </is>
      </c>
    </row>
    <row r="2">
      <c r="A2" s="29" t="inlineStr">
        <is>
          <t>Entidad</t>
        </is>
      </c>
      <c r="B2" s="29" t="inlineStr">
        <is>
          <t>Fecha</t>
        </is>
      </c>
      <c r="C2" s="29" t="inlineStr">
        <is>
          <t>Monto</t>
        </is>
      </c>
      <c r="D2" s="29" t="inlineStr">
        <is>
          <t>Moneda</t>
        </is>
      </c>
      <c r="E2" s="29" t="inlineStr">
        <is>
          <t>Descripción</t>
        </is>
      </c>
      <c r="F2" s="29" t="inlineStr">
        <is>
          <t>Estado</t>
        </is>
      </c>
      <c r="G2" s="29" t="inlineStr">
        <is>
          <t>Días Pendientes</t>
        </is>
      </c>
      <c r="H2" s="29" t="inlineStr">
        <is>
          <t>Equiv USD</t>
        </is>
      </c>
      <c r="I2" s="29" t="inlineStr">
        <is>
          <t>Factura #</t>
        </is>
      </c>
      <c r="J2" s="29" t="inlineStr">
        <is>
          <t>Fecha Venc</t>
        </is>
      </c>
      <c r="K2" s="29" t="inlineStr">
        <is>
          <t>Prioridad</t>
        </is>
      </c>
      <c r="L2" s="29" t="inlineStr">
        <is>
          <t>Contacto</t>
        </is>
      </c>
    </row>
    <row r="3">
      <c r="A3">
        <f>FILTER(TRANSACCIONES!B3:B1000;(TRANSACCIONES!C3:C1000="CxC")*(TRANSACCIONES!M3:M1000="Pendiente");"Sin CxC pendientes")</f>
        <v/>
      </c>
      <c r="B3" s="19">
        <f>FILTER(TRANSACCIONES!A3:A1000;(TRANSACCIONES!C3:C1000="CxC")*(TRANSACCIONES!M3:M1000="Pendiente");"")</f>
        <v/>
      </c>
      <c r="C3" s="20">
        <f>FILTER(TRANSACCIONES!F3:F1000;(TRANSACCIONES!C3:C1000="CxC")*(TRANSACCIONES!M3:M1000="Pendiente");"")</f>
        <v/>
      </c>
      <c r="D3">
        <f>FILTER(TRANSACCIONES!E3:E1000;(TRANSACCIONES!C3:C1000="CxC")*(TRANSACCIONES!M3:M1000="Pendiente");"")</f>
        <v/>
      </c>
      <c r="E3">
        <f>FILTER(TRANSACCIONES!G3:G1000;(TRANSACCIONES!C3:C1000="CxC")*(TRANSACCIONES!M3:M1000="Pendiente");"")</f>
        <v/>
      </c>
      <c r="F3">
        <f>FILTER(TRANSACCIONES!M3:M1000;(TRANSACCIONES!C3:C1000="CxC")*(TRANSACCIONES!M3:M1000="Pendiente");"")</f>
        <v/>
      </c>
      <c r="G3">
        <f>FILTER(TRANSACCIONES!S3:S1000;(TRANSACCIONES!C3:C1000="CxC")*(TRANSACCIONES!M3:M1000="Pendiente");"")</f>
        <v/>
      </c>
      <c r="H3" s="4">
        <f>FILTER(TRANSACCIONES!T3:T1000;(TRANSACCIONES!C3:C1000="CxC")*(TRANSACCIONES!M3:M1000="Pendiente");"")</f>
        <v/>
      </c>
      <c r="I3">
        <f>FILTER(TRANSACCIONES!N3:N1000;(TRANSACCIONES!C3:C1000="CxC")*(TRANSACCIONES!M3:M1000="Pendiente");"")</f>
        <v/>
      </c>
      <c r="J3" s="19">
        <f>FILTER(TRANSACCIONES!U3:U1000;(TRANSACCIONES!C3:C1000="CxC")*(TRANSACCIONES!M3:M1000="Pendiente");"")</f>
        <v/>
      </c>
      <c r="K3">
        <f>FILTER(TRANSACCIONES!W3:W1000;(TRANSACCIONES!C3:C1000="CxC")*(TRANSACCIONES!M3:M1000="Pendiente");"")</f>
        <v/>
      </c>
      <c r="L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30" t="inlineStr">
        <is>
          <t>FLUJO DE CAJA</t>
        </is>
      </c>
    </row>
    <row r="2">
      <c r="A2" s="31" t="inlineStr">
        <is>
          <t>Mes</t>
        </is>
      </c>
      <c r="B2" s="31" t="inlineStr">
        <is>
          <t>Ingresos USD</t>
        </is>
      </c>
      <c r="C2" s="31" t="inlineStr">
        <is>
          <t>Gastos USD</t>
        </is>
      </c>
      <c r="D2" s="31" t="inlineStr">
        <is>
          <t>Flujo Neto</t>
        </is>
      </c>
      <c r="E2" s="31" t="inlineStr">
        <is>
          <t>Acumulado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</cols>
  <sheetData>
    <row r="1" ht="30" customHeight="1">
      <c r="A1" s="32" t="inlineStr">
        <is>
          <t>CONTROL IVA 13%</t>
        </is>
      </c>
    </row>
    <row r="2">
      <c r="A2" s="31" t="inlineStr">
        <is>
          <t>Fecha</t>
        </is>
      </c>
      <c r="B2" s="31" t="inlineStr">
        <is>
          <t>Entidad</t>
        </is>
      </c>
      <c r="C2" s="31" t="inlineStr">
        <is>
          <t>Monto Base</t>
        </is>
      </c>
      <c r="D2" s="31" t="inlineStr">
        <is>
          <t>IVA Aplicable</t>
        </is>
      </c>
      <c r="E2" s="31" t="inlineStr">
        <is>
          <t>Tipo</t>
        </is>
      </c>
    </row>
    <row r="3">
      <c r="D3">
        <f>IF(AND(TRANSACCIONES!I3="Sí",NOT(OR(B3=CONFIG!$B$10,B3=CONFIG!$B$11))),C3*0.13,0)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26" t="inlineStr">
        <is>
          <t>CONTROL TARJETAS CRÉDITO</t>
        </is>
      </c>
    </row>
    <row r="2">
      <c r="A2" s="31" t="inlineStr">
        <is>
          <t>Tarjeta</t>
        </is>
      </c>
      <c r="B2" s="31" t="inlineStr">
        <is>
          <t>Saldo Actual</t>
        </is>
      </c>
      <c r="C2" s="31" t="inlineStr">
        <is>
          <t>Día Corte</t>
        </is>
      </c>
      <c r="D2" s="31" t="inlineStr">
        <is>
          <t>Días hasta corte</t>
        </is>
      </c>
      <c r="E2" s="31" t="inlineStr">
        <is>
          <t>Próxima fecha</t>
        </is>
      </c>
      <c r="F2" s="31" t="inlineStr">
        <is>
          <t>Pagos mes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30" customHeight="1">
      <c r="A1" s="33" t="inlineStr">
        <is>
          <t>CONCILIACIÓN BANCARIA</t>
        </is>
      </c>
    </row>
    <row r="5">
      <c r="A5" t="inlineStr">
        <is>
          <t>Saldo según banco:</t>
        </is>
      </c>
    </row>
    <row r="6">
      <c r="A6" t="inlineStr">
        <is>
          <t>Menos: Cheques en tránsito</t>
        </is>
      </c>
    </row>
    <row r="7">
      <c r="A7" t="inlineStr">
        <is>
          <t>Más: Depósitos en tránsito</t>
        </is>
      </c>
    </row>
    <row r="8">
      <c r="A8">
        <f> Saldo ajustado banco</f>
        <v/>
      </c>
    </row>
    <row r="12">
      <c r="A12" t="inlineStr">
        <is>
          <t>Saldo según libros:</t>
        </is>
      </c>
    </row>
    <row r="13">
      <c r="A13" t="inlineStr">
        <is>
          <t>Menos: Cargos bancarios</t>
        </is>
      </c>
    </row>
    <row r="14">
      <c r="A14" t="inlineStr">
        <is>
          <t>Más: Intereses</t>
        </is>
      </c>
    </row>
    <row r="15">
      <c r="A15">
        <f> Saldo ajustado libros</f>
        <v/>
      </c>
    </row>
    <row r="19">
      <c r="A19" t="inlineStr">
        <is>
          <t>Diferencia:</t>
        </is>
      </c>
      <c r="B19">
        <f>B8-B15</f>
        <v/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4" t="inlineStr">
        <is>
          <t>PERSONAL VS NEGOCIO</t>
        </is>
      </c>
    </row>
    <row r="2">
      <c r="A2" s="31" t="inlineStr">
        <is>
          <t>Tipo</t>
        </is>
      </c>
      <c r="B2" s="31" t="inlineStr">
        <is>
          <t>Ingresos</t>
        </is>
      </c>
      <c r="C2" s="31" t="inlineStr">
        <is>
          <t>Gastos</t>
        </is>
      </c>
      <c r="D2" s="31" t="inlineStr">
        <is>
          <t>Balance</t>
        </is>
      </c>
    </row>
    <row r="3">
      <c r="A3" t="inlineStr">
        <is>
          <t>PERSONAL</t>
        </is>
      </c>
      <c r="B3">
        <f>SUMIFS(TRANSACCIONES!F:F,TRANSACCIONES!P:P,"Personal",TRANSACCIONES!C:C,"Ingreso")</f>
        <v/>
      </c>
      <c r="C3">
        <f>SUMIFS(TRANSACCIONES!F:F,TRANSACCIONES!P:P,"Personal",TRANSACCIONES!C:C,"Gasto")</f>
        <v/>
      </c>
      <c r="D3">
        <f>B3-C3</f>
        <v/>
      </c>
    </row>
    <row r="4">
      <c r="A4" t="inlineStr">
        <is>
          <t>NEGOCIO</t>
        </is>
      </c>
    </row>
    <row r="5">
      <c r="A5" t="inlineStr">
        <is>
          <t>TOTAL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5" customWidth="1" min="5" max="5"/>
  </cols>
  <sheetData>
    <row r="1" ht="30" customHeight="1">
      <c r="A1" s="28" t="inlineStr">
        <is>
          <t>ANÁLISIS POR CATEGORÍA</t>
        </is>
      </c>
    </row>
    <row r="2">
      <c r="A2" s="31" t="inlineStr">
        <is>
          <t>Categoría</t>
        </is>
      </c>
      <c r="B2" s="31" t="inlineStr">
        <is>
          <t>Total Gastado</t>
        </is>
      </c>
      <c r="C2" s="31" t="inlineStr">
        <is>
          <t>% del Total</t>
        </is>
      </c>
      <c r="D2" s="31" t="inlineStr">
        <is>
          <t># Transacciones</t>
        </is>
      </c>
      <c r="E2" s="31" t="inlineStr">
        <is>
          <t>Promedio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5" customWidth="1" min="5" max="5"/>
  </cols>
  <sheetData>
    <row r="1" ht="30" customHeight="1">
      <c r="A1" s="33" t="inlineStr">
        <is>
          <t>ANÁLISIS POR PROYECTO</t>
        </is>
      </c>
    </row>
    <row r="2">
      <c r="A2" s="31" t="inlineStr">
        <is>
          <t>Proyecto</t>
        </is>
      </c>
      <c r="B2" s="31" t="inlineStr">
        <is>
          <t>Total Gastado</t>
        </is>
      </c>
      <c r="C2" s="31" t="inlineStr">
        <is>
          <t>% del Total</t>
        </is>
      </c>
      <c r="D2" s="31" t="inlineStr">
        <is>
          <t># Transacciones</t>
        </is>
      </c>
      <c r="E2" s="31" t="inlineStr">
        <is>
          <t>Promedio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26" t="inlineStr">
        <is>
          <t>ANÁLISIS PROVEEDORES</t>
        </is>
      </c>
    </row>
    <row r="2">
      <c r="A2" s="31" t="inlineStr">
        <is>
          <t>Proveedor</t>
        </is>
      </c>
      <c r="B2" s="31" t="inlineStr">
        <is>
          <t>Total Comprado</t>
        </is>
      </c>
      <c r="C2" s="31" t="inlineStr">
        <is>
          <t># Facturas</t>
        </is>
      </c>
      <c r="D2" s="31" t="inlineStr">
        <is>
          <t>Promedio</t>
        </is>
      </c>
      <c r="E2" s="31" t="inlineStr">
        <is>
          <t>Última Compra</t>
        </is>
      </c>
      <c r="F2" s="31" t="inlineStr">
        <is>
          <t>Días desde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28" t="inlineStr">
        <is>
          <t>ANÁLISIS CLIENTES</t>
        </is>
      </c>
    </row>
    <row r="2">
      <c r="A2" s="31" t="inlineStr">
        <is>
          <t>Cliente</t>
        </is>
      </c>
      <c r="B2" s="31" t="inlineStr">
        <is>
          <t>Total Vendido</t>
        </is>
      </c>
      <c r="C2" s="31" t="inlineStr">
        <is>
          <t># Facturas</t>
        </is>
      </c>
      <c r="D2" s="31" t="inlineStr">
        <is>
          <t>Promedio</t>
        </is>
      </c>
      <c r="E2" s="31" t="inlineStr">
        <is>
          <t>Última Venta</t>
        </is>
      </c>
      <c r="F2" s="31" t="inlineStr">
        <is>
          <t>Días desde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0" customWidth="1" min="4" max="4"/>
    <col width="20" customWidth="1" min="5" max="5"/>
    <col width="30" customWidth="1" min="6" max="6"/>
  </cols>
  <sheetData>
    <row r="1" ht="30" customHeight="1">
      <c r="A1" s="35" t="inlineStr">
        <is>
          <t>AUDITORÍA Y DETECCIÓN DE ANOMALÍAS</t>
        </is>
      </c>
    </row>
    <row r="2">
      <c r="A2" s="31" t="inlineStr">
        <is>
          <t>Tipo</t>
        </is>
      </c>
      <c r="B2" s="31" t="inlineStr">
        <is>
          <t>Fila</t>
        </is>
      </c>
      <c r="C2" s="31" t="inlineStr">
        <is>
          <t>Campo</t>
        </is>
      </c>
      <c r="D2" s="31" t="inlineStr">
        <is>
          <t>Problema</t>
        </is>
      </c>
      <c r="E2" s="31" t="inlineStr">
        <is>
          <t>Valor Actual</t>
        </is>
      </c>
      <c r="F2" s="31" t="inlineStr">
        <is>
          <t>Acción Sugerida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</cols>
  <sheetData>
    <row r="1" ht="30" customHeight="1">
      <c r="A1" s="36" t="inlineStr">
        <is>
          <t>CIERRE MENSUAL</t>
        </is>
      </c>
    </row>
    <row r="3">
      <c r="A3" s="37" t="inlineStr">
        <is>
          <t>CHECKLIST - Completar antes de cerrar mes</t>
        </is>
      </c>
    </row>
    <row r="5">
      <c r="A5" s="38" t="inlineStr">
        <is>
          <t>☐ 1. Registrar TODAS las facturas del mes</t>
        </is>
      </c>
    </row>
    <row r="6">
      <c r="A6" s="38" t="inlineStr">
        <is>
          <t>☐ 2. Actualizar tipo de cambio al último día del mes</t>
        </is>
      </c>
    </row>
    <row r="7">
      <c r="A7" s="38" t="inlineStr">
        <is>
          <t>☐ 3. Conciliar bancos (hoja CONCILIACION)</t>
        </is>
      </c>
    </row>
    <row r="8">
      <c r="A8" s="38" t="inlineStr">
        <is>
          <t>☐ 4. Revisar CxP/CxC pendientes</t>
        </is>
      </c>
    </row>
    <row r="9">
      <c r="A9" s="38" t="inlineStr">
        <is>
          <t>☐ 5. Generar asientos de ajuste (si aplica)</t>
        </is>
      </c>
    </row>
    <row r="10">
      <c r="A10" s="38" t="inlineStr">
        <is>
          <t>☐ 6. Validar que columna R en TRANSACCIONES = '✓ OK'</t>
        </is>
      </c>
    </row>
    <row r="11">
      <c r="A11" s="38" t="inlineStr">
        <is>
          <t>☐ 7. Actualizar 'Mes Actual' en CONFIG (B13)</t>
        </is>
      </c>
    </row>
    <row r="12">
      <c r="A12" s="38" t="inlineStr">
        <is>
          <t>☐ 8. Actualizar 'Último Cierre' en CONFIG (B14)</t>
        </is>
      </c>
    </row>
    <row r="13">
      <c r="A13" s="38" t="inlineStr">
        <is>
          <t>☐ 9. Registrar histórico TC en HISTORICO_TC</t>
        </is>
      </c>
    </row>
    <row r="14">
      <c r="A14" s="38" t="inlineStr">
        <is>
          <t>☐ 10. Revisar dashboard RESUMEN</t>
        </is>
      </c>
    </row>
    <row r="16">
      <c r="A16" s="39" t="inlineStr">
        <is>
          <t>SALDOS A ARRASTRAR AL PRÓXIMO MES</t>
        </is>
      </c>
    </row>
    <row r="18">
      <c r="A18" t="inlineStr">
        <is>
          <t>Total CxP a arrastrar:</t>
        </is>
      </c>
      <c r="B18" s="4">
        <f>SUM(CxP!H3:H1000)</f>
        <v/>
      </c>
    </row>
    <row r="19">
      <c r="A19" t="inlineStr">
        <is>
          <t>Total CxC a arrastrar:</t>
        </is>
      </c>
      <c r="B19" s="4">
        <f>SUM(CxC!H3:H1000)</f>
        <v/>
      </c>
    </row>
    <row r="20">
      <c r="A20" t="inlineStr">
        <is>
          <t>Saldo efectivo:</t>
        </is>
      </c>
      <c r="B20" s="4">
        <f>BALANCE_GENERAL!B5</f>
        <v/>
      </c>
    </row>
    <row r="21">
      <c r="A21" t="inlineStr">
        <is>
          <t>Utilidad neta mes:</t>
        </is>
      </c>
      <c r="B21" s="4">
        <f>ESTADO_RESULTADOS!B40</f>
        <v/>
      </c>
    </row>
    <row r="23">
      <c r="A23" s="40" t="inlineStr">
        <is>
          <t>HISTÓRICO DE CIERRES MENSUALES</t>
        </is>
      </c>
    </row>
    <row r="24">
      <c r="A24" s="41" t="inlineStr">
        <is>
          <t>Mes</t>
        </is>
      </c>
      <c r="B24" s="41" t="inlineStr">
        <is>
          <t>Ingresos</t>
        </is>
      </c>
      <c r="C24" s="41" t="inlineStr">
        <is>
          <t>Gastos</t>
        </is>
      </c>
      <c r="D24" s="41" t="inlineStr">
        <is>
          <t>Utilidad</t>
        </is>
      </c>
      <c r="E24" s="41" t="inlineStr">
        <is>
          <t>CxP</t>
        </is>
      </c>
      <c r="F24" s="41" t="inlineStr">
        <is>
          <t>CxC</t>
        </is>
      </c>
      <c r="G24" s="41" t="inlineStr">
        <is>
          <t>Efectivo</t>
        </is>
      </c>
      <c r="H24" s="41" t="inlineStr">
        <is>
          <t>Margen %</t>
        </is>
      </c>
    </row>
  </sheetData>
  <mergeCells count="4">
    <mergeCell ref="A23:H23"/>
    <mergeCell ref="A3:H3"/>
    <mergeCell ref="A16:H16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20" customWidth="1" min="6" max="6"/>
    <col width="30" customWidth="1" min="7" max="7"/>
  </cols>
  <sheetData>
    <row r="1" ht="30" customHeight="1">
      <c r="A1" s="42" t="inlineStr">
        <is>
          <t>HISTÓRICO DE TIPO DE CAMBIO USD → CRC</t>
        </is>
      </c>
    </row>
    <row r="2">
      <c r="A2" s="43" t="inlineStr">
        <is>
          <t>⚠️ Registrar TC al finalizar cada mes - Crítico para notas de crédito retroactivas</t>
        </is>
      </c>
    </row>
    <row r="3">
      <c r="A3" s="41" t="inlineStr">
        <is>
          <t>Fecha Efectiva</t>
        </is>
      </c>
      <c r="B3" s="41" t="inlineStr">
        <is>
          <t>TC Compra</t>
        </is>
      </c>
      <c r="C3" s="41" t="inlineStr">
        <is>
          <t>TC Venta</t>
        </is>
      </c>
      <c r="D3" s="41" t="inlineStr">
        <is>
          <t>TC Promedio</t>
        </is>
      </c>
      <c r="E3" s="41" t="inlineStr">
        <is>
          <t>Fuente</t>
        </is>
      </c>
      <c r="F3" s="41" t="inlineStr">
        <is>
          <t>Registrado Por</t>
        </is>
      </c>
      <c r="G3" s="41" t="inlineStr">
        <is>
          <t>Notas</t>
        </is>
      </c>
    </row>
    <row r="4">
      <c r="A4" s="19" t="n">
        <v>45978</v>
      </c>
      <c r="B4" s="10" t="n">
        <v>539</v>
      </c>
      <c r="C4" s="10" t="n">
        <v>541</v>
      </c>
      <c r="D4" s="10">
        <f>(B4+C4)/2</f>
        <v/>
      </c>
      <c r="E4" t="inlineStr">
        <is>
          <t>BCCR</t>
        </is>
      </c>
      <c r="F4" t="inlineStr">
        <is>
          <t>Sistema</t>
        </is>
      </c>
      <c r="G4" t="inlineStr">
        <is>
          <t>TC actual</t>
        </is>
      </c>
    </row>
    <row r="5">
      <c r="A5" s="19" t="n">
        <v>45962</v>
      </c>
      <c r="B5" s="10" t="n">
        <v>538</v>
      </c>
      <c r="C5" s="10" t="n">
        <v>540</v>
      </c>
      <c r="D5" s="10">
        <f>(B5+C5)/2</f>
        <v/>
      </c>
      <c r="E5" t="inlineStr">
        <is>
          <t>BCCR</t>
        </is>
      </c>
      <c r="F5" t="inlineStr">
        <is>
          <t>Sistema</t>
        </is>
      </c>
      <c r="G5" t="inlineStr">
        <is>
          <t>Inicio noviembre</t>
        </is>
      </c>
    </row>
    <row r="6">
      <c r="A6" s="19" t="n">
        <v>45931</v>
      </c>
      <c r="B6" s="10" t="n">
        <v>535</v>
      </c>
      <c r="C6" s="10" t="n">
        <v>537</v>
      </c>
      <c r="D6" s="10">
        <f>(B6+C6)/2</f>
        <v/>
      </c>
      <c r="E6" t="inlineStr">
        <is>
          <t>BCCR</t>
        </is>
      </c>
      <c r="F6" t="inlineStr">
        <is>
          <t>Sistema</t>
        </is>
      </c>
      <c r="G6" t="inlineStr">
        <is>
          <t>Inicio octubre</t>
        </is>
      </c>
    </row>
    <row r="7">
      <c r="A7" s="19" t="n"/>
      <c r="B7" s="10" t="n"/>
      <c r="C7" s="10" t="n"/>
      <c r="D7" s="10" t="n"/>
    </row>
    <row r="8">
      <c r="A8" s="19" t="n"/>
      <c r="B8" s="10" t="n"/>
      <c r="C8" s="10" t="n"/>
      <c r="D8" s="10" t="n"/>
    </row>
    <row r="9">
      <c r="A9" s="19" t="n"/>
      <c r="B9" s="10" t="n"/>
      <c r="C9" s="10" t="n"/>
      <c r="D9" s="10" t="n"/>
    </row>
    <row r="10">
      <c r="A10" s="19" t="n"/>
      <c r="B10" s="10" t="n"/>
      <c r="C10" s="10" t="n"/>
      <c r="D10" s="10" t="n"/>
    </row>
    <row r="11">
      <c r="A11" s="19" t="n"/>
      <c r="B11" s="10" t="n"/>
      <c r="C11" s="10" t="n"/>
      <c r="D11" s="10" t="n"/>
    </row>
    <row r="12">
      <c r="A12" s="19" t="n"/>
      <c r="B12" s="10" t="n"/>
      <c r="C12" s="10" t="n"/>
      <c r="D12" s="10" t="n"/>
    </row>
    <row r="13">
      <c r="A13" s="19" t="n"/>
      <c r="B13" s="10" t="n"/>
      <c r="C13" s="10" t="n"/>
      <c r="D13" s="10" t="n"/>
    </row>
    <row r="14">
      <c r="A14" s="19" t="n"/>
      <c r="B14" s="10" t="n"/>
      <c r="C14" s="10" t="n"/>
      <c r="D14" s="10" t="n"/>
    </row>
    <row r="15">
      <c r="A15" s="19" t="n"/>
      <c r="B15" s="10" t="n"/>
      <c r="C15" s="10" t="n"/>
      <c r="D15" s="10" t="n"/>
    </row>
    <row r="16">
      <c r="A16" s="19" t="n"/>
      <c r="B16" s="10" t="n"/>
      <c r="C16" s="10" t="n"/>
      <c r="D16" s="10" t="n"/>
    </row>
    <row r="17">
      <c r="A17" s="19" t="n"/>
      <c r="B17" s="10" t="n"/>
      <c r="C17" s="10" t="n"/>
      <c r="D17" s="10" t="n"/>
    </row>
    <row r="18">
      <c r="A18" s="19" t="n"/>
      <c r="B18" s="10" t="n"/>
      <c r="C18" s="10" t="n"/>
      <c r="D18" s="10" t="n"/>
    </row>
    <row r="19">
      <c r="A19" s="19" t="n"/>
      <c r="B19" s="10" t="n"/>
      <c r="C19" s="10" t="n"/>
      <c r="D19" s="10" t="n"/>
    </row>
    <row r="20">
      <c r="A20" s="19" t="n"/>
      <c r="B20" s="10" t="n"/>
      <c r="C20" s="10" t="n"/>
      <c r="D20" s="10" t="n"/>
    </row>
    <row r="21">
      <c r="A21" s="19" t="n"/>
      <c r="B21" s="10" t="n"/>
      <c r="C21" s="10" t="n"/>
      <c r="D21" s="10" t="n"/>
    </row>
    <row r="22">
      <c r="A22" s="19" t="n"/>
      <c r="B22" s="10" t="n"/>
      <c r="C22" s="10" t="n"/>
      <c r="D22" s="10" t="n"/>
    </row>
    <row r="23">
      <c r="A23" s="19" t="n"/>
      <c r="B23" s="10" t="n"/>
      <c r="C23" s="10" t="n"/>
      <c r="D23" s="10" t="n"/>
    </row>
    <row r="24">
      <c r="A24" s="19" t="n"/>
      <c r="B24" s="10" t="n"/>
      <c r="C24" s="10" t="n"/>
      <c r="D24" s="10" t="n"/>
    </row>
    <row r="25">
      <c r="A25" s="19" t="n"/>
      <c r="B25" s="10" t="n"/>
      <c r="C25" s="10" t="n"/>
      <c r="D25" s="10" t="n"/>
    </row>
    <row r="26">
      <c r="A26" s="19" t="n"/>
      <c r="B26" s="10" t="n"/>
      <c r="C26" s="10" t="n"/>
      <c r="D26" s="10" t="n"/>
    </row>
    <row r="27">
      <c r="A27" s="19" t="n"/>
      <c r="B27" s="10" t="n"/>
      <c r="C27" s="10" t="n"/>
      <c r="D27" s="10" t="n"/>
    </row>
    <row r="28">
      <c r="A28" s="19" t="n"/>
      <c r="B28" s="10" t="n"/>
      <c r="C28" s="10" t="n"/>
      <c r="D28" s="10" t="n"/>
    </row>
    <row r="29">
      <c r="A29" s="19" t="n"/>
      <c r="B29" s="10" t="n"/>
      <c r="C29" s="10" t="n"/>
      <c r="D29" s="10" t="n"/>
    </row>
    <row r="30">
      <c r="A30" s="19" t="n"/>
      <c r="B30" s="10" t="n"/>
      <c r="C30" s="10" t="n"/>
      <c r="D30" s="10" t="n"/>
    </row>
    <row r="31">
      <c r="A31" s="19" t="n"/>
      <c r="B31" s="10" t="n"/>
      <c r="C31" s="10" t="n"/>
      <c r="D31" s="10" t="n"/>
    </row>
    <row r="32">
      <c r="A32" s="19" t="n"/>
      <c r="B32" s="10" t="n"/>
      <c r="C32" s="10" t="n"/>
      <c r="D32" s="10" t="n"/>
    </row>
    <row r="33">
      <c r="A33" s="19" t="n"/>
      <c r="B33" s="10" t="n"/>
      <c r="C33" s="10" t="n"/>
      <c r="D33" s="10" t="n"/>
    </row>
    <row r="34">
      <c r="A34" s="19" t="n"/>
      <c r="B34" s="10" t="n"/>
      <c r="C34" s="10" t="n"/>
      <c r="D34" s="10" t="n"/>
    </row>
    <row r="35">
      <c r="A35" s="19" t="n"/>
      <c r="B35" s="10" t="n"/>
      <c r="C35" s="10" t="n"/>
      <c r="D35" s="10" t="n"/>
    </row>
    <row r="36">
      <c r="A36" s="19" t="n"/>
      <c r="B36" s="10" t="n"/>
      <c r="C36" s="10" t="n"/>
      <c r="D36" s="10" t="n"/>
    </row>
    <row r="37">
      <c r="A37" s="19" t="n"/>
      <c r="B37" s="10" t="n"/>
      <c r="C37" s="10" t="n"/>
      <c r="D37" s="10" t="n"/>
    </row>
    <row r="38">
      <c r="A38" s="19" t="n"/>
      <c r="B38" s="10" t="n"/>
      <c r="C38" s="10" t="n"/>
      <c r="D38" s="10" t="n"/>
    </row>
    <row r="39">
      <c r="A39" s="19" t="n"/>
      <c r="B39" s="10" t="n"/>
      <c r="C39" s="10" t="n"/>
      <c r="D39" s="10" t="n"/>
    </row>
    <row r="40">
      <c r="A40" s="19" t="n"/>
      <c r="B40" s="10" t="n"/>
      <c r="C40" s="10" t="n"/>
      <c r="D40" s="10" t="n"/>
    </row>
    <row r="41">
      <c r="A41" s="19" t="n"/>
      <c r="B41" s="10" t="n"/>
      <c r="C41" s="10" t="n"/>
      <c r="D41" s="10" t="n"/>
    </row>
    <row r="42">
      <c r="A42" s="19" t="n"/>
      <c r="B42" s="10" t="n"/>
      <c r="C42" s="10" t="n"/>
      <c r="D42" s="10" t="n"/>
    </row>
    <row r="43">
      <c r="A43" s="19" t="n"/>
      <c r="B43" s="10" t="n"/>
      <c r="C43" s="10" t="n"/>
      <c r="D43" s="10" t="n"/>
    </row>
    <row r="44">
      <c r="A44" s="19" t="n"/>
      <c r="B44" s="10" t="n"/>
      <c r="C44" s="10" t="n"/>
      <c r="D44" s="10" t="n"/>
    </row>
    <row r="45">
      <c r="A45" s="19" t="n"/>
      <c r="B45" s="10" t="n"/>
      <c r="C45" s="10" t="n"/>
      <c r="D45" s="10" t="n"/>
    </row>
    <row r="46">
      <c r="A46" s="19" t="n"/>
      <c r="B46" s="10" t="n"/>
      <c r="C46" s="10" t="n"/>
      <c r="D46" s="10" t="n"/>
    </row>
    <row r="47">
      <c r="A47" s="19" t="n"/>
      <c r="B47" s="10" t="n"/>
      <c r="C47" s="10" t="n"/>
      <c r="D47" s="10" t="n"/>
    </row>
    <row r="48">
      <c r="A48" s="19" t="n"/>
      <c r="B48" s="10" t="n"/>
      <c r="C48" s="10" t="n"/>
      <c r="D48" s="10" t="n"/>
    </row>
    <row r="49">
      <c r="A49" s="19" t="n"/>
      <c r="B49" s="10" t="n"/>
      <c r="C49" s="10" t="n"/>
      <c r="D49" s="10" t="n"/>
    </row>
    <row r="50">
      <c r="A50" s="19" t="n"/>
      <c r="B50" s="10" t="n"/>
      <c r="C50" s="10" t="n"/>
      <c r="D50" s="10" t="n"/>
    </row>
    <row r="51">
      <c r="A51" s="19" t="n"/>
      <c r="B51" s="10" t="n"/>
      <c r="C51" s="10" t="n"/>
      <c r="D51" s="10" t="n"/>
    </row>
    <row r="52">
      <c r="A52" s="19" t="n"/>
      <c r="B52" s="10" t="n"/>
      <c r="C52" s="10" t="n"/>
      <c r="D52" s="10" t="n"/>
    </row>
    <row r="53">
      <c r="A53" s="19" t="n"/>
      <c r="B53" s="10" t="n"/>
      <c r="C53" s="10" t="n"/>
      <c r="D53" s="10" t="n"/>
    </row>
    <row r="54">
      <c r="A54" s="19" t="n"/>
      <c r="B54" s="10" t="n"/>
      <c r="C54" s="10" t="n"/>
      <c r="D54" s="10" t="n"/>
    </row>
    <row r="55">
      <c r="A55" s="19" t="n"/>
      <c r="B55" s="10" t="n"/>
      <c r="C55" s="10" t="n"/>
      <c r="D55" s="10" t="n"/>
    </row>
    <row r="56">
      <c r="A56" s="19" t="n"/>
      <c r="B56" s="10" t="n"/>
      <c r="C56" s="10" t="n"/>
      <c r="D56" s="10" t="n"/>
    </row>
    <row r="57">
      <c r="A57" s="19" t="n"/>
      <c r="B57" s="10" t="n"/>
      <c r="C57" s="10" t="n"/>
      <c r="D57" s="10" t="n"/>
    </row>
    <row r="58">
      <c r="A58" s="19" t="n"/>
      <c r="B58" s="10" t="n"/>
      <c r="C58" s="10" t="n"/>
      <c r="D58" s="10" t="n"/>
    </row>
    <row r="59">
      <c r="A59" s="19" t="n"/>
      <c r="B59" s="10" t="n"/>
      <c r="C59" s="10" t="n"/>
      <c r="D59" s="10" t="n"/>
    </row>
    <row r="60">
      <c r="A60" s="19" t="n"/>
      <c r="B60" s="10" t="n"/>
      <c r="C60" s="10" t="n"/>
      <c r="D60" s="10" t="n"/>
    </row>
    <row r="61">
      <c r="A61" s="19" t="n"/>
      <c r="B61" s="10" t="n"/>
      <c r="C61" s="10" t="n"/>
      <c r="D61" s="10" t="n"/>
    </row>
    <row r="62">
      <c r="A62" s="19" t="n"/>
      <c r="B62" s="10" t="n"/>
      <c r="C62" s="10" t="n"/>
      <c r="D62" s="10" t="n"/>
    </row>
    <row r="63">
      <c r="A63" s="19" t="n"/>
      <c r="B63" s="10" t="n"/>
      <c r="C63" s="10" t="n"/>
      <c r="D63" s="10" t="n"/>
    </row>
    <row r="64">
      <c r="A64" s="19" t="n"/>
      <c r="B64" s="10" t="n"/>
      <c r="C64" s="10" t="n"/>
      <c r="D64" s="10" t="n"/>
    </row>
    <row r="65">
      <c r="A65" s="19" t="n"/>
      <c r="B65" s="10" t="n"/>
      <c r="C65" s="10" t="n"/>
      <c r="D65" s="10" t="n"/>
    </row>
    <row r="66">
      <c r="A66" s="19" t="n"/>
      <c r="B66" s="10" t="n"/>
      <c r="C66" s="10" t="n"/>
      <c r="D66" s="10" t="n"/>
    </row>
    <row r="67">
      <c r="A67" s="19" t="n"/>
      <c r="B67" s="10" t="n"/>
      <c r="C67" s="10" t="n"/>
      <c r="D67" s="10" t="n"/>
    </row>
    <row r="68">
      <c r="A68" s="19" t="n"/>
      <c r="B68" s="10" t="n"/>
      <c r="C68" s="10" t="n"/>
      <c r="D68" s="10" t="n"/>
    </row>
    <row r="69">
      <c r="A69" s="19" t="n"/>
      <c r="B69" s="10" t="n"/>
      <c r="C69" s="10" t="n"/>
      <c r="D69" s="10" t="n"/>
    </row>
    <row r="70">
      <c r="A70" s="19" t="n"/>
      <c r="B70" s="10" t="n"/>
      <c r="C70" s="10" t="n"/>
      <c r="D70" s="10" t="n"/>
    </row>
    <row r="71">
      <c r="A71" s="19" t="n"/>
      <c r="B71" s="10" t="n"/>
      <c r="C71" s="10" t="n"/>
      <c r="D71" s="10" t="n"/>
    </row>
    <row r="72">
      <c r="A72" s="19" t="n"/>
      <c r="B72" s="10" t="n"/>
      <c r="C72" s="10" t="n"/>
      <c r="D72" s="10" t="n"/>
    </row>
    <row r="73">
      <c r="A73" s="19" t="n"/>
      <c r="B73" s="10" t="n"/>
      <c r="C73" s="10" t="n"/>
      <c r="D73" s="10" t="n"/>
    </row>
    <row r="74">
      <c r="A74" s="19" t="n"/>
      <c r="B74" s="10" t="n"/>
      <c r="C74" s="10" t="n"/>
      <c r="D74" s="10" t="n"/>
    </row>
    <row r="75">
      <c r="A75" s="19" t="n"/>
      <c r="B75" s="10" t="n"/>
      <c r="C75" s="10" t="n"/>
      <c r="D75" s="10" t="n"/>
    </row>
    <row r="76">
      <c r="A76" s="19" t="n"/>
      <c r="B76" s="10" t="n"/>
      <c r="C76" s="10" t="n"/>
      <c r="D76" s="10" t="n"/>
    </row>
    <row r="77">
      <c r="A77" s="19" t="n"/>
      <c r="B77" s="10" t="n"/>
      <c r="C77" s="10" t="n"/>
      <c r="D77" s="10" t="n"/>
    </row>
    <row r="78">
      <c r="A78" s="19" t="n"/>
      <c r="B78" s="10" t="n"/>
      <c r="C78" s="10" t="n"/>
      <c r="D78" s="10" t="n"/>
    </row>
    <row r="79">
      <c r="A79" s="19" t="n"/>
      <c r="B79" s="10" t="n"/>
      <c r="C79" s="10" t="n"/>
      <c r="D79" s="10" t="n"/>
    </row>
    <row r="80">
      <c r="A80" s="19" t="n"/>
      <c r="B80" s="10" t="n"/>
      <c r="C80" s="10" t="n"/>
      <c r="D80" s="10" t="n"/>
    </row>
    <row r="81">
      <c r="A81" s="19" t="n"/>
      <c r="B81" s="10" t="n"/>
      <c r="C81" s="10" t="n"/>
      <c r="D81" s="10" t="n"/>
    </row>
    <row r="82">
      <c r="A82" s="19" t="n"/>
      <c r="B82" s="10" t="n"/>
      <c r="C82" s="10" t="n"/>
      <c r="D82" s="10" t="n"/>
    </row>
    <row r="83">
      <c r="A83" s="19" t="n"/>
      <c r="B83" s="10" t="n"/>
      <c r="C83" s="10" t="n"/>
      <c r="D83" s="10" t="n"/>
    </row>
    <row r="84">
      <c r="A84" s="19" t="n"/>
      <c r="B84" s="10" t="n"/>
      <c r="C84" s="10" t="n"/>
      <c r="D84" s="10" t="n"/>
    </row>
    <row r="85">
      <c r="A85" s="19" t="n"/>
      <c r="B85" s="10" t="n"/>
      <c r="C85" s="10" t="n"/>
      <c r="D85" s="10" t="n"/>
    </row>
    <row r="86">
      <c r="A86" s="19" t="n"/>
      <c r="B86" s="10" t="n"/>
      <c r="C86" s="10" t="n"/>
      <c r="D86" s="10" t="n"/>
    </row>
    <row r="87">
      <c r="A87" s="19" t="n"/>
      <c r="B87" s="10" t="n"/>
      <c r="C87" s="10" t="n"/>
      <c r="D87" s="10" t="n"/>
    </row>
    <row r="88">
      <c r="A88" s="19" t="n"/>
      <c r="B88" s="10" t="n"/>
      <c r="C88" s="10" t="n"/>
      <c r="D88" s="10" t="n"/>
    </row>
    <row r="89">
      <c r="A89" s="19" t="n"/>
      <c r="B89" s="10" t="n"/>
      <c r="C89" s="10" t="n"/>
      <c r="D89" s="10" t="n"/>
    </row>
    <row r="90">
      <c r="A90" s="19" t="n"/>
      <c r="B90" s="10" t="n"/>
      <c r="C90" s="10" t="n"/>
      <c r="D90" s="10" t="n"/>
    </row>
    <row r="91">
      <c r="A91" s="19" t="n"/>
      <c r="B91" s="10" t="n"/>
      <c r="C91" s="10" t="n"/>
      <c r="D91" s="10" t="n"/>
    </row>
    <row r="92">
      <c r="A92" s="19" t="n"/>
      <c r="B92" s="10" t="n"/>
      <c r="C92" s="10" t="n"/>
      <c r="D92" s="10" t="n"/>
    </row>
    <row r="93">
      <c r="A93" s="19" t="n"/>
      <c r="B93" s="10" t="n"/>
      <c r="C93" s="10" t="n"/>
      <c r="D93" s="10" t="n"/>
    </row>
    <row r="94">
      <c r="A94" s="19" t="n"/>
      <c r="B94" s="10" t="n"/>
      <c r="C94" s="10" t="n"/>
      <c r="D94" s="10" t="n"/>
    </row>
    <row r="95">
      <c r="A95" s="19" t="n"/>
      <c r="B95" s="10" t="n"/>
      <c r="C95" s="10" t="n"/>
      <c r="D95" s="10" t="n"/>
    </row>
    <row r="96">
      <c r="A96" s="19" t="n"/>
      <c r="B96" s="10" t="n"/>
      <c r="C96" s="10" t="n"/>
      <c r="D96" s="10" t="n"/>
    </row>
    <row r="97">
      <c r="A97" s="19" t="n"/>
      <c r="B97" s="10" t="n"/>
      <c r="C97" s="10" t="n"/>
      <c r="D97" s="10" t="n"/>
    </row>
    <row r="98">
      <c r="A98" s="19" t="n"/>
      <c r="B98" s="10" t="n"/>
      <c r="C98" s="10" t="n"/>
      <c r="D98" s="10" t="n"/>
    </row>
    <row r="99">
      <c r="A99" s="19" t="n"/>
      <c r="B99" s="10" t="n"/>
      <c r="C99" s="10" t="n"/>
      <c r="D99" s="10" t="n"/>
    </row>
  </sheetData>
  <mergeCells count="2">
    <mergeCell ref="A2:G2"/>
    <mergeCell ref="A1:G1"/>
  </mergeCells>
  <dataValidations count="1">
    <dataValidation sqref="E4:E100" showDropDown="0" showInputMessage="0" showErrorMessage="0" allowBlank="0" errorTitle="Entrada inválida" error="Valor no válido" promptTitle="Opciones disponibles" prompt="Seleccione una opción" type="list">
      <formula1>"BCCR,Manual,Banco"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5" customWidth="1" min="4" max="4"/>
    <col width="15" customWidth="1" min="5" max="5"/>
    <col width="15" customWidth="1" min="6" max="6"/>
    <col width="15" customWidth="1" min="7" max="7"/>
    <col width="10" customWidth="1" min="8" max="8"/>
    <col width="12" customWidth="1" min="9" max="9"/>
    <col width="35" customWidth="1" min="10" max="10"/>
    <col width="20" customWidth="1" min="11" max="11"/>
    <col width="15" customWidth="1" min="12" max="12"/>
  </cols>
  <sheetData>
    <row r="1" ht="30" customHeight="1">
      <c r="A1" s="44" t="inlineStr">
        <is>
          <t>ASIENTOS DE AJUSTE</t>
        </is>
      </c>
    </row>
    <row r="2">
      <c r="A2" s="45" t="inlineStr">
        <is>
          <t>Registrar aquí ajustes que NO son transacciones normales</t>
        </is>
      </c>
    </row>
    <row r="3">
      <c r="A3" s="46" t="inlineStr">
        <is>
          <t>Fecha Ajuste</t>
        </is>
      </c>
      <c r="B3" s="46" t="inlineStr">
        <is>
          <t>Tipo de Ajuste</t>
        </is>
      </c>
      <c r="C3" s="46" t="inlineStr">
        <is>
          <t>Referencia</t>
        </is>
      </c>
      <c r="D3" s="46" t="inlineStr">
        <is>
          <t>Cuenta Afectada</t>
        </is>
      </c>
      <c r="E3" s="46" t="inlineStr">
        <is>
          <t>Monto Original</t>
        </is>
      </c>
      <c r="F3" s="46" t="inlineStr">
        <is>
          <t>Monto Ajustado</t>
        </is>
      </c>
      <c r="G3" s="46" t="inlineStr">
        <is>
          <t>Diferencia</t>
        </is>
      </c>
      <c r="H3" s="46" t="inlineStr">
        <is>
          <t>Moneda</t>
        </is>
      </c>
      <c r="I3" s="46" t="inlineStr">
        <is>
          <t>TC Usado</t>
        </is>
      </c>
      <c r="J3" s="46" t="inlineStr">
        <is>
          <t>Explicación</t>
        </is>
      </c>
      <c r="K3" s="46" t="inlineStr">
        <is>
          <t>Aprobado Por</t>
        </is>
      </c>
      <c r="L3" s="46" t="inlineStr">
        <is>
          <t>Fecha Aprobación</t>
        </is>
      </c>
    </row>
    <row r="4">
      <c r="A4" s="19" t="n">
        <v>45991</v>
      </c>
      <c r="B4" t="inlineStr">
        <is>
          <t>Diferencia TC</t>
        </is>
      </c>
      <c r="C4" t="inlineStr">
        <is>
          <t>Factura #123</t>
        </is>
      </c>
      <c r="D4" t="inlineStr">
        <is>
          <t>CxP - Proveedor XYZ</t>
        </is>
      </c>
      <c r="E4" s="20" t="n">
        <v>540000</v>
      </c>
      <c r="F4" s="20" t="n">
        <v>550000</v>
      </c>
      <c r="G4" s="20">
        <f>F4-E4</f>
        <v/>
      </c>
      <c r="H4" t="inlineStr">
        <is>
          <t>CRC</t>
        </is>
      </c>
      <c r="I4" s="10" t="n">
        <v>550</v>
      </c>
      <c r="J4" t="inlineStr">
        <is>
          <t>Ajuste por cambio TC noviembre (540→550)</t>
        </is>
      </c>
      <c r="K4" t="inlineStr">
        <is>
          <t>Alvaro Velasco</t>
        </is>
      </c>
      <c r="L4" s="19" t="n">
        <v>45991</v>
      </c>
    </row>
    <row r="5">
      <c r="A5" s="19" t="n"/>
      <c r="E5" s="20" t="n"/>
      <c r="F5" s="20" t="n"/>
      <c r="G5" s="20" t="n"/>
      <c r="I5" s="10" t="n"/>
      <c r="L5" s="19" t="n"/>
    </row>
    <row r="6">
      <c r="A6" s="19" t="n"/>
      <c r="E6" s="20" t="n"/>
      <c r="F6" s="20" t="n"/>
      <c r="G6" s="20" t="n"/>
      <c r="I6" s="10" t="n"/>
      <c r="L6" s="19" t="n"/>
    </row>
    <row r="7">
      <c r="A7" s="19" t="n"/>
      <c r="E7" s="20" t="n"/>
      <c r="F7" s="20" t="n"/>
      <c r="G7" s="20" t="n"/>
      <c r="I7" s="10" t="n"/>
      <c r="L7" s="19" t="n"/>
    </row>
    <row r="8">
      <c r="A8" s="19" t="n"/>
      <c r="E8" s="20" t="n"/>
      <c r="F8" s="20" t="n"/>
      <c r="G8" s="20" t="n"/>
      <c r="I8" s="10" t="n"/>
      <c r="L8" s="19" t="n"/>
    </row>
    <row r="9">
      <c r="A9" s="19" t="n"/>
      <c r="E9" s="20" t="n"/>
      <c r="F9" s="20" t="n"/>
      <c r="G9" s="20" t="n"/>
      <c r="I9" s="10" t="n"/>
      <c r="L9" s="19" t="n"/>
    </row>
    <row r="10">
      <c r="A10" s="19" t="n"/>
      <c r="E10" s="20" t="n"/>
      <c r="F10" s="20" t="n"/>
      <c r="G10" s="20" t="n"/>
      <c r="I10" s="10" t="n"/>
      <c r="L10" s="19" t="n"/>
    </row>
    <row r="11">
      <c r="A11" s="19" t="n"/>
      <c r="E11" s="20" t="n"/>
      <c r="F11" s="20" t="n"/>
      <c r="G11" s="20" t="n"/>
      <c r="I11" s="10" t="n"/>
      <c r="L11" s="19" t="n"/>
    </row>
    <row r="12">
      <c r="A12" s="19" t="n"/>
      <c r="E12" s="20" t="n"/>
      <c r="F12" s="20" t="n"/>
      <c r="G12" s="20" t="n"/>
      <c r="I12" s="10" t="n"/>
      <c r="L12" s="19" t="n"/>
    </row>
    <row r="13">
      <c r="A13" s="19" t="n"/>
      <c r="E13" s="20" t="n"/>
      <c r="F13" s="20" t="n"/>
      <c r="G13" s="20" t="n"/>
      <c r="I13" s="10" t="n"/>
      <c r="L13" s="19" t="n"/>
    </row>
    <row r="14">
      <c r="A14" s="19" t="n"/>
      <c r="E14" s="20" t="n"/>
      <c r="F14" s="20" t="n"/>
      <c r="G14" s="20" t="n"/>
      <c r="I14" s="10" t="n"/>
      <c r="L14" s="19" t="n"/>
    </row>
    <row r="15">
      <c r="A15" s="19" t="n"/>
      <c r="E15" s="20" t="n"/>
      <c r="F15" s="20" t="n"/>
      <c r="G15" s="20" t="n"/>
      <c r="I15" s="10" t="n"/>
      <c r="L15" s="19" t="n"/>
    </row>
    <row r="16">
      <c r="A16" s="19" t="n"/>
      <c r="E16" s="20" t="n"/>
      <c r="F16" s="20" t="n"/>
      <c r="G16" s="20" t="n"/>
      <c r="I16" s="10" t="n"/>
      <c r="L16" s="19" t="n"/>
    </row>
    <row r="17">
      <c r="A17" s="19" t="n"/>
      <c r="E17" s="20" t="n"/>
      <c r="F17" s="20" t="n"/>
      <c r="G17" s="20" t="n"/>
      <c r="I17" s="10" t="n"/>
      <c r="L17" s="19" t="n"/>
    </row>
    <row r="18">
      <c r="A18" s="19" t="n"/>
      <c r="E18" s="20" t="n"/>
      <c r="F18" s="20" t="n"/>
      <c r="G18" s="20" t="n"/>
      <c r="I18" s="10" t="n"/>
      <c r="L18" s="19" t="n"/>
    </row>
    <row r="19">
      <c r="A19" s="19" t="n"/>
      <c r="E19" s="20" t="n"/>
      <c r="F19" s="20" t="n"/>
      <c r="G19" s="20" t="n"/>
      <c r="I19" s="10" t="n"/>
      <c r="L19" s="19" t="n"/>
    </row>
    <row r="20">
      <c r="A20" s="19" t="n"/>
      <c r="E20" s="20" t="n"/>
      <c r="F20" s="20" t="n"/>
      <c r="G20" s="20" t="n"/>
      <c r="I20" s="10" t="n"/>
      <c r="L20" s="19" t="n"/>
    </row>
    <row r="21">
      <c r="A21" s="19" t="n"/>
      <c r="E21" s="20" t="n"/>
      <c r="F21" s="20" t="n"/>
      <c r="G21" s="20" t="n"/>
      <c r="I21" s="10" t="n"/>
      <c r="L21" s="19" t="n"/>
    </row>
    <row r="22">
      <c r="A22" s="19" t="n"/>
      <c r="E22" s="20" t="n"/>
      <c r="F22" s="20" t="n"/>
      <c r="G22" s="20" t="n"/>
      <c r="I22" s="10" t="n"/>
      <c r="L22" s="19" t="n"/>
    </row>
    <row r="23">
      <c r="A23" s="19" t="n"/>
      <c r="E23" s="20" t="n"/>
      <c r="F23" s="20" t="n"/>
      <c r="G23" s="20" t="n"/>
      <c r="I23" s="10" t="n"/>
      <c r="L23" s="19" t="n"/>
    </row>
    <row r="24">
      <c r="A24" s="19" t="n"/>
      <c r="E24" s="20" t="n"/>
      <c r="F24" s="20" t="n"/>
      <c r="G24" s="20" t="n"/>
      <c r="I24" s="10" t="n"/>
      <c r="L24" s="19" t="n"/>
    </row>
    <row r="25">
      <c r="A25" s="19" t="n"/>
      <c r="E25" s="20" t="n"/>
      <c r="F25" s="20" t="n"/>
      <c r="G25" s="20" t="n"/>
      <c r="I25" s="10" t="n"/>
      <c r="L25" s="19" t="n"/>
    </row>
    <row r="26">
      <c r="A26" s="19" t="n"/>
      <c r="E26" s="20" t="n"/>
      <c r="F26" s="20" t="n"/>
      <c r="G26" s="20" t="n"/>
      <c r="I26" s="10" t="n"/>
      <c r="L26" s="19" t="n"/>
    </row>
    <row r="27">
      <c r="A27" s="19" t="n"/>
      <c r="E27" s="20" t="n"/>
      <c r="F27" s="20" t="n"/>
      <c r="G27" s="20" t="n"/>
      <c r="I27" s="10" t="n"/>
      <c r="L27" s="19" t="n"/>
    </row>
    <row r="28">
      <c r="A28" s="19" t="n"/>
      <c r="E28" s="20" t="n"/>
      <c r="F28" s="20" t="n"/>
      <c r="G28" s="20" t="n"/>
      <c r="I28" s="10" t="n"/>
      <c r="L28" s="19" t="n"/>
    </row>
    <row r="29">
      <c r="A29" s="19" t="n"/>
      <c r="E29" s="20" t="n"/>
      <c r="F29" s="20" t="n"/>
      <c r="G29" s="20" t="n"/>
      <c r="I29" s="10" t="n"/>
      <c r="L29" s="19" t="n"/>
    </row>
    <row r="30">
      <c r="A30" s="19" t="n"/>
      <c r="E30" s="20" t="n"/>
      <c r="F30" s="20" t="n"/>
      <c r="G30" s="20" t="n"/>
      <c r="I30" s="10" t="n"/>
      <c r="L30" s="19" t="n"/>
    </row>
    <row r="31">
      <c r="A31" s="19" t="n"/>
      <c r="E31" s="20" t="n"/>
      <c r="F31" s="20" t="n"/>
      <c r="G31" s="20" t="n"/>
      <c r="I31" s="10" t="n"/>
      <c r="L31" s="19" t="n"/>
    </row>
    <row r="32">
      <c r="A32" s="19" t="n"/>
      <c r="E32" s="20" t="n"/>
      <c r="F32" s="20" t="n"/>
      <c r="G32" s="20" t="n"/>
      <c r="I32" s="10" t="n"/>
      <c r="L32" s="19" t="n"/>
    </row>
    <row r="33">
      <c r="A33" s="19" t="n"/>
      <c r="E33" s="20" t="n"/>
      <c r="F33" s="20" t="n"/>
      <c r="G33" s="20" t="n"/>
      <c r="I33" s="10" t="n"/>
      <c r="L33" s="19" t="n"/>
    </row>
    <row r="34">
      <c r="A34" s="19" t="n"/>
      <c r="E34" s="20" t="n"/>
      <c r="F34" s="20" t="n"/>
      <c r="G34" s="20" t="n"/>
      <c r="I34" s="10" t="n"/>
      <c r="L34" s="19" t="n"/>
    </row>
    <row r="35">
      <c r="A35" s="19" t="n"/>
      <c r="E35" s="20" t="n"/>
      <c r="F35" s="20" t="n"/>
      <c r="G35" s="20" t="n"/>
      <c r="I35" s="10" t="n"/>
      <c r="L35" s="19" t="n"/>
    </row>
    <row r="36">
      <c r="A36" s="19" t="n"/>
      <c r="E36" s="20" t="n"/>
      <c r="F36" s="20" t="n"/>
      <c r="G36" s="20" t="n"/>
      <c r="I36" s="10" t="n"/>
      <c r="L36" s="19" t="n"/>
    </row>
    <row r="37">
      <c r="A37" s="19" t="n"/>
      <c r="E37" s="20" t="n"/>
      <c r="F37" s="20" t="n"/>
      <c r="G37" s="20" t="n"/>
      <c r="I37" s="10" t="n"/>
      <c r="L37" s="19" t="n"/>
    </row>
    <row r="38">
      <c r="A38" s="19" t="n"/>
      <c r="E38" s="20" t="n"/>
      <c r="F38" s="20" t="n"/>
      <c r="G38" s="20" t="n"/>
      <c r="I38" s="10" t="n"/>
      <c r="L38" s="19" t="n"/>
    </row>
    <row r="39">
      <c r="A39" s="19" t="n"/>
      <c r="E39" s="20" t="n"/>
      <c r="F39" s="20" t="n"/>
      <c r="G39" s="20" t="n"/>
      <c r="I39" s="10" t="n"/>
      <c r="L39" s="19" t="n"/>
    </row>
    <row r="40">
      <c r="A40" s="19" t="n"/>
      <c r="E40" s="20" t="n"/>
      <c r="F40" s="20" t="n"/>
      <c r="G40" s="20" t="n"/>
      <c r="I40" s="10" t="n"/>
      <c r="L40" s="19" t="n"/>
    </row>
    <row r="41">
      <c r="A41" s="19" t="n"/>
      <c r="E41" s="20" t="n"/>
      <c r="F41" s="20" t="n"/>
      <c r="G41" s="20" t="n"/>
      <c r="I41" s="10" t="n"/>
      <c r="L41" s="19" t="n"/>
    </row>
    <row r="42">
      <c r="A42" s="19" t="n"/>
      <c r="E42" s="20" t="n"/>
      <c r="F42" s="20" t="n"/>
      <c r="G42" s="20" t="n"/>
      <c r="I42" s="10" t="n"/>
      <c r="L42" s="19" t="n"/>
    </row>
    <row r="43">
      <c r="A43" s="19" t="n"/>
      <c r="E43" s="20" t="n"/>
      <c r="F43" s="20" t="n"/>
      <c r="G43" s="20" t="n"/>
      <c r="I43" s="10" t="n"/>
      <c r="L43" s="19" t="n"/>
    </row>
    <row r="44">
      <c r="A44" s="19" t="n"/>
      <c r="E44" s="20" t="n"/>
      <c r="F44" s="20" t="n"/>
      <c r="G44" s="20" t="n"/>
      <c r="I44" s="10" t="n"/>
      <c r="L44" s="19" t="n"/>
    </row>
    <row r="45">
      <c r="A45" s="19" t="n"/>
      <c r="E45" s="20" t="n"/>
      <c r="F45" s="20" t="n"/>
      <c r="G45" s="20" t="n"/>
      <c r="I45" s="10" t="n"/>
      <c r="L45" s="19" t="n"/>
    </row>
    <row r="46">
      <c r="A46" s="19" t="n"/>
      <c r="E46" s="20" t="n"/>
      <c r="F46" s="20" t="n"/>
      <c r="G46" s="20" t="n"/>
      <c r="I46" s="10" t="n"/>
      <c r="L46" s="19" t="n"/>
    </row>
    <row r="47">
      <c r="A47" s="19" t="n"/>
      <c r="E47" s="20" t="n"/>
      <c r="F47" s="20" t="n"/>
      <c r="G47" s="20" t="n"/>
      <c r="I47" s="10" t="n"/>
      <c r="L47" s="19" t="n"/>
    </row>
    <row r="48">
      <c r="A48" s="19" t="n"/>
      <c r="E48" s="20" t="n"/>
      <c r="F48" s="20" t="n"/>
      <c r="G48" s="20" t="n"/>
      <c r="I48" s="10" t="n"/>
      <c r="L48" s="19" t="n"/>
    </row>
    <row r="49">
      <c r="A49" s="19" t="n"/>
      <c r="E49" s="20" t="n"/>
      <c r="F49" s="20" t="n"/>
      <c r="G49" s="20" t="n"/>
      <c r="I49" s="10" t="n"/>
      <c r="L49" s="19" t="n"/>
    </row>
    <row r="50">
      <c r="A50" s="19" t="n"/>
      <c r="E50" s="20" t="n"/>
      <c r="F50" s="20" t="n"/>
      <c r="G50" s="20" t="n"/>
      <c r="I50" s="10" t="n"/>
      <c r="L50" s="19" t="n"/>
    </row>
    <row r="51">
      <c r="A51" s="19" t="n"/>
      <c r="E51" s="20" t="n"/>
      <c r="F51" s="20" t="n"/>
      <c r="G51" s="20" t="n"/>
      <c r="I51" s="10" t="n"/>
      <c r="L51" s="19" t="n"/>
    </row>
    <row r="52">
      <c r="A52" s="19" t="n"/>
      <c r="E52" s="20" t="n"/>
      <c r="F52" s="20" t="n"/>
      <c r="G52" s="20" t="n"/>
      <c r="I52" s="10" t="n"/>
      <c r="L52" s="19" t="n"/>
    </row>
    <row r="53">
      <c r="A53" s="19" t="n"/>
      <c r="E53" s="20" t="n"/>
      <c r="F53" s="20" t="n"/>
      <c r="G53" s="20" t="n"/>
      <c r="I53" s="10" t="n"/>
      <c r="L53" s="19" t="n"/>
    </row>
    <row r="54">
      <c r="A54" s="19" t="n"/>
      <c r="E54" s="20" t="n"/>
      <c r="F54" s="20" t="n"/>
      <c r="G54" s="20" t="n"/>
      <c r="I54" s="10" t="n"/>
      <c r="L54" s="19" t="n"/>
    </row>
    <row r="55">
      <c r="A55" s="19" t="n"/>
      <c r="E55" s="20" t="n"/>
      <c r="F55" s="20" t="n"/>
      <c r="G55" s="20" t="n"/>
      <c r="I55" s="10" t="n"/>
      <c r="L55" s="19" t="n"/>
    </row>
    <row r="56">
      <c r="A56" s="19" t="n"/>
      <c r="E56" s="20" t="n"/>
      <c r="F56" s="20" t="n"/>
      <c r="G56" s="20" t="n"/>
      <c r="I56" s="10" t="n"/>
      <c r="L56" s="19" t="n"/>
    </row>
    <row r="57">
      <c r="A57" s="19" t="n"/>
      <c r="E57" s="20" t="n"/>
      <c r="F57" s="20" t="n"/>
      <c r="G57" s="20" t="n"/>
      <c r="I57" s="10" t="n"/>
      <c r="L57" s="19" t="n"/>
    </row>
    <row r="58">
      <c r="A58" s="19" t="n"/>
      <c r="E58" s="20" t="n"/>
      <c r="F58" s="20" t="n"/>
      <c r="G58" s="20" t="n"/>
      <c r="I58" s="10" t="n"/>
      <c r="L58" s="19" t="n"/>
    </row>
    <row r="59">
      <c r="A59" s="19" t="n"/>
      <c r="E59" s="20" t="n"/>
      <c r="F59" s="20" t="n"/>
      <c r="G59" s="20" t="n"/>
      <c r="I59" s="10" t="n"/>
      <c r="L59" s="19" t="n"/>
    </row>
    <row r="60">
      <c r="A60" s="19" t="n"/>
      <c r="E60" s="20" t="n"/>
      <c r="F60" s="20" t="n"/>
      <c r="G60" s="20" t="n"/>
      <c r="I60" s="10" t="n"/>
      <c r="L60" s="19" t="n"/>
    </row>
    <row r="61">
      <c r="A61" s="19" t="n"/>
      <c r="E61" s="20" t="n"/>
      <c r="F61" s="20" t="n"/>
      <c r="G61" s="20" t="n"/>
      <c r="I61" s="10" t="n"/>
      <c r="L61" s="19" t="n"/>
    </row>
    <row r="62">
      <c r="A62" s="19" t="n"/>
      <c r="E62" s="20" t="n"/>
      <c r="F62" s="20" t="n"/>
      <c r="G62" s="20" t="n"/>
      <c r="I62" s="10" t="n"/>
      <c r="L62" s="19" t="n"/>
    </row>
    <row r="63">
      <c r="A63" s="19" t="n"/>
      <c r="E63" s="20" t="n"/>
      <c r="F63" s="20" t="n"/>
      <c r="G63" s="20" t="n"/>
      <c r="I63" s="10" t="n"/>
      <c r="L63" s="19" t="n"/>
    </row>
    <row r="64">
      <c r="A64" s="19" t="n"/>
      <c r="E64" s="20" t="n"/>
      <c r="F64" s="20" t="n"/>
      <c r="G64" s="20" t="n"/>
      <c r="I64" s="10" t="n"/>
      <c r="L64" s="19" t="n"/>
    </row>
    <row r="65">
      <c r="A65" s="19" t="n"/>
      <c r="E65" s="20" t="n"/>
      <c r="F65" s="20" t="n"/>
      <c r="G65" s="20" t="n"/>
      <c r="I65" s="10" t="n"/>
      <c r="L65" s="19" t="n"/>
    </row>
    <row r="66">
      <c r="A66" s="19" t="n"/>
      <c r="E66" s="20" t="n"/>
      <c r="F66" s="20" t="n"/>
      <c r="G66" s="20" t="n"/>
      <c r="I66" s="10" t="n"/>
      <c r="L66" s="19" t="n"/>
    </row>
    <row r="67">
      <c r="A67" s="19" t="n"/>
      <c r="E67" s="20" t="n"/>
      <c r="F67" s="20" t="n"/>
      <c r="G67" s="20" t="n"/>
      <c r="I67" s="10" t="n"/>
      <c r="L67" s="19" t="n"/>
    </row>
    <row r="68">
      <c r="A68" s="19" t="n"/>
      <c r="E68" s="20" t="n"/>
      <c r="F68" s="20" t="n"/>
      <c r="G68" s="20" t="n"/>
      <c r="I68" s="10" t="n"/>
      <c r="L68" s="19" t="n"/>
    </row>
    <row r="69">
      <c r="A69" s="19" t="n"/>
      <c r="E69" s="20" t="n"/>
      <c r="F69" s="20" t="n"/>
      <c r="G69" s="20" t="n"/>
      <c r="I69" s="10" t="n"/>
      <c r="L69" s="19" t="n"/>
    </row>
    <row r="70">
      <c r="A70" s="19" t="n"/>
      <c r="E70" s="20" t="n"/>
      <c r="F70" s="20" t="n"/>
      <c r="G70" s="20" t="n"/>
      <c r="I70" s="10" t="n"/>
      <c r="L70" s="19" t="n"/>
    </row>
    <row r="71">
      <c r="A71" s="19" t="n"/>
      <c r="E71" s="20" t="n"/>
      <c r="F71" s="20" t="n"/>
      <c r="G71" s="20" t="n"/>
      <c r="I71" s="10" t="n"/>
      <c r="L71" s="19" t="n"/>
    </row>
    <row r="72">
      <c r="A72" s="19" t="n"/>
      <c r="E72" s="20" t="n"/>
      <c r="F72" s="20" t="n"/>
      <c r="G72" s="20" t="n"/>
      <c r="I72" s="10" t="n"/>
      <c r="L72" s="19" t="n"/>
    </row>
    <row r="73">
      <c r="A73" s="19" t="n"/>
      <c r="E73" s="20" t="n"/>
      <c r="F73" s="20" t="n"/>
      <c r="G73" s="20" t="n"/>
      <c r="I73" s="10" t="n"/>
      <c r="L73" s="19" t="n"/>
    </row>
    <row r="74">
      <c r="A74" s="19" t="n"/>
      <c r="E74" s="20" t="n"/>
      <c r="F74" s="20" t="n"/>
      <c r="G74" s="20" t="n"/>
      <c r="I74" s="10" t="n"/>
      <c r="L74" s="19" t="n"/>
    </row>
    <row r="75">
      <c r="A75" s="19" t="n"/>
      <c r="E75" s="20" t="n"/>
      <c r="F75" s="20" t="n"/>
      <c r="G75" s="20" t="n"/>
      <c r="I75" s="10" t="n"/>
      <c r="L75" s="19" t="n"/>
    </row>
    <row r="76">
      <c r="A76" s="19" t="n"/>
      <c r="E76" s="20" t="n"/>
      <c r="F76" s="20" t="n"/>
      <c r="G76" s="20" t="n"/>
      <c r="I76" s="10" t="n"/>
      <c r="L76" s="19" t="n"/>
    </row>
    <row r="77">
      <c r="A77" s="19" t="n"/>
      <c r="E77" s="20" t="n"/>
      <c r="F77" s="20" t="n"/>
      <c r="G77" s="20" t="n"/>
      <c r="I77" s="10" t="n"/>
      <c r="L77" s="19" t="n"/>
    </row>
    <row r="78">
      <c r="A78" s="19" t="n"/>
      <c r="E78" s="20" t="n"/>
      <c r="F78" s="20" t="n"/>
      <c r="G78" s="20" t="n"/>
      <c r="I78" s="10" t="n"/>
      <c r="L78" s="19" t="n"/>
    </row>
    <row r="79">
      <c r="A79" s="19" t="n"/>
      <c r="E79" s="20" t="n"/>
      <c r="F79" s="20" t="n"/>
      <c r="G79" s="20" t="n"/>
      <c r="I79" s="10" t="n"/>
      <c r="L79" s="19" t="n"/>
    </row>
    <row r="80">
      <c r="A80" s="19" t="n"/>
      <c r="E80" s="20" t="n"/>
      <c r="F80" s="20" t="n"/>
      <c r="G80" s="20" t="n"/>
      <c r="I80" s="10" t="n"/>
      <c r="L80" s="19" t="n"/>
    </row>
    <row r="81">
      <c r="A81" s="19" t="n"/>
      <c r="E81" s="20" t="n"/>
      <c r="F81" s="20" t="n"/>
      <c r="G81" s="20" t="n"/>
      <c r="I81" s="10" t="n"/>
      <c r="L81" s="19" t="n"/>
    </row>
    <row r="82">
      <c r="A82" s="19" t="n"/>
      <c r="E82" s="20" t="n"/>
      <c r="F82" s="20" t="n"/>
      <c r="G82" s="20" t="n"/>
      <c r="I82" s="10" t="n"/>
      <c r="L82" s="19" t="n"/>
    </row>
    <row r="83">
      <c r="A83" s="19" t="n"/>
      <c r="E83" s="20" t="n"/>
      <c r="F83" s="20" t="n"/>
      <c r="G83" s="20" t="n"/>
      <c r="I83" s="10" t="n"/>
      <c r="L83" s="19" t="n"/>
    </row>
    <row r="84">
      <c r="A84" s="19" t="n"/>
      <c r="E84" s="20" t="n"/>
      <c r="F84" s="20" t="n"/>
      <c r="G84" s="20" t="n"/>
      <c r="I84" s="10" t="n"/>
      <c r="L84" s="19" t="n"/>
    </row>
    <row r="85">
      <c r="A85" s="19" t="n"/>
      <c r="E85" s="20" t="n"/>
      <c r="F85" s="20" t="n"/>
      <c r="G85" s="20" t="n"/>
      <c r="I85" s="10" t="n"/>
      <c r="L85" s="19" t="n"/>
    </row>
    <row r="86">
      <c r="A86" s="19" t="n"/>
      <c r="E86" s="20" t="n"/>
      <c r="F86" s="20" t="n"/>
      <c r="G86" s="20" t="n"/>
      <c r="I86" s="10" t="n"/>
      <c r="L86" s="19" t="n"/>
    </row>
    <row r="87">
      <c r="A87" s="19" t="n"/>
      <c r="E87" s="20" t="n"/>
      <c r="F87" s="20" t="n"/>
      <c r="G87" s="20" t="n"/>
      <c r="I87" s="10" t="n"/>
      <c r="L87" s="19" t="n"/>
    </row>
    <row r="88">
      <c r="A88" s="19" t="n"/>
      <c r="E88" s="20" t="n"/>
      <c r="F88" s="20" t="n"/>
      <c r="G88" s="20" t="n"/>
      <c r="I88" s="10" t="n"/>
      <c r="L88" s="19" t="n"/>
    </row>
    <row r="89">
      <c r="A89" s="19" t="n"/>
      <c r="E89" s="20" t="n"/>
      <c r="F89" s="20" t="n"/>
      <c r="G89" s="20" t="n"/>
      <c r="I89" s="10" t="n"/>
      <c r="L89" s="19" t="n"/>
    </row>
    <row r="90">
      <c r="A90" s="19" t="n"/>
      <c r="E90" s="20" t="n"/>
      <c r="F90" s="20" t="n"/>
      <c r="G90" s="20" t="n"/>
      <c r="I90" s="10" t="n"/>
      <c r="L90" s="19" t="n"/>
    </row>
    <row r="91">
      <c r="A91" s="19" t="n"/>
      <c r="E91" s="20" t="n"/>
      <c r="F91" s="20" t="n"/>
      <c r="G91" s="20" t="n"/>
      <c r="I91" s="10" t="n"/>
      <c r="L91" s="19" t="n"/>
    </row>
    <row r="92">
      <c r="A92" s="19" t="n"/>
      <c r="E92" s="20" t="n"/>
      <c r="F92" s="20" t="n"/>
      <c r="G92" s="20" t="n"/>
      <c r="I92" s="10" t="n"/>
      <c r="L92" s="19" t="n"/>
    </row>
    <row r="93">
      <c r="A93" s="19" t="n"/>
      <c r="E93" s="20" t="n"/>
      <c r="F93" s="20" t="n"/>
      <c r="G93" s="20" t="n"/>
      <c r="I93" s="10" t="n"/>
      <c r="L93" s="19" t="n"/>
    </row>
    <row r="94">
      <c r="A94" s="19" t="n"/>
      <c r="E94" s="20" t="n"/>
      <c r="F94" s="20" t="n"/>
      <c r="G94" s="20" t="n"/>
      <c r="I94" s="10" t="n"/>
      <c r="L94" s="19" t="n"/>
    </row>
    <row r="95">
      <c r="A95" s="19" t="n"/>
      <c r="E95" s="20" t="n"/>
      <c r="F95" s="20" t="n"/>
      <c r="G95" s="20" t="n"/>
      <c r="I95" s="10" t="n"/>
      <c r="L95" s="19" t="n"/>
    </row>
    <row r="96">
      <c r="A96" s="19" t="n"/>
      <c r="E96" s="20" t="n"/>
      <c r="F96" s="20" t="n"/>
      <c r="G96" s="20" t="n"/>
      <c r="I96" s="10" t="n"/>
      <c r="L96" s="19" t="n"/>
    </row>
    <row r="97">
      <c r="A97" s="19" t="n"/>
      <c r="E97" s="20" t="n"/>
      <c r="F97" s="20" t="n"/>
      <c r="G97" s="20" t="n"/>
      <c r="I97" s="10" t="n"/>
      <c r="L97" s="19" t="n"/>
    </row>
    <row r="98">
      <c r="A98" s="19" t="n"/>
      <c r="E98" s="20" t="n"/>
      <c r="F98" s="20" t="n"/>
      <c r="G98" s="20" t="n"/>
      <c r="I98" s="10" t="n"/>
      <c r="L98" s="19" t="n"/>
    </row>
    <row r="99">
      <c r="A99" s="19" t="n"/>
      <c r="E99" s="20" t="n"/>
      <c r="F99" s="20" t="n"/>
      <c r="G99" s="20" t="n"/>
      <c r="I99" s="10" t="n"/>
      <c r="L99" s="19" t="n"/>
    </row>
  </sheetData>
  <mergeCells count="2">
    <mergeCell ref="A2:L2"/>
    <mergeCell ref="A1:L1"/>
  </mergeCells>
  <dataValidations count="2">
    <dataValidation sqref="B4:B100" showDropDown="0" showInputMessage="0" showErrorMessage="0" allowBlank="0" errorTitle="Entrada inválida" error="Valor no válido" promptTitle="Opciones disponibles" prompt="Seleccione una opción" type="list">
      <formula1>"Diferencia TC,Corrección Error,Nota Crédito,Nota Débito,Depreciación,Provisión,Otros"</formula1>
    </dataValidation>
    <dataValidation sqref="H4:H100" showDropDown="0" showInputMessage="0" showErrorMessage="0" allowBlank="0" errorTitle="Entrada inválida" error="Valor no válido" promptTitle="Opciones disponibles" prompt="Seleccione una opción" type="list">
      <formula1>"USD,CRC"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</cols>
  <sheetData>
    <row r="1" ht="30" customHeight="1">
      <c r="A1" s="47" t="inlineStr">
        <is>
          <t>BALANCE GENERAL / ESTADO SITUACIÓN FINANCIERA</t>
        </is>
      </c>
    </row>
    <row r="2">
      <c r="A2" s="45" t="inlineStr">
        <is>
          <t>Al 17 de November, 2025</t>
        </is>
      </c>
    </row>
    <row r="4">
      <c r="A4" s="48" t="inlineStr">
        <is>
          <t>ACTIVO CORRIENTE</t>
        </is>
      </c>
    </row>
    <row r="5">
      <c r="A5" t="inlineStr">
        <is>
          <t xml:space="preserve">  Efectivo y equivalentes</t>
        </is>
      </c>
      <c r="B5" s="4">
        <f>SUMIFS(TRANSACCIONES!F:F,TRANSACCIONES!C:C,"Ingreso",TRANSACCIONES!M:M,"Cobrado",TRANSACCIONES!E:E,"USD")-SUMIFS(TRANSACCIONES!F:F,TRANSACCIONES!C:C,"Gasto",TRANSACCIONES!M:M,"Pagado",TRANSACCIONES!E:E,"USD")</f>
        <v/>
      </c>
    </row>
    <row r="6">
      <c r="A6" t="inlineStr">
        <is>
          <t xml:space="preserve">  Cuentas por Cobrar (CxC)</t>
        </is>
      </c>
      <c r="B6" s="4">
        <f>SUM(CxC!H3:H1000)</f>
        <v/>
      </c>
    </row>
    <row r="7">
      <c r="A7" t="inlineStr">
        <is>
          <t xml:space="preserve">  Inventario</t>
        </is>
      </c>
      <c r="B7" s="4">
        <f>SUMIFS(TRANSACCIONES!F:F,TRANSACCIONES!C:C,"Inventario",TRANSACCIONES!E:E,"USD")</f>
        <v/>
      </c>
    </row>
    <row r="8">
      <c r="A8" t="inlineStr">
        <is>
          <t xml:space="preserve">  Total Activo Corriente</t>
        </is>
      </c>
      <c r="B8" s="49">
        <f>SUM(B5:B7)</f>
        <v/>
      </c>
    </row>
    <row r="10">
      <c r="A10" s="48" t="inlineStr">
        <is>
          <t>ACTIVO NO CORRIENTE</t>
        </is>
      </c>
    </row>
    <row r="11">
      <c r="A11" t="inlineStr">
        <is>
          <t xml:space="preserve">  Propiedad, Planta y Equipo</t>
        </is>
      </c>
      <c r="B11" s="4" t="n">
        <v>0</v>
      </c>
    </row>
    <row r="12">
      <c r="A12" t="inlineStr">
        <is>
          <t xml:space="preserve">  Menos: Depreciación Acumulada</t>
        </is>
      </c>
      <c r="B12" s="4" t="n">
        <v>0</v>
      </c>
    </row>
    <row r="13">
      <c r="A13" t="inlineStr">
        <is>
          <t xml:space="preserve">  Activos Intangibles</t>
        </is>
      </c>
      <c r="B13" s="4" t="n">
        <v>0</v>
      </c>
    </row>
    <row r="14">
      <c r="A14" t="inlineStr">
        <is>
          <t xml:space="preserve">  Total Activo No Corriente</t>
        </is>
      </c>
      <c r="B14" s="49">
        <f>SUM(B11:B13)</f>
        <v/>
      </c>
    </row>
    <row r="16">
      <c r="A16" t="inlineStr">
        <is>
          <t>TOTAL ACTIVOS</t>
        </is>
      </c>
      <c r="B16" s="50">
        <f>B8+B14</f>
        <v/>
      </c>
    </row>
    <row r="18">
      <c r="A18" s="48" t="inlineStr">
        <is>
          <t>PASIVO CORRIENTE</t>
        </is>
      </c>
    </row>
    <row r="19">
      <c r="A19" t="inlineStr">
        <is>
          <t xml:space="preserve">  Cuentas por Pagar (CxP)</t>
        </is>
      </c>
      <c r="B19" s="4">
        <f>SUM(CxP!H3:H1000)</f>
        <v/>
      </c>
    </row>
    <row r="20">
      <c r="A20" t="inlineStr">
        <is>
          <t xml:space="preserve">  Tarjetas de Crédito</t>
        </is>
      </c>
      <c r="B20" s="4">
        <f>SUMIFS(TRANSACCIONES!F:F,TRANSACCIONES!C:C,"CxP",TRANSACCIONES!D:D,"Tarjeta Crédito",TRANSACCIONES!M:M,"Pendiente",TRANSACCIONES!E:E,"USD")</f>
        <v/>
      </c>
    </row>
    <row r="21">
      <c r="A21" t="inlineStr">
        <is>
          <t xml:space="preserve">  Impuestos por Pagar (IVA)</t>
        </is>
      </c>
      <c r="B21" s="4">
        <f>SUMIFS(IVA_CONTROL!D:D,IVA_CONTROL!E:E,"Venta")-SUMIFS(IVA_CONTROL!D:D,IVA_CONTROL!E:E,"Compra")</f>
        <v/>
      </c>
    </row>
    <row r="22">
      <c r="A22" t="inlineStr">
        <is>
          <t xml:space="preserve">  Total Pasivo Corriente</t>
        </is>
      </c>
      <c r="B22" s="49">
        <f>SUM(B19:B21)</f>
        <v/>
      </c>
    </row>
    <row r="24">
      <c r="A24" s="48" t="inlineStr">
        <is>
          <t>PASIVO NO CORRIENTE</t>
        </is>
      </c>
    </row>
    <row r="25">
      <c r="A25" t="inlineStr">
        <is>
          <t xml:space="preserve">  Préstamos largo plazo</t>
        </is>
      </c>
      <c r="B25" s="4" t="n">
        <v>0</v>
      </c>
    </row>
    <row r="26">
      <c r="A26" t="inlineStr">
        <is>
          <t xml:space="preserve">  Total Pasivo No Corriente</t>
        </is>
      </c>
      <c r="B26" s="49">
        <f>B25</f>
        <v/>
      </c>
    </row>
    <row r="28">
      <c r="A28" t="inlineStr">
        <is>
          <t>TOTAL PASIVOS</t>
        </is>
      </c>
      <c r="B28" s="51">
        <f>B22+B26</f>
        <v/>
      </c>
    </row>
    <row r="30">
      <c r="A30" s="48" t="inlineStr">
        <is>
          <t>PATRIMONIO</t>
        </is>
      </c>
    </row>
    <row r="31">
      <c r="A31" t="inlineStr">
        <is>
          <t xml:space="preserve">  Capital Social</t>
        </is>
      </c>
      <c r="B31" s="4" t="n">
        <v>10000</v>
      </c>
    </row>
    <row r="32">
      <c r="A32" t="inlineStr">
        <is>
          <t xml:space="preserve">  Utilidades Retenidas</t>
        </is>
      </c>
      <c r="B32" s="4" t="n">
        <v>0</v>
      </c>
    </row>
    <row r="33">
      <c r="A33" t="inlineStr">
        <is>
          <t xml:space="preserve">  Utilidad del Ejercicio</t>
        </is>
      </c>
      <c r="B33" s="4">
        <f>ESTADO_RESULTADOS!B40</f>
        <v/>
      </c>
    </row>
    <row r="34">
      <c r="A34" t="inlineStr">
        <is>
          <t xml:space="preserve">  Total Patrimonio</t>
        </is>
      </c>
      <c r="B34" s="49">
        <f>SUM(B31:B33)</f>
        <v/>
      </c>
    </row>
    <row r="36">
      <c r="A36" t="inlineStr">
        <is>
          <t>TOTAL PASIVO + PATRIMONIO</t>
        </is>
      </c>
      <c r="B36" s="52">
        <f>B28+B34</f>
        <v/>
      </c>
    </row>
    <row r="38">
      <c r="A38" t="inlineStr">
        <is>
          <t>VERIFICACIÓN (Debe ser 0):</t>
        </is>
      </c>
      <c r="B38" s="53">
        <f>B16-B36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</cols>
  <sheetData>
    <row r="1" ht="30" customHeight="1">
      <c r="A1" s="54" t="inlineStr">
        <is>
          <t>ESTADO DE RESULTADOS (P&amp;L)</t>
        </is>
      </c>
    </row>
    <row r="2">
      <c r="A2" s="45" t="inlineStr">
        <is>
          <t>Del 01 al 30 de Noviembre, 2025</t>
        </is>
      </c>
    </row>
    <row r="4">
      <c r="A4" s="48" t="inlineStr">
        <is>
          <t>INGRESOS</t>
        </is>
      </c>
    </row>
    <row r="5">
      <c r="A5" t="inlineStr">
        <is>
          <t xml:space="preserve">  Ingresos por Ventas</t>
        </is>
      </c>
      <c r="B5" s="4">
        <f>SUMIFS(TRANSACCIONES!F:F,TRANSACCIONES!C:C,"Ingreso",TRANSACCIONES!E:E,"USD")</f>
        <v/>
      </c>
    </row>
    <row r="6">
      <c r="A6" t="inlineStr">
        <is>
          <t xml:space="preserve">  Ingresos por Servicios</t>
        </is>
      </c>
      <c r="B6" s="4">
        <f>SUMIFS(TRANSACCIONES!F:F,TRANSACCIONES!C:C,"Servicios",TRANSACCIONES!E:E,"USD")</f>
        <v/>
      </c>
    </row>
    <row r="7">
      <c r="A7" t="inlineStr">
        <is>
          <t xml:space="preserve">  Otros Ingresos</t>
        </is>
      </c>
      <c r="B7" s="4" t="n">
        <v>0</v>
      </c>
    </row>
    <row r="8">
      <c r="A8" t="inlineStr">
        <is>
          <t xml:space="preserve">  Total Ingresos</t>
        </is>
      </c>
      <c r="B8" s="49">
        <f>SUM(B5:B7)</f>
        <v/>
      </c>
    </row>
    <row r="10">
      <c r="A10" s="48" t="inlineStr">
        <is>
          <t>COSTO DE VENTAS</t>
        </is>
      </c>
    </row>
    <row r="11">
      <c r="A11" t="inlineStr">
        <is>
          <t xml:space="preserve">  Costo Producto Vendido</t>
        </is>
      </c>
      <c r="B11" s="4">
        <f>SUMIFS(TRANSACCIONES!F:F,TRANSACCIONES!C:C,"Inventario",TRANSACCIONES!E:E,"USD")</f>
        <v/>
      </c>
    </row>
    <row r="12">
      <c r="A12" t="inlineStr">
        <is>
          <t xml:space="preserve">  Mano de Obra Directa</t>
        </is>
      </c>
      <c r="B12" s="4" t="n">
        <v>0</v>
      </c>
    </row>
    <row r="13">
      <c r="A13" t="inlineStr">
        <is>
          <t xml:space="preserve">  Total Costo Ventas</t>
        </is>
      </c>
      <c r="B13" s="49">
        <f>SUM(B11:B12)</f>
        <v/>
      </c>
    </row>
    <row r="15">
      <c r="A15" t="inlineStr">
        <is>
          <t>UTILIDAD BRUTA</t>
        </is>
      </c>
      <c r="B15" s="52">
        <f>B8-B13</f>
        <v/>
      </c>
    </row>
    <row r="16">
      <c r="A16" t="inlineStr">
        <is>
          <t>Margen Bruto %</t>
        </is>
      </c>
      <c r="B16" s="8">
        <f>IFERROR(B15/B8*100,0)</f>
        <v/>
      </c>
    </row>
    <row r="18">
      <c r="A18" s="48" t="inlineStr">
        <is>
          <t>GASTOS OPERACIONALES</t>
        </is>
      </c>
    </row>
    <row r="19">
      <c r="A19" t="inlineStr">
        <is>
          <t xml:space="preserve">  Gastos Administrativos</t>
        </is>
      </c>
      <c r="B19" s="4">
        <f>SUMIFS(TRANSACCIONES!F:F,TRANSACCIONES!C:C,"Gasto",TRANSACCIONES!E:E,"USD")</f>
        <v/>
      </c>
    </row>
    <row r="20">
      <c r="A20" t="inlineStr">
        <is>
          <t xml:space="preserve">  Gastos de Ventas</t>
        </is>
      </c>
      <c r="B20" s="4" t="n">
        <v>0</v>
      </c>
    </row>
    <row r="21">
      <c r="A21" t="inlineStr">
        <is>
          <t xml:space="preserve">  Gastos de Marketing</t>
        </is>
      </c>
      <c r="B21" s="4">
        <f>SUMIFS(TRANSACCIONES!F:F,TRANSACCIONES!C:C,"Marketing",TRANSACCIONES!E:E,"USD")</f>
        <v/>
      </c>
    </row>
    <row r="22">
      <c r="A22" t="inlineStr">
        <is>
          <t xml:space="preserve">  Otros Gastos</t>
        </is>
      </c>
      <c r="B22" s="4" t="n">
        <v>0</v>
      </c>
    </row>
    <row r="23">
      <c r="A23" t="inlineStr">
        <is>
          <t xml:space="preserve">  Total Gastos Operacionales</t>
        </is>
      </c>
      <c r="B23" s="49">
        <f>SUM(B19:B22)</f>
        <v/>
      </c>
    </row>
    <row r="25">
      <c r="A25" t="inlineStr">
        <is>
          <t>EBITDA</t>
        </is>
      </c>
      <c r="B25" s="55">
        <f>B15-B23</f>
        <v/>
      </c>
    </row>
    <row r="27">
      <c r="A27" t="inlineStr">
        <is>
          <t>Depreciación y Amortización</t>
        </is>
      </c>
      <c r="B27" s="4" t="n">
        <v>0</v>
      </c>
    </row>
    <row r="29">
      <c r="A29" t="inlineStr">
        <is>
          <t>EBIT (Utilidad Operacional)</t>
        </is>
      </c>
      <c r="B29" s="49">
        <f>B25-B27</f>
        <v/>
      </c>
    </row>
    <row r="31">
      <c r="A31" s="48" t="inlineStr">
        <is>
          <t>GASTOS FINANCIEROS</t>
        </is>
      </c>
    </row>
    <row r="32">
      <c r="A32" t="inlineStr">
        <is>
          <t xml:space="preserve">  Intereses Tarjetas</t>
        </is>
      </c>
      <c r="B32" s="4" t="n">
        <v>0</v>
      </c>
    </row>
    <row r="33">
      <c r="A33" t="inlineStr">
        <is>
          <t xml:space="preserve">  Intereses Préstamos</t>
        </is>
      </c>
      <c r="B33" s="4" t="n">
        <v>0</v>
      </c>
    </row>
    <row r="34">
      <c r="A34" t="inlineStr">
        <is>
          <t xml:space="preserve">  Total Gastos Financieros</t>
        </is>
      </c>
      <c r="B34" s="49">
        <f>SUM(B32:B33)</f>
        <v/>
      </c>
    </row>
    <row r="36">
      <c r="A36" t="inlineStr">
        <is>
          <t>UTILIDAD ANTES IMPUESTOS</t>
        </is>
      </c>
      <c r="B36" s="56">
        <f>B29-B34</f>
        <v/>
      </c>
    </row>
    <row r="38">
      <c r="A38" t="inlineStr">
        <is>
          <t>Impuesto Renta (30% est)</t>
        </is>
      </c>
      <c r="B38" s="4">
        <f>B36*0.30</f>
        <v/>
      </c>
    </row>
    <row r="40">
      <c r="A40" t="inlineStr">
        <is>
          <t>UTILIDAD NETA</t>
        </is>
      </c>
      <c r="B40" s="57">
        <f>B36-B38</f>
        <v/>
      </c>
    </row>
    <row r="41">
      <c r="A41" t="inlineStr">
        <is>
          <t>Margen Neto %</t>
        </is>
      </c>
      <c r="B41" s="8">
        <f>IFERROR(B40/B8*100,0)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58" t="inlineStr">
        <is>
          <t>GUÍA DE USO DEL SISTEMA ERP v5.0</t>
        </is>
      </c>
    </row>
    <row r="3">
      <c r="A3" s="59" t="inlineStr">
        <is>
          <t>ÍNDICE DE INSTRUCCIONES</t>
        </is>
      </c>
    </row>
    <row r="4">
      <c r="A4" t="inlineStr">
        <is>
          <t>1. Cómo registrar una transacción</t>
        </is>
      </c>
    </row>
    <row r="5">
      <c r="A5" t="inlineStr">
        <is>
          <t>2. Cómo hacer cierre mensual</t>
        </is>
      </c>
    </row>
    <row r="6">
      <c r="A6" t="inlineStr">
        <is>
          <t>3. Cómo ajustar diferencias de tipo de cambio</t>
        </is>
      </c>
    </row>
    <row r="7">
      <c r="A7" t="inlineStr">
        <is>
          <t>4. Cómo registrar nota de crédito/débito</t>
        </is>
      </c>
    </row>
    <row r="8">
      <c r="A8" t="inlineStr">
        <is>
          <t>5. Cómo registrar pagos parciales</t>
        </is>
      </c>
    </row>
    <row r="9">
      <c r="A9" t="inlineStr">
        <is>
          <t>6. Cómo usar zona franca (exención IVA)</t>
        </is>
      </c>
    </row>
    <row r="10">
      <c r="A10" t="inlineStr">
        <is>
          <t>7. Cómo interpretar el dashboard (RESUMEN)</t>
        </is>
      </c>
    </row>
    <row r="11">
      <c r="A11" t="inlineStr">
        <is>
          <t>8. Cómo conciliar bancos</t>
        </is>
      </c>
    </row>
    <row r="14">
      <c r="A14" s="60" t="inlineStr">
        <is>
          <t>1. CÓMO REGISTRAR UNA TRANSACCIÓN</t>
        </is>
      </c>
    </row>
    <row r="16">
      <c r="A16" t="inlineStr">
        <is>
          <t>Paso 1: Ir a hoja TRANSACCIONES</t>
        </is>
      </c>
    </row>
    <row r="17">
      <c r="A17" t="inlineStr">
        <is>
          <t>Paso 2: Buscar primera fila vacía (después de fila 6)</t>
        </is>
      </c>
    </row>
    <row r="18">
      <c r="A18" t="inlineStr">
        <is>
          <t>Paso 3: Llenar columnas A-P:</t>
        </is>
      </c>
    </row>
    <row r="19">
      <c r="A19" t="inlineStr">
        <is>
          <t xml:space="preserve">  • A: Fecha (formato DD/MM/YYYY)</t>
        </is>
      </c>
    </row>
    <row r="20">
      <c r="A20" t="inlineStr">
        <is>
          <t xml:space="preserve">  • B: Nombre banco/proveedor/cliente</t>
        </is>
      </c>
    </row>
    <row r="21">
      <c r="A21" t="inlineStr">
        <is>
          <t xml:space="preserve">  • C: Categoría (usar dropdown)</t>
        </is>
      </c>
    </row>
    <row r="22">
      <c r="A22" t="inlineStr">
        <is>
          <t xml:space="preserve">  • E: Moneda (USD o CRC)</t>
        </is>
      </c>
    </row>
    <row r="23">
      <c r="A23" t="inlineStr">
        <is>
          <t xml:space="preserve">  • F: Monto (solo número positivo)</t>
        </is>
      </c>
    </row>
    <row r="24">
      <c r="A24" t="inlineStr">
        <is>
          <t xml:space="preserve">  • H: Forma de Pago (usar dropdown)</t>
        </is>
      </c>
    </row>
    <row r="25">
      <c r="A25" t="inlineStr">
        <is>
          <t xml:space="preserve">  • I: IVA (Sí/No)</t>
        </is>
      </c>
    </row>
    <row r="26">
      <c r="A26" t="inlineStr">
        <is>
          <t xml:space="preserve">  • M: Estado (usar dropdown)</t>
        </is>
      </c>
    </row>
    <row r="27">
      <c r="A27" t="inlineStr">
        <is>
          <t xml:space="preserve">  • P: Personal/Negocio (usar dropdown)</t>
        </is>
      </c>
    </row>
    <row r="28">
      <c r="A28" t="inlineStr">
        <is>
          <t>Paso 4: Verificar columna R muestra '✓ OK'</t>
        </is>
      </c>
    </row>
    <row r="29">
      <c r="A29" t="inlineStr">
        <is>
          <t>Paso 5: Columna Q (TC Aplicado) se llena automático</t>
        </is>
      </c>
    </row>
    <row r="30">
      <c r="A30" s="61" t="inlineStr">
        <is>
          <t>⚠️ IMPORTANTE: NO editar otras hojas, solo TRANSACCIONES</t>
        </is>
      </c>
    </row>
    <row r="33">
      <c r="A33" s="60" t="inlineStr">
        <is>
          <t>2. CÓMO HACER CIERRE MENSUAL</t>
        </is>
      </c>
    </row>
    <row r="35">
      <c r="A35" t="inlineStr">
        <is>
          <t>Paso 1: Ir a hoja CIERRE_MENSUAL</t>
        </is>
      </c>
    </row>
    <row r="36">
      <c r="A36" t="inlineStr">
        <is>
          <t>Paso 2: Completar TODOS los ítems del checklist (A5:A14)</t>
        </is>
      </c>
    </row>
    <row r="37">
      <c r="A37" t="inlineStr">
        <is>
          <t>Paso 3: Verificar saldos de arrastre (A18:A22)</t>
        </is>
      </c>
    </row>
    <row r="38">
      <c r="A38" t="inlineStr">
        <is>
          <t>Paso 4: Registrar datos del mes en tabla histórica</t>
        </is>
      </c>
    </row>
    <row r="39">
      <c r="A39" t="inlineStr">
        <is>
          <t>Paso 5: Actualizar TC final del mes en HISTORICO_TC</t>
        </is>
      </c>
    </row>
    <row r="40">
      <c r="A40" t="inlineStr">
        <is>
          <t>Paso 6: Cambiar 'Mes Actual' en CONFIG (celda B13)</t>
        </is>
      </c>
    </row>
    <row r="41">
      <c r="A41" t="inlineStr">
        <is>
          <t>Paso 7: Actualizar fecha en CONFIG (celda B14)</t>
        </is>
      </c>
    </row>
    <row r="42">
      <c r="A42" s="61" t="inlineStr">
        <is>
          <t>⚠️ NO BORRAR transacciones del mes anterior</t>
        </is>
      </c>
    </row>
    <row r="43">
      <c r="A43" t="inlineStr">
        <is>
          <t>El sistema las filtra automáticamente por fecha</t>
        </is>
      </c>
    </row>
    <row r="46">
      <c r="A46" s="60" t="inlineStr">
        <is>
          <t>3. CÓMO AJUSTAR DIFERENCIAS DE TIPO DE CAMBIO</t>
        </is>
      </c>
    </row>
    <row r="48">
      <c r="A48" t="inlineStr">
        <is>
          <t>Escenario: Factura $1,000 USD registrada con TC=540</t>
        </is>
      </c>
    </row>
    <row r="49">
      <c r="A49" t="inlineStr">
        <is>
          <t xml:space="preserve">           Al fin de mes, TC cambió a 550</t>
        </is>
      </c>
    </row>
    <row r="50">
      <c r="A50" t="inlineStr">
        <is>
          <t xml:space="preserve">           Diferencia: $1,000 * (550-540) = ₡10,000</t>
        </is>
      </c>
    </row>
    <row r="51">
      <c r="A51" t="inlineStr"/>
    </row>
    <row r="52">
      <c r="A52" t="inlineStr">
        <is>
          <t>Paso 1: Ir a hoja ASIENTOS_AJUSTE</t>
        </is>
      </c>
    </row>
    <row r="53">
      <c r="A53" t="inlineStr">
        <is>
          <t>Paso 2: Llenar nueva fila:</t>
        </is>
      </c>
    </row>
    <row r="54">
      <c r="A54" t="inlineStr">
        <is>
          <t xml:space="preserve">  • Fecha: 30/11/2025</t>
        </is>
      </c>
    </row>
    <row r="55">
      <c r="A55" t="inlineStr">
        <is>
          <t xml:space="preserve">  • Tipo: 'Diferencia TC'</t>
        </is>
      </c>
    </row>
    <row r="56">
      <c r="A56" t="inlineStr">
        <is>
          <t xml:space="preserve">  • Referencia: # factura original</t>
        </is>
      </c>
    </row>
    <row r="57">
      <c r="A57" t="inlineStr">
        <is>
          <t xml:space="preserve">  • Cuenta Afectada: CxP - Proveedor XYZ</t>
        </is>
      </c>
    </row>
    <row r="58">
      <c r="A58" t="inlineStr">
        <is>
          <t xml:space="preserve">  • Monto Original: ₡540,000</t>
        </is>
      </c>
    </row>
    <row r="59">
      <c r="A59" t="inlineStr">
        <is>
          <t xml:space="preserve">  • Monto Ajustado: ₡550,000</t>
        </is>
      </c>
    </row>
    <row r="60">
      <c r="A60" t="inlineStr">
        <is>
          <t xml:space="preserve">  • Diferencia: ₡10,000 (auto-calculado)</t>
        </is>
      </c>
    </row>
    <row r="61">
      <c r="A61" t="inlineStr">
        <is>
          <t xml:space="preserve">  • Explicación: 'Ajuste por cambio TC nov (540→550)'</t>
        </is>
      </c>
    </row>
    <row r="62">
      <c r="A62" t="inlineStr">
        <is>
          <t>Paso 3: Aprobar y fechar</t>
        </is>
      </c>
    </row>
  </sheetData>
  <mergeCells count="4">
    <mergeCell ref="A14:F14"/>
    <mergeCell ref="A33:F33"/>
    <mergeCell ref="A1:F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2025-11-17T13:28:21Z</dcterms:created>
  <dcterms:modified xsi:type="dcterms:W3CDTF">2025-11-17T13:28:21Z</dcterms:modified>
</cp:coreProperties>
</file>