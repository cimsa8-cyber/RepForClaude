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RANSACCIONES" sheetId="2" state="visible" r:id="rId2"/>
    <sheet name="CONFIG" sheetId="3" state="visible" r:id="rId3"/>
    <sheet name="CxP" sheetId="4" state="visible" r:id="rId4"/>
    <sheet name="CxC" sheetId="5" state="visible" r:id="rId5"/>
    <sheet name="FLUJO_CAJA" sheetId="6" state="visible" r:id="rId6"/>
    <sheet name="IVA_CONTROL" sheetId="7" state="visible" r:id="rId7"/>
    <sheet name="TARJETAS" sheetId="8" state="visible" r:id="rId8"/>
    <sheet name="CONCILIACION" sheetId="9" state="visible" r:id="rId9"/>
    <sheet name="PERSONAL_VS_NEGOCIO" sheetId="10" state="visible" r:id="rId10"/>
    <sheet name="CATEGORIAS" sheetId="11" state="visible" r:id="rId11"/>
    <sheet name="PROYECTOS" sheetId="12" state="visible" r:id="rId12"/>
    <sheet name="PROVEEDORES" sheetId="13" state="visible" r:id="rId13"/>
    <sheet name="CLIENTES" sheetId="14" state="visible" r:id="rId14"/>
    <sheet name="AUDITORIA" sheetId="15" state="visible" r:id="rId15"/>
    <sheet name="CIERRE_MENSUAL" sheetId="16" state="visible" r:id="rId16"/>
    <sheet name="HISTORICO_TC" sheetId="17" state="visible" r:id="rId17"/>
    <sheet name="ASIENTOS_AJUSTE" sheetId="18" state="visible" r:id="rId18"/>
    <sheet name="BALANCE_GENERAL" sheetId="19" state="visible" r:id="rId19"/>
    <sheet name="ESTADO_RESULTADOS" sheetId="20" state="visible" r:id="rId20"/>
    <sheet name="INSTRUCCIONES" sheetId="21" state="visible" r:id="rId21"/>
  </sheets>
  <definedNames/>
  <calcPr calcId="124519" calcMode="auto" fullCalcOnLoad="1"/>
</workbook>
</file>

<file path=xl/styles.xml><?xml version="1.0" encoding="utf-8"?>
<styleSheet xmlns="http://schemas.openxmlformats.org/spreadsheetml/2006/main">
  <numFmts count="6">
    <numFmt numFmtId="164" formatCode="$#,##0.00"/>
    <numFmt numFmtId="165" formatCode="₡#,##0.00"/>
    <numFmt numFmtId="166" formatCode="0.0&quot;%&quot;"/>
    <numFmt numFmtId="167" formatCode="0.0"/>
    <numFmt numFmtId="168" formatCode="yyyy-mm-dd"/>
    <numFmt numFmtId="169" formatCode="DD/MM/YY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b val="1"/>
      <color rgb="00FF0000"/>
      <sz val="10"/>
    </font>
    <font>
      <b val="1"/>
    </font>
    <font>
      <b val="1"/>
      <sz val="12"/>
    </font>
    <font>
      <b val="1"/>
      <color rgb="00FFFFFF"/>
    </font>
    <font>
      <sz val="10"/>
    </font>
    <font>
      <b val="1"/>
      <color rgb="00FFFFFF"/>
      <sz val="12"/>
    </font>
    <font>
      <i val="1"/>
      <color rgb="00FF0000"/>
    </font>
    <font>
      <i val="1"/>
      <color rgb="00666666"/>
    </font>
    <font>
      <b val="1"/>
      <sz val="11"/>
    </font>
    <font>
      <b val="1"/>
      <color rgb="00FF0000"/>
    </font>
    <font>
      <b val="1"/>
      <color rgb="00FFFFFF"/>
      <sz val="14"/>
    </font>
    <font>
      <b val="1"/>
      <color rgb="00FFFFFF"/>
      <sz val="11"/>
    </font>
  </fonts>
  <fills count="28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FF5252"/>
        <bgColor rgb="00FF5252"/>
      </patternFill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FF9800"/>
        <bgColor rgb="00FF9800"/>
      </patternFill>
    </fill>
    <fill>
      <patternFill patternType="solid">
        <fgColor rgb="009C27B0"/>
        <bgColor rgb="009C27B0"/>
      </patternFill>
    </fill>
    <fill>
      <patternFill patternType="solid">
        <fgColor rgb="00388E3C"/>
        <bgColor rgb="00388E3C"/>
      </patternFill>
    </fill>
    <fill>
      <patternFill patternType="solid">
        <fgColor rgb="00607D8B"/>
        <bgColor rgb="00607D8B"/>
      </patternFill>
    </fill>
    <fill>
      <patternFill patternType="solid">
        <fgColor rgb="00D32F2F"/>
        <bgColor rgb="00D32F2F"/>
      </patternFill>
    </fill>
    <fill>
      <patternFill patternType="solid">
        <fgColor rgb="00366092"/>
        <bgColor rgb="00366092"/>
      </patternFill>
    </fill>
    <fill>
      <patternFill patternType="solid">
        <fgColor rgb="004472C4"/>
        <bgColor rgb="004472C4"/>
      </patternFill>
    </fill>
    <fill>
      <patternFill patternType="solid">
        <fgColor rgb="00FF6600"/>
        <bgColor rgb="00FF6600"/>
      </patternFill>
    </fill>
    <fill>
      <patternFill patternType="solid">
        <fgColor rgb="00BDBDBD"/>
        <bgColor rgb="00BDBDBD"/>
      </patternFill>
    </fill>
    <fill>
      <patternFill patternType="solid">
        <fgColor rgb="00FFFF00"/>
        <bgColor rgb="00FFFF00"/>
      </patternFill>
    </fill>
    <fill>
      <patternFill patternType="solid">
        <fgColor rgb="00FFEB3B"/>
        <bgColor rgb="00FFEB3B"/>
      </patternFill>
    </fill>
    <fill>
      <patternFill patternType="solid">
        <fgColor rgb="00E65100"/>
        <bgColor rgb="00E65100"/>
      </patternFill>
    </fill>
    <fill>
      <patternFill patternType="solid">
        <fgColor rgb="001976D2"/>
        <bgColor rgb="001976D2"/>
      </patternFill>
    </fill>
    <fill>
      <patternFill patternType="solid">
        <fgColor rgb="002E7D32"/>
        <bgColor rgb="002E7D32"/>
      </patternFill>
    </fill>
    <fill>
      <patternFill patternType="solid">
        <fgColor rgb="00C62828"/>
        <bgColor rgb="00C62828"/>
      </patternFill>
    </fill>
    <fill>
      <patternFill patternType="solid">
        <fgColor rgb="000D47A1"/>
        <bgColor rgb="000D47A1"/>
      </patternFill>
    </fill>
    <fill>
      <patternFill patternType="solid">
        <fgColor rgb="00E0E0E0"/>
        <bgColor rgb="00E0E0E0"/>
      </patternFill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1B5E20"/>
        <bgColor rgb="001B5E20"/>
      </patternFill>
    </fill>
    <fill>
      <patternFill patternType="solid">
        <fgColor rgb="001565C0"/>
        <bgColor rgb="001565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166" fontId="0" fillId="0" borderId="0" pivotButton="0" quotePrefix="0" xfId="0"/>
    <xf numFmtId="0" fontId="3" fillId="5" borderId="0" applyAlignment="1" pivotButton="0" quotePrefix="0" xfId="0">
      <alignment horizontal="center" vertical="center"/>
    </xf>
    <xf numFmtId="2" fontId="0" fillId="0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167" fontId="0" fillId="0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4" fillId="12" borderId="0" applyAlignment="1" pivotButton="0" quotePrefix="0" xfId="0">
      <alignment horizontal="center" vertical="center" wrapText="1"/>
    </xf>
    <xf numFmtId="169" fontId="0" fillId="0" borderId="0" pivotButton="0" quotePrefix="0" xfId="0"/>
    <xf numFmtId="4" fontId="0" fillId="0" borderId="0" pivotButton="0" quotePrefix="0" xfId="0"/>
    <xf numFmtId="0" fontId="1" fillId="1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14" borderId="0" pivotButton="0" quotePrefix="0" xfId="0"/>
    <xf numFmtId="0" fontId="6" fillId="15" borderId="0" pivotButton="0" quotePrefix="0" xfId="0"/>
    <xf numFmtId="0" fontId="7" fillId="16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wrapText="1"/>
    </xf>
    <xf numFmtId="0" fontId="1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/>
    </xf>
    <xf numFmtId="0" fontId="9" fillId="0" borderId="0" pivotButton="0" quotePrefix="0" xfId="0"/>
    <xf numFmtId="0" fontId="10" fillId="18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1" fillId="19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" fillId="2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0" fontId="6" fillId="14" borderId="0" applyAlignment="1" pivotButton="0" quotePrefix="0" xfId="0">
      <alignment horizontal="center" wrapText="1"/>
    </xf>
    <xf numFmtId="0" fontId="1" fillId="21" borderId="0" applyAlignment="1" pivotButton="0" quotePrefix="0" xfId="0">
      <alignment horizontal="center" vertical="center"/>
    </xf>
    <xf numFmtId="0" fontId="13" fillId="22" borderId="0" pivotButton="0" quotePrefix="0" xfId="0"/>
    <xf numFmtId="164" fontId="6" fillId="0" borderId="0" pivotButton="0" quotePrefix="0" xfId="0"/>
    <xf numFmtId="164" fontId="7" fillId="23" borderId="0" pivotButton="0" quotePrefix="0" xfId="0"/>
    <xf numFmtId="164" fontId="7" fillId="24" borderId="0" pivotButton="0" quotePrefix="0" xfId="0"/>
    <xf numFmtId="164" fontId="7" fillId="25" borderId="0" pivotButton="0" quotePrefix="0" xfId="0"/>
    <xf numFmtId="164" fontId="14" fillId="0" borderId="0" pivotButton="0" quotePrefix="0" xfId="0"/>
    <xf numFmtId="0" fontId="1" fillId="26" borderId="0" applyAlignment="1" pivotButton="0" quotePrefix="0" xfId="0">
      <alignment horizontal="center" vertical="center"/>
    </xf>
    <xf numFmtId="164" fontId="6" fillId="23" borderId="0" pivotButton="0" quotePrefix="0" xfId="0"/>
    <xf numFmtId="164" fontId="7" fillId="0" borderId="0" pivotButton="0" quotePrefix="0" xfId="0"/>
    <xf numFmtId="164" fontId="15" fillId="4" borderId="0" pivotButton="0" quotePrefix="0" xfId="0"/>
    <xf numFmtId="0" fontId="1" fillId="27" borderId="0" applyAlignment="1" pivotButton="0" quotePrefix="0" xfId="0">
      <alignment horizontal="center" vertical="center"/>
    </xf>
    <xf numFmtId="0" fontId="7" fillId="22" borderId="0" pivotButton="0" quotePrefix="0" xfId="0"/>
    <xf numFmtId="0" fontId="16" fillId="16" borderId="0" applyAlignment="1" pivotButton="0" quotePrefix="0" xfId="0">
      <alignment horizontal="center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DASHBOARD FINANCIERO - AlvaroVelasco Net SRL</t>
        </is>
      </c>
    </row>
    <row r="2">
      <c r="A2" s="2" t="inlineStr">
        <is>
          <t>Última actualización: 17/11/2025 00:00</t>
        </is>
      </c>
    </row>
    <row r="4" ht="25" customHeight="1">
      <c r="A4" s="3" t="inlineStr">
        <is>
          <t>CUENTAS POR PAGAR (CxP)</t>
        </is>
      </c>
    </row>
    <row r="5">
      <c r="A5" t="inlineStr">
        <is>
          <t>Total CxP USD:</t>
        </is>
      </c>
      <c r="B5" s="4">
        <f>SUMIF(CxP!D:D,"USD",CxP!H:H)</f>
        <v/>
      </c>
    </row>
    <row r="6">
      <c r="A6" t="inlineStr">
        <is>
          <t>Total CxP CRC:</t>
        </is>
      </c>
      <c r="B6" s="5">
        <f>SUMIF(CxP!D:D,"CRC",CxP!C:C)</f>
        <v/>
      </c>
    </row>
    <row r="7">
      <c r="A7" t="inlineStr">
        <is>
          <t>Facturas vencidas:</t>
        </is>
      </c>
      <c r="B7" s="6">
        <f>COUNTIF(CxP!G:G,"&gt;0")</f>
        <v/>
      </c>
    </row>
    <row r="8">
      <c r="A8" t="inlineStr">
        <is>
          <t>Promedio días pago:</t>
        </is>
      </c>
      <c r="B8" s="6">
        <f>AVERAGE(CxP!G:G)</f>
        <v/>
      </c>
    </row>
    <row r="10" ht="25" customHeight="1">
      <c r="A10" s="7" t="inlineStr">
        <is>
          <t>CUENTAS POR COBRAR (CxC)</t>
        </is>
      </c>
    </row>
    <row r="11">
      <c r="A11" t="inlineStr">
        <is>
          <t>Total CxC USD:</t>
        </is>
      </c>
      <c r="B11" s="4">
        <f>SUMIF(CxC!D:D,"USD",CxC!H:H)</f>
        <v/>
      </c>
    </row>
    <row r="12">
      <c r="A12" t="inlineStr">
        <is>
          <t>Total CxC CRC:</t>
        </is>
      </c>
      <c r="B12" s="5">
        <f>SUMIF(CxC!D:D,"CRC",CxC!C:C)</f>
        <v/>
      </c>
    </row>
    <row r="13">
      <c r="A13" t="inlineStr">
        <is>
          <t>Facturas &gt;60 días:</t>
        </is>
      </c>
      <c r="B13" s="6">
        <f>COUNTIF(CxC!G:G,"&gt;60")</f>
        <v/>
      </c>
    </row>
    <row r="14">
      <c r="A14" t="inlineStr">
        <is>
          <t>Promedio días cobro:</t>
        </is>
      </c>
      <c r="B14" s="6">
        <f>AVERAGE(CxC!G:G)</f>
        <v/>
      </c>
    </row>
    <row r="15">
      <c r="A15" t="inlineStr">
        <is>
          <t>% CxC en riesgo (&gt;90):</t>
        </is>
      </c>
      <c r="B15" s="8">
        <f>IFERROR(SUMIF(CxC!G:G,"&gt;90",CxC!H:H)/SUM(CxC!H:H)*100,0)</f>
        <v/>
      </c>
    </row>
    <row r="17" ht="25" customHeight="1">
      <c r="A17" s="9" t="inlineStr">
        <is>
          <t>RATIOS FINANCIEROS</t>
        </is>
      </c>
    </row>
    <row r="18">
      <c r="A18" t="inlineStr">
        <is>
          <t>Activo Corriente:</t>
        </is>
      </c>
      <c r="B18" s="4">
        <f>BALANCE_GENERAL!B8</f>
        <v/>
      </c>
    </row>
    <row r="19">
      <c r="A19" t="inlineStr">
        <is>
          <t>Pasivo Corriente:</t>
        </is>
      </c>
      <c r="B19" s="4">
        <f>BALANCE_GENERAL!B22</f>
        <v/>
      </c>
    </row>
    <row r="20">
      <c r="A20" t="inlineStr">
        <is>
          <t>Ratio Liquidez:</t>
        </is>
      </c>
      <c r="B20" s="10">
        <f>IFERROR(B19/B20,0)</f>
        <v/>
      </c>
    </row>
    <row r="21">
      <c r="A21" t="inlineStr">
        <is>
          <t>Capital de Trabajo:</t>
        </is>
      </c>
      <c r="B21" s="4">
        <f>B18-B19</f>
        <v/>
      </c>
    </row>
    <row r="22">
      <c r="A22" t="inlineStr">
        <is>
          <t>Quick Ratio:</t>
        </is>
      </c>
      <c r="B22" s="10">
        <f>IFERROR((BALANCE_GENERAL!B5+BALANCE_GENERAL!B6)/BALANCE_GENERAL!B22,0)</f>
        <v/>
      </c>
    </row>
    <row r="24" ht="25" customHeight="1">
      <c r="A24" s="11" t="inlineStr">
        <is>
          <t>FLUJO DE CAJA</t>
        </is>
      </c>
    </row>
    <row r="25">
      <c r="A25" t="inlineStr">
        <is>
          <t>Ingresos mes USD:</t>
        </is>
      </c>
      <c r="B25" s="4">
        <f>SUMIFS(TRANSACCIONES!F:F,TRANSACCIONES!C:C,"Ingreso",TRANSACCIONES!E:E,"USD")</f>
        <v/>
      </c>
    </row>
    <row r="26">
      <c r="A26" t="inlineStr">
        <is>
          <t>Gastos mes USD:</t>
        </is>
      </c>
      <c r="B26" s="4">
        <f>SUMIFS(TRANSACCIONES!F:F,TRANSACCIONES!C:C,"Gasto",TRANSACCIONES!E:E,"USD")</f>
        <v/>
      </c>
    </row>
    <row r="27">
      <c r="A27" t="inlineStr">
        <is>
          <t>Balance mes USD:</t>
        </is>
      </c>
      <c r="B27" s="4">
        <f>B25-B26</f>
        <v/>
      </c>
    </row>
    <row r="28">
      <c r="A28" t="inlineStr">
        <is>
          <t>Efectivo disponible:</t>
        </is>
      </c>
      <c r="B28" s="4">
        <f>BALANCE_GENERAL!B5</f>
        <v/>
      </c>
    </row>
    <row r="30" ht="25" customHeight="1">
      <c r="A30" s="12" t="inlineStr">
        <is>
          <t>EFICIENCIA OPERACIONAL</t>
        </is>
      </c>
    </row>
    <row r="31">
      <c r="A31" t="inlineStr">
        <is>
          <t>Días promedio CxC:</t>
        </is>
      </c>
      <c r="B31" s="6">
        <f>IFERROR(AVERAGE(CxC!G:G),0)</f>
        <v/>
      </c>
    </row>
    <row r="32">
      <c r="A32" t="inlineStr">
        <is>
          <t>Días promedio CxP:</t>
        </is>
      </c>
      <c r="B32" s="6">
        <f>IFERROR(AVERAGE(CxP!G:G),0)</f>
        <v/>
      </c>
    </row>
    <row r="33">
      <c r="A33" t="inlineStr">
        <is>
          <t>Ciclo conversión $ (días):</t>
        </is>
      </c>
      <c r="B33" s="6">
        <f>B31-B32</f>
        <v/>
      </c>
    </row>
    <row r="34">
      <c r="A34" t="inlineStr">
        <is>
          <t>Burn Rate (mes):</t>
        </is>
      </c>
      <c r="B34" s="4">
        <f>SUMIFS(TRANSACCIONES!F:F,TRANSACCIONES!C:C,"Gasto",TRANSACCIONES!E:E,"USD")/1</f>
        <v/>
      </c>
    </row>
    <row r="35">
      <c r="A35" t="inlineStr">
        <is>
          <t>Runway (meses):</t>
        </is>
      </c>
      <c r="B35" s="13">
        <f>IFERROR(B31/B34,0)</f>
        <v/>
      </c>
    </row>
    <row r="37" ht="25" customHeight="1">
      <c r="A37" s="14" t="inlineStr">
        <is>
          <t>RENTABILIDAD</t>
        </is>
      </c>
    </row>
    <row r="38">
      <c r="A38" t="inlineStr">
        <is>
          <t>Ingresos totales:</t>
        </is>
      </c>
      <c r="B38" s="4">
        <f>ESTADO_RESULTADOS!B8</f>
        <v/>
      </c>
    </row>
    <row r="39">
      <c r="A39" t="inlineStr">
        <is>
          <t>Utilidad bruta:</t>
        </is>
      </c>
      <c r="B39" s="4">
        <f>ESTADO_RESULTADOS!B15</f>
        <v/>
      </c>
    </row>
    <row r="40">
      <c r="A40" t="inlineStr">
        <is>
          <t>Margen bruto %:</t>
        </is>
      </c>
      <c r="B40" s="8">
        <f>ESTADO_RESULTADOS!B16</f>
        <v/>
      </c>
    </row>
    <row r="41">
      <c r="A41" t="inlineStr">
        <is>
          <t>Utilidad neta:</t>
        </is>
      </c>
      <c r="B41" s="4">
        <f>ESTADO_RESULTADOS!B40</f>
        <v/>
      </c>
    </row>
    <row r="42">
      <c r="A42" t="inlineStr">
        <is>
          <t>Margen neto %:</t>
        </is>
      </c>
      <c r="B42" s="8">
        <f>ESTADO_RESULTADOS!B41</f>
        <v/>
      </c>
    </row>
    <row r="43">
      <c r="A43" t="inlineStr">
        <is>
          <t>ROE %:</t>
        </is>
      </c>
      <c r="B43" s="8">
        <f>IFERROR(ESTADO_RESULTADOS!B40/BALANCE_GENERAL!B34*100,0)</f>
        <v/>
      </c>
    </row>
    <row r="45" ht="25" customHeight="1">
      <c r="A45" s="15" t="inlineStr">
        <is>
          <t>IVA CONTROL</t>
        </is>
      </c>
    </row>
    <row r="46">
      <c r="A46" t="inlineStr">
        <is>
          <t>IVA Ventas:</t>
        </is>
      </c>
      <c r="B46" s="5">
        <f>SUMIFS(IVA_CONTROL!D:D,IVA_CONTROL!E:E,"Venta")</f>
        <v/>
      </c>
    </row>
    <row r="47">
      <c r="A47" t="inlineStr">
        <is>
          <t>IVA Compras:</t>
        </is>
      </c>
      <c r="B47" s="5">
        <f>SUMIFS(IVA_CONTROL!D:D,IVA_CONTROL!E:E,"Compra")</f>
        <v/>
      </c>
    </row>
    <row r="48">
      <c r="A48" t="inlineStr">
        <is>
          <t>A pagar Hacienda:</t>
        </is>
      </c>
      <c r="B48" s="5">
        <f>B46-B47</f>
        <v/>
      </c>
    </row>
    <row r="50" ht="25" customHeight="1">
      <c r="A50" s="16" t="inlineStr">
        <is>
          <t>ANÁLISIS DE RIESGO</t>
        </is>
      </c>
    </row>
    <row r="51">
      <c r="A51" t="inlineStr">
        <is>
          <t>Concentración Top 3 Clientes:</t>
        </is>
      </c>
      <c r="B51" s="8" t="inlineStr">
        <is>
          <t>0.0%</t>
        </is>
      </c>
    </row>
    <row r="52">
      <c r="A52" t="inlineStr">
        <is>
          <t>Concentración Top 3 Proveed:</t>
        </is>
      </c>
      <c r="B52" s="8" t="inlineStr">
        <is>
          <t>0.0%</t>
        </is>
      </c>
    </row>
    <row r="53">
      <c r="A53" t="inlineStr">
        <is>
          <t>Facturas vencidas &gt;90 días:</t>
        </is>
      </c>
      <c r="B53" s="6">
        <f>COUNTIF(CxC!G:G,"&gt;90")</f>
        <v/>
      </c>
    </row>
  </sheetData>
  <mergeCells count="10">
    <mergeCell ref="A45:D45"/>
    <mergeCell ref="A17:D17"/>
    <mergeCell ref="A37:D37"/>
    <mergeCell ref="A50:D50"/>
    <mergeCell ref="A4:D4"/>
    <mergeCell ref="A2:H2"/>
    <mergeCell ref="A30:D30"/>
    <mergeCell ref="A24:D24"/>
    <mergeCell ref="A1:H1"/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00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8" customWidth="1" min="4" max="4"/>
    <col width="10" customWidth="1" min="5" max="5"/>
    <col width="15" customWidth="1" min="6" max="6"/>
    <col width="30" customWidth="1" min="7" max="7"/>
    <col width="15" customWidth="1" min="8" max="8"/>
    <col width="8" customWidth="1" min="9" max="9"/>
    <col width="25" customWidth="1" min="10" max="10"/>
    <col width="12" customWidth="1" min="11" max="11"/>
    <col width="15" customWidth="1" min="12" max="12"/>
    <col width="12" customWidth="1" min="13" max="13"/>
    <col width="15" customWidth="1" min="14" max="14"/>
    <col width="15" customWidth="1" min="15" max="15"/>
    <col width="18" customWidth="1" min="16" max="16"/>
    <col width="12" customWidth="1" min="17" max="17"/>
    <col width="20" customWidth="1" min="18" max="18"/>
  </cols>
  <sheetData>
    <row r="1" ht="30" customHeight="1">
      <c r="A1" s="17" t="inlineStr">
        <is>
          <t>TRANSACCIONES - ÚNICA FUENTE DE VERDAD</t>
        </is>
      </c>
    </row>
    <row r="2" ht="30" customHeight="1">
      <c r="A2" s="18" t="inlineStr">
        <is>
          <t>Fecha</t>
        </is>
      </c>
      <c r="B2" s="18" t="inlineStr">
        <is>
          <t>Entidad</t>
        </is>
      </c>
      <c r="C2" s="18" t="inlineStr">
        <is>
          <t>Categoría</t>
        </is>
      </c>
      <c r="D2" s="18" t="inlineStr">
        <is>
          <t>Subcategoría</t>
        </is>
      </c>
      <c r="E2" s="18" t="inlineStr">
        <is>
          <t>Moneda</t>
        </is>
      </c>
      <c r="F2" s="18" t="inlineStr">
        <is>
          <t>Monto</t>
        </is>
      </c>
      <c r="G2" s="18" t="inlineStr">
        <is>
          <t>Descripción</t>
        </is>
      </c>
      <c r="H2" s="18" t="inlineStr">
        <is>
          <t>Forma Pago</t>
        </is>
      </c>
      <c r="I2" s="18" t="inlineStr">
        <is>
          <t>IVA</t>
        </is>
      </c>
      <c r="J2" s="18" t="inlineStr">
        <is>
          <t>Notas</t>
        </is>
      </c>
      <c r="K2" s="18" t="inlineStr">
        <is>
          <t>Recurrente</t>
        </is>
      </c>
      <c r="L2" s="18" t="inlineStr">
        <is>
          <t>Proyecto</t>
        </is>
      </c>
      <c r="M2" s="18" t="inlineStr">
        <is>
          <t>Estado</t>
        </is>
      </c>
      <c r="N2" s="18" t="inlineStr">
        <is>
          <t>Factura #</t>
        </is>
      </c>
      <c r="O2" s="18" t="inlineStr">
        <is>
          <t>Tag</t>
        </is>
      </c>
      <c r="P2" s="18" t="inlineStr">
        <is>
          <t>Personal/Negocio</t>
        </is>
      </c>
      <c r="Q2" s="18" t="inlineStr">
        <is>
          <t>TC Aplicado</t>
        </is>
      </c>
      <c r="R2" s="18" t="inlineStr">
        <is>
          <t>✓ Validación</t>
        </is>
      </c>
    </row>
    <row r="3">
      <c r="A3" s="19" t="n">
        <v>45978</v>
      </c>
      <c r="B3" t="inlineStr">
        <is>
          <t>BAC San José</t>
        </is>
      </c>
      <c r="C3" t="inlineStr">
        <is>
          <t>CxP</t>
        </is>
      </c>
      <c r="D3" t="inlineStr">
        <is>
          <t>Tarjeta Crédito</t>
        </is>
      </c>
      <c r="E3" t="inlineStr">
        <is>
          <t>CRC</t>
        </is>
      </c>
      <c r="F3" s="20" t="n">
        <v>1831000</v>
      </c>
      <c r="G3" t="inlineStr">
        <is>
          <t>Saldo tarjeta Visa Clásica</t>
        </is>
      </c>
      <c r="H3" t="inlineStr">
        <is>
          <t>Tarjeta Crédito</t>
        </is>
      </c>
      <c r="I3" t="inlineStr">
        <is>
          <t>No</t>
        </is>
      </c>
      <c r="J3" t="inlineStr">
        <is>
          <t>Pre-cargado - Corte día 15</t>
        </is>
      </c>
      <c r="K3" t="inlineStr">
        <is>
          <t>No</t>
        </is>
      </c>
      <c r="L3" t="inlineStr"/>
      <c r="M3" t="inlineStr">
        <is>
          <t>Pendiente</t>
        </is>
      </c>
      <c r="N3" t="inlineStr"/>
      <c r="O3" t="inlineStr">
        <is>
          <t>Deuda Inicial</t>
        </is>
      </c>
      <c r="P3" t="inlineStr">
        <is>
          <t>Negocio</t>
        </is>
      </c>
      <c r="Q3" s="10" t="n">
        <v>1</v>
      </c>
      <c r="R3">
        <f>IF(AND(A3&lt;&gt;"",ISNUMBER(A3),B3&lt;&gt;"",C3&lt;&gt;"",OR(E3="USD",E3="CRC"),F3&gt;0,ISNUMBER(Q3),Q3&gt;0),"✓ OK","✗ ERROR: Revisa datos")</f>
        <v/>
      </c>
    </row>
    <row r="4">
      <c r="A4" s="19" t="n">
        <v>45978</v>
      </c>
      <c r="B4" t="inlineStr">
        <is>
          <t>BCR</t>
        </is>
      </c>
      <c r="C4" t="inlineStr">
        <is>
          <t>CxP</t>
        </is>
      </c>
      <c r="D4" t="inlineStr">
        <is>
          <t>Tarjeta Crédito</t>
        </is>
      </c>
      <c r="E4" t="inlineStr">
        <is>
          <t>CRC</t>
        </is>
      </c>
      <c r="F4" s="20" t="n">
        <v>1750000</v>
      </c>
      <c r="G4" t="inlineStr">
        <is>
          <t>Saldo tarjeta Mastercard</t>
        </is>
      </c>
      <c r="H4" t="inlineStr">
        <is>
          <t>Tarjeta Crédito</t>
        </is>
      </c>
      <c r="I4" t="inlineStr">
        <is>
          <t>No</t>
        </is>
      </c>
      <c r="J4" t="inlineStr">
        <is>
          <t>Pre-cargado - Corte día 20</t>
        </is>
      </c>
      <c r="K4" t="inlineStr">
        <is>
          <t>No</t>
        </is>
      </c>
      <c r="L4" t="inlineStr"/>
      <c r="M4" t="inlineStr">
        <is>
          <t>Pendiente</t>
        </is>
      </c>
      <c r="N4" t="inlineStr"/>
      <c r="O4" t="inlineStr">
        <is>
          <t>Deuda Inicial</t>
        </is>
      </c>
      <c r="P4" t="inlineStr">
        <is>
          <t>Negocio</t>
        </is>
      </c>
      <c r="Q4" s="10" t="n">
        <v>1</v>
      </c>
      <c r="R4">
        <f>IF(AND(A4&lt;&gt;"",ISNUMBER(A4),B4&lt;&gt;"",C4&lt;&gt;"",OR(E4="USD",E4="CRC"),F4&gt;0,ISNUMBER(Q4),Q4&gt;0),"✓ OK","✗ ERROR: Revisa datos")</f>
        <v/>
      </c>
    </row>
    <row r="5">
      <c r="A5" s="19" t="n">
        <v>45978</v>
      </c>
      <c r="B5" t="inlineStr">
        <is>
          <t>Credomatic</t>
        </is>
      </c>
      <c r="C5" t="inlineStr">
        <is>
          <t>CxP</t>
        </is>
      </c>
      <c r="D5" t="inlineStr">
        <is>
          <t>Tarjeta Crédito</t>
        </is>
      </c>
      <c r="E5" t="inlineStr">
        <is>
          <t>USD</t>
        </is>
      </c>
      <c r="F5" s="20" t="n">
        <v>2500</v>
      </c>
      <c r="G5" t="inlineStr">
        <is>
          <t>Saldo tarjeta Platinum</t>
        </is>
      </c>
      <c r="H5" t="inlineStr">
        <is>
          <t>Tarjeta Crédito</t>
        </is>
      </c>
      <c r="I5" t="inlineStr">
        <is>
          <t>No</t>
        </is>
      </c>
      <c r="J5" t="inlineStr">
        <is>
          <t>Pre-cargado - Corte día 10</t>
        </is>
      </c>
      <c r="K5" t="inlineStr">
        <is>
          <t>No</t>
        </is>
      </c>
      <c r="L5" t="inlineStr"/>
      <c r="M5" t="inlineStr">
        <is>
          <t>Pendiente</t>
        </is>
      </c>
      <c r="N5" t="inlineStr"/>
      <c r="O5" t="inlineStr">
        <is>
          <t>Deuda Inicial</t>
        </is>
      </c>
      <c r="P5" t="inlineStr">
        <is>
          <t>Negocio</t>
        </is>
      </c>
      <c r="Q5" s="10" t="n">
        <v>540</v>
      </c>
      <c r="R5">
        <f>IF(AND(A5&lt;&gt;"",ISNUMBER(A5),B5&lt;&gt;"",C5&lt;&gt;"",OR(E5="USD",E5="CRC"),F5&gt;0,ISNUMBER(Q5),Q5&gt;0),"✓ OK","✗ ERROR: Revisa datos")</f>
        <v/>
      </c>
    </row>
    <row r="6">
      <c r="A6" s="19" t="n">
        <v>45978</v>
      </c>
      <c r="B6" t="inlineStr">
        <is>
          <t>Credomatic</t>
        </is>
      </c>
      <c r="C6" t="inlineStr">
        <is>
          <t>CxP</t>
        </is>
      </c>
      <c r="D6" t="inlineStr">
        <is>
          <t>Tarjeta Crédito</t>
        </is>
      </c>
      <c r="E6" t="inlineStr">
        <is>
          <t>CRC</t>
        </is>
      </c>
      <c r="F6" s="20" t="n">
        <v>2800000</v>
      </c>
      <c r="G6" t="inlineStr">
        <is>
          <t>Saldo tarjeta Gold</t>
        </is>
      </c>
      <c r="H6" t="inlineStr">
        <is>
          <t>Tarjeta Crédito</t>
        </is>
      </c>
      <c r="I6" t="inlineStr">
        <is>
          <t>No</t>
        </is>
      </c>
      <c r="J6" t="inlineStr">
        <is>
          <t>Pre-cargado - Corte día 10</t>
        </is>
      </c>
      <c r="K6" t="inlineStr">
        <is>
          <t>No</t>
        </is>
      </c>
      <c r="L6" t="inlineStr"/>
      <c r="M6" t="inlineStr">
        <is>
          <t>Pendiente</t>
        </is>
      </c>
      <c r="N6" t="inlineStr"/>
      <c r="O6" t="inlineStr">
        <is>
          <t>Deuda Inicial</t>
        </is>
      </c>
      <c r="P6" t="inlineStr">
        <is>
          <t>Negocio</t>
        </is>
      </c>
      <c r="Q6" s="10" t="n">
        <v>1</v>
      </c>
      <c r="R6">
        <f>IF(AND(A6&lt;&gt;"",ISNUMBER(A6),B6&lt;&gt;"",C6&lt;&gt;"",OR(E6="USD",E6="CRC"),F6&gt;0,ISNUMBER(Q6),Q6&gt;0),"✓ OK","✗ ERROR: Revisa datos")</f>
        <v/>
      </c>
    </row>
    <row r="7">
      <c r="A7" s="19" t="n"/>
      <c r="F7" s="20" t="n"/>
      <c r="Q7" s="10">
        <f>IF(E7="USD",CONFIG!$B$5,1)</f>
        <v/>
      </c>
      <c r="R7">
        <f>IF(AND(A7&lt;&gt;"",ISNUMBER(A7),B7&lt;&gt;"",C7&lt;&gt;"",OR(E7="USD",E7="CRC"),F7&gt;0,ISNUMBER(Q7),Q7&gt;0),"✓ OK","✗ ERROR: Revisa datos")</f>
        <v/>
      </c>
    </row>
    <row r="8">
      <c r="A8" s="19" t="n"/>
      <c r="F8" s="20" t="n"/>
      <c r="Q8" s="10">
        <f>IF(E8="USD",CONFIG!$B$5,1)</f>
        <v/>
      </c>
      <c r="R8">
        <f>IF(AND(A8&lt;&gt;"",ISNUMBER(A8),B8&lt;&gt;"",C8&lt;&gt;"",OR(E8="USD",E8="CRC"),F8&gt;0,ISNUMBER(Q8),Q8&gt;0),"✓ OK","✗ ERROR: Revisa datos")</f>
        <v/>
      </c>
    </row>
    <row r="9">
      <c r="A9" s="19" t="n"/>
      <c r="F9" s="20" t="n"/>
      <c r="Q9" s="10">
        <f>IF(E9="USD",CONFIG!$B$5,1)</f>
        <v/>
      </c>
      <c r="R9">
        <f>IF(AND(A9&lt;&gt;"",ISNUMBER(A9),B9&lt;&gt;"",C9&lt;&gt;"",OR(E9="USD",E9="CRC"),F9&gt;0,ISNUMBER(Q9),Q9&gt;0),"✓ OK","✗ ERROR: Revisa datos")</f>
        <v/>
      </c>
    </row>
    <row r="10">
      <c r="A10" s="19" t="n"/>
      <c r="F10" s="20" t="n"/>
      <c r="Q10" s="10">
        <f>IF(E10="USD",CONFIG!$B$5,1)</f>
        <v/>
      </c>
      <c r="R10">
        <f>IF(AND(A10&lt;&gt;"",ISNUMBER(A10),B10&lt;&gt;"",C10&lt;&gt;"",OR(E10="USD",E10="CRC"),F10&gt;0,ISNUMBER(Q10),Q10&gt;0),"✓ OK","✗ ERROR: Revisa datos")</f>
        <v/>
      </c>
    </row>
    <row r="11">
      <c r="A11" s="19" t="n"/>
      <c r="F11" s="20" t="n"/>
      <c r="Q11" s="10">
        <f>IF(E11="USD",CONFIG!$B$5,1)</f>
        <v/>
      </c>
      <c r="R11">
        <f>IF(AND(A11&lt;&gt;"",ISNUMBER(A11),B11&lt;&gt;"",C11&lt;&gt;"",OR(E11="USD",E11="CRC"),F11&gt;0,ISNUMBER(Q11),Q11&gt;0),"✓ OK","✗ ERROR: Revisa datos")</f>
        <v/>
      </c>
    </row>
    <row r="12">
      <c r="A12" s="19" t="n"/>
      <c r="F12" s="20" t="n"/>
      <c r="Q12" s="10">
        <f>IF(E12="USD",CONFIG!$B$5,1)</f>
        <v/>
      </c>
      <c r="R12">
        <f>IF(AND(A12&lt;&gt;"",ISNUMBER(A12),B12&lt;&gt;"",C12&lt;&gt;"",OR(E12="USD",E12="CRC"),F12&gt;0,ISNUMBER(Q12),Q12&gt;0),"✓ OK","✗ ERROR: Revisa datos")</f>
        <v/>
      </c>
    </row>
    <row r="13">
      <c r="A13" s="19" t="n"/>
      <c r="F13" s="20" t="n"/>
      <c r="Q13" s="10">
        <f>IF(E13="USD",CONFIG!$B$5,1)</f>
        <v/>
      </c>
      <c r="R13">
        <f>IF(AND(A13&lt;&gt;"",ISNUMBER(A13),B13&lt;&gt;"",C13&lt;&gt;"",OR(E13="USD",E13="CRC"),F13&gt;0,ISNUMBER(Q13),Q13&gt;0),"✓ OK","✗ ERROR: Revisa datos")</f>
        <v/>
      </c>
    </row>
    <row r="14">
      <c r="A14" s="19" t="n"/>
      <c r="F14" s="20" t="n"/>
      <c r="Q14" s="10">
        <f>IF(E14="USD",CONFIG!$B$5,1)</f>
        <v/>
      </c>
      <c r="R14">
        <f>IF(AND(A14&lt;&gt;"",ISNUMBER(A14),B14&lt;&gt;"",C14&lt;&gt;"",OR(E14="USD",E14="CRC"),F14&gt;0,ISNUMBER(Q14),Q14&gt;0),"✓ OK","✗ ERROR: Revisa datos")</f>
        <v/>
      </c>
    </row>
    <row r="15">
      <c r="A15" s="19" t="n"/>
      <c r="F15" s="20" t="n"/>
      <c r="Q15" s="10">
        <f>IF(E15="USD",CONFIG!$B$5,1)</f>
        <v/>
      </c>
      <c r="R15">
        <f>IF(AND(A15&lt;&gt;"",ISNUMBER(A15),B15&lt;&gt;"",C15&lt;&gt;"",OR(E15="USD",E15="CRC"),F15&gt;0,ISNUMBER(Q15),Q15&gt;0),"✓ OK","✗ ERROR: Revisa datos")</f>
        <v/>
      </c>
    </row>
    <row r="16">
      <c r="A16" s="19" t="n"/>
      <c r="F16" s="20" t="n"/>
      <c r="Q16" s="10">
        <f>IF(E16="USD",CONFIG!$B$5,1)</f>
        <v/>
      </c>
      <c r="R16">
        <f>IF(AND(A16&lt;&gt;"",ISNUMBER(A16),B16&lt;&gt;"",C16&lt;&gt;"",OR(E16="USD",E16="CRC"),F16&gt;0,ISNUMBER(Q16),Q16&gt;0),"✓ OK","✗ ERROR: Revisa datos")</f>
        <v/>
      </c>
    </row>
    <row r="17">
      <c r="A17" s="19" t="n"/>
      <c r="F17" s="20" t="n"/>
      <c r="Q17" s="10">
        <f>IF(E17="USD",CONFIG!$B$5,1)</f>
        <v/>
      </c>
      <c r="R17">
        <f>IF(AND(A17&lt;&gt;"",ISNUMBER(A17),B17&lt;&gt;"",C17&lt;&gt;"",OR(E17="USD",E17="CRC"),F17&gt;0,ISNUMBER(Q17),Q17&gt;0),"✓ OK","✗ ERROR: Revisa datos")</f>
        <v/>
      </c>
    </row>
    <row r="18">
      <c r="A18" s="19" t="n"/>
      <c r="F18" s="20" t="n"/>
      <c r="Q18" s="10">
        <f>IF(E18="USD",CONFIG!$B$5,1)</f>
        <v/>
      </c>
      <c r="R18">
        <f>IF(AND(A18&lt;&gt;"",ISNUMBER(A18),B18&lt;&gt;"",C18&lt;&gt;"",OR(E18="USD",E18="CRC"),F18&gt;0,ISNUMBER(Q18),Q18&gt;0),"✓ OK","✗ ERROR: Revisa datos")</f>
        <v/>
      </c>
    </row>
    <row r="19">
      <c r="A19" s="19" t="n"/>
      <c r="F19" s="20" t="n"/>
      <c r="Q19" s="10">
        <f>IF(E19="USD",CONFIG!$B$5,1)</f>
        <v/>
      </c>
      <c r="R19">
        <f>IF(AND(A19&lt;&gt;"",ISNUMBER(A19),B19&lt;&gt;"",C19&lt;&gt;"",OR(E19="USD",E19="CRC"),F19&gt;0,ISNUMBER(Q19),Q19&gt;0),"✓ OK","✗ ERROR: Revisa datos")</f>
        <v/>
      </c>
    </row>
    <row r="20">
      <c r="A20" s="19" t="n"/>
      <c r="F20" s="20" t="n"/>
      <c r="Q20" s="10">
        <f>IF(E20="USD",CONFIG!$B$5,1)</f>
        <v/>
      </c>
      <c r="R20">
        <f>IF(AND(A20&lt;&gt;"",ISNUMBER(A20),B20&lt;&gt;"",C20&lt;&gt;"",OR(E20="USD",E20="CRC"),F20&gt;0,ISNUMBER(Q20),Q20&gt;0),"✓ OK","✗ ERROR: Revisa datos")</f>
        <v/>
      </c>
    </row>
    <row r="21">
      <c r="A21" s="19" t="n"/>
      <c r="F21" s="20" t="n"/>
      <c r="Q21" s="10">
        <f>IF(E21="USD",CONFIG!$B$5,1)</f>
        <v/>
      </c>
      <c r="R21">
        <f>IF(AND(A21&lt;&gt;"",ISNUMBER(A21),B21&lt;&gt;"",C21&lt;&gt;"",OR(E21="USD",E21="CRC"),F21&gt;0,ISNUMBER(Q21),Q21&gt;0),"✓ OK","✗ ERROR: Revisa datos")</f>
        <v/>
      </c>
    </row>
    <row r="22">
      <c r="A22" s="19" t="n"/>
      <c r="F22" s="20" t="n"/>
      <c r="Q22" s="10">
        <f>IF(E22="USD",CONFIG!$B$5,1)</f>
        <v/>
      </c>
      <c r="R22">
        <f>IF(AND(A22&lt;&gt;"",ISNUMBER(A22),B22&lt;&gt;"",C22&lt;&gt;"",OR(E22="USD",E22="CRC"),F22&gt;0,ISNUMBER(Q22),Q22&gt;0),"✓ OK","✗ ERROR: Revisa datos")</f>
        <v/>
      </c>
    </row>
    <row r="23">
      <c r="A23" s="19" t="n"/>
      <c r="F23" s="20" t="n"/>
      <c r="Q23" s="10">
        <f>IF(E23="USD",CONFIG!$B$5,1)</f>
        <v/>
      </c>
      <c r="R23">
        <f>IF(AND(A23&lt;&gt;"",ISNUMBER(A23),B23&lt;&gt;"",C23&lt;&gt;"",OR(E23="USD",E23="CRC"),F23&gt;0,ISNUMBER(Q23),Q23&gt;0),"✓ OK","✗ ERROR: Revisa datos")</f>
        <v/>
      </c>
    </row>
    <row r="24">
      <c r="A24" s="19" t="n"/>
      <c r="F24" s="20" t="n"/>
      <c r="Q24" s="10">
        <f>IF(E24="USD",CONFIG!$B$5,1)</f>
        <v/>
      </c>
      <c r="R24">
        <f>IF(AND(A24&lt;&gt;"",ISNUMBER(A24),B24&lt;&gt;"",C24&lt;&gt;"",OR(E24="USD",E24="CRC"),F24&gt;0,ISNUMBER(Q24),Q24&gt;0),"✓ OK","✗ ERROR: Revisa datos")</f>
        <v/>
      </c>
    </row>
    <row r="25">
      <c r="A25" s="19" t="n"/>
      <c r="F25" s="20" t="n"/>
      <c r="Q25" s="10">
        <f>IF(E25="USD",CONFIG!$B$5,1)</f>
        <v/>
      </c>
      <c r="R25">
        <f>IF(AND(A25&lt;&gt;"",ISNUMBER(A25),B25&lt;&gt;"",C25&lt;&gt;"",OR(E25="USD",E25="CRC"),F25&gt;0,ISNUMBER(Q25),Q25&gt;0),"✓ OK","✗ ERROR: Revisa datos")</f>
        <v/>
      </c>
    </row>
    <row r="26">
      <c r="A26" s="19" t="n"/>
      <c r="F26" s="20" t="n"/>
      <c r="Q26" s="10">
        <f>IF(E26="USD",CONFIG!$B$5,1)</f>
        <v/>
      </c>
      <c r="R26">
        <f>IF(AND(A26&lt;&gt;"",ISNUMBER(A26),B26&lt;&gt;"",C26&lt;&gt;"",OR(E26="USD",E26="CRC"),F26&gt;0,ISNUMBER(Q26),Q26&gt;0),"✓ OK","✗ ERROR: Revisa datos")</f>
        <v/>
      </c>
    </row>
    <row r="27">
      <c r="A27" s="19" t="n"/>
      <c r="F27" s="20" t="n"/>
      <c r="Q27" s="10">
        <f>IF(E27="USD",CONFIG!$B$5,1)</f>
        <v/>
      </c>
      <c r="R27">
        <f>IF(AND(A27&lt;&gt;"",ISNUMBER(A27),B27&lt;&gt;"",C27&lt;&gt;"",OR(E27="USD",E27="CRC"),F27&gt;0,ISNUMBER(Q27),Q27&gt;0),"✓ OK","✗ ERROR: Revisa datos")</f>
        <v/>
      </c>
    </row>
    <row r="28">
      <c r="A28" s="19" t="n"/>
      <c r="F28" s="20" t="n"/>
      <c r="Q28" s="10">
        <f>IF(E28="USD",CONFIG!$B$5,1)</f>
        <v/>
      </c>
      <c r="R28">
        <f>IF(AND(A28&lt;&gt;"",ISNUMBER(A28),B28&lt;&gt;"",C28&lt;&gt;"",OR(E28="USD",E28="CRC"),F28&gt;0,ISNUMBER(Q28),Q28&gt;0),"✓ OK","✗ ERROR: Revisa datos")</f>
        <v/>
      </c>
    </row>
    <row r="29">
      <c r="A29" s="19" t="n"/>
      <c r="F29" s="20" t="n"/>
      <c r="Q29" s="10">
        <f>IF(E29="USD",CONFIG!$B$5,1)</f>
        <v/>
      </c>
      <c r="R29">
        <f>IF(AND(A29&lt;&gt;"",ISNUMBER(A29),B29&lt;&gt;"",C29&lt;&gt;"",OR(E29="USD",E29="CRC"),F29&gt;0,ISNUMBER(Q29),Q29&gt;0),"✓ OK","✗ ERROR: Revisa datos")</f>
        <v/>
      </c>
    </row>
    <row r="30">
      <c r="A30" s="19" t="n"/>
      <c r="F30" s="20" t="n"/>
      <c r="Q30" s="10">
        <f>IF(E30="USD",CONFIG!$B$5,1)</f>
        <v/>
      </c>
      <c r="R30">
        <f>IF(AND(A30&lt;&gt;"",ISNUMBER(A30),B30&lt;&gt;"",C30&lt;&gt;"",OR(E30="USD",E30="CRC"),F30&gt;0,ISNUMBER(Q30),Q30&gt;0),"✓ OK","✗ ERROR: Revisa datos")</f>
        <v/>
      </c>
    </row>
    <row r="31">
      <c r="A31" s="19" t="n"/>
      <c r="F31" s="20" t="n"/>
      <c r="Q31" s="10">
        <f>IF(E31="USD",CONFIG!$B$5,1)</f>
        <v/>
      </c>
      <c r="R31">
        <f>IF(AND(A31&lt;&gt;"",ISNUMBER(A31),B31&lt;&gt;"",C31&lt;&gt;"",OR(E31="USD",E31="CRC"),F31&gt;0,ISNUMBER(Q31),Q31&gt;0),"✓ OK","✗ ERROR: Revisa datos")</f>
        <v/>
      </c>
    </row>
    <row r="32">
      <c r="A32" s="19" t="n"/>
      <c r="F32" s="20" t="n"/>
      <c r="Q32" s="10">
        <f>IF(E32="USD",CONFIG!$B$5,1)</f>
        <v/>
      </c>
      <c r="R32">
        <f>IF(AND(A32&lt;&gt;"",ISNUMBER(A32),B32&lt;&gt;"",C32&lt;&gt;"",OR(E32="USD",E32="CRC"),F32&gt;0,ISNUMBER(Q32),Q32&gt;0),"✓ OK","✗ ERROR: Revisa datos")</f>
        <v/>
      </c>
    </row>
    <row r="33">
      <c r="A33" s="19" t="n"/>
      <c r="F33" s="20" t="n"/>
      <c r="Q33" s="10">
        <f>IF(E33="USD",CONFIG!$B$5,1)</f>
        <v/>
      </c>
      <c r="R33">
        <f>IF(AND(A33&lt;&gt;"",ISNUMBER(A33),B33&lt;&gt;"",C33&lt;&gt;"",OR(E33="USD",E33="CRC"),F33&gt;0,ISNUMBER(Q33),Q33&gt;0),"✓ OK","✗ ERROR: Revisa datos")</f>
        <v/>
      </c>
    </row>
    <row r="34">
      <c r="A34" s="19" t="n"/>
      <c r="F34" s="20" t="n"/>
      <c r="Q34" s="10">
        <f>IF(E34="USD",CONFIG!$B$5,1)</f>
        <v/>
      </c>
      <c r="R34">
        <f>IF(AND(A34&lt;&gt;"",ISNUMBER(A34),B34&lt;&gt;"",C34&lt;&gt;"",OR(E34="USD",E34="CRC"),F34&gt;0,ISNUMBER(Q34),Q34&gt;0),"✓ OK","✗ ERROR: Revisa datos")</f>
        <v/>
      </c>
    </row>
    <row r="35">
      <c r="A35" s="19" t="n"/>
      <c r="F35" s="20" t="n"/>
      <c r="Q35" s="10">
        <f>IF(E35="USD",CONFIG!$B$5,1)</f>
        <v/>
      </c>
      <c r="R35">
        <f>IF(AND(A35&lt;&gt;"",ISNUMBER(A35),B35&lt;&gt;"",C35&lt;&gt;"",OR(E35="USD",E35="CRC"),F35&gt;0,ISNUMBER(Q35),Q35&gt;0),"✓ OK","✗ ERROR: Revisa datos")</f>
        <v/>
      </c>
    </row>
    <row r="36">
      <c r="A36" s="19" t="n"/>
      <c r="F36" s="20" t="n"/>
      <c r="Q36" s="10">
        <f>IF(E36="USD",CONFIG!$B$5,1)</f>
        <v/>
      </c>
      <c r="R36">
        <f>IF(AND(A36&lt;&gt;"",ISNUMBER(A36),B36&lt;&gt;"",C36&lt;&gt;"",OR(E36="USD",E36="CRC"),F36&gt;0,ISNUMBER(Q36),Q36&gt;0),"✓ OK","✗ ERROR: Revisa datos")</f>
        <v/>
      </c>
    </row>
    <row r="37">
      <c r="A37" s="19" t="n"/>
      <c r="F37" s="20" t="n"/>
      <c r="Q37" s="10">
        <f>IF(E37="USD",CONFIG!$B$5,1)</f>
        <v/>
      </c>
      <c r="R37">
        <f>IF(AND(A37&lt;&gt;"",ISNUMBER(A37),B37&lt;&gt;"",C37&lt;&gt;"",OR(E37="USD",E37="CRC"),F37&gt;0,ISNUMBER(Q37),Q37&gt;0),"✓ OK","✗ ERROR: Revisa datos")</f>
        <v/>
      </c>
    </row>
    <row r="38">
      <c r="A38" s="19" t="n"/>
      <c r="F38" s="20" t="n"/>
      <c r="Q38" s="10">
        <f>IF(E38="USD",CONFIG!$B$5,1)</f>
        <v/>
      </c>
      <c r="R38">
        <f>IF(AND(A38&lt;&gt;"",ISNUMBER(A38),B38&lt;&gt;"",C38&lt;&gt;"",OR(E38="USD",E38="CRC"),F38&gt;0,ISNUMBER(Q38),Q38&gt;0),"✓ OK","✗ ERROR: Revisa datos")</f>
        <v/>
      </c>
    </row>
    <row r="39">
      <c r="A39" s="19" t="n"/>
      <c r="F39" s="20" t="n"/>
      <c r="Q39" s="10">
        <f>IF(E39="USD",CONFIG!$B$5,1)</f>
        <v/>
      </c>
      <c r="R39">
        <f>IF(AND(A39&lt;&gt;"",ISNUMBER(A39),B39&lt;&gt;"",C39&lt;&gt;"",OR(E39="USD",E39="CRC"),F39&gt;0,ISNUMBER(Q39),Q39&gt;0),"✓ OK","✗ ERROR: Revisa datos")</f>
        <v/>
      </c>
    </row>
    <row r="40">
      <c r="A40" s="19" t="n"/>
      <c r="F40" s="20" t="n"/>
      <c r="Q40" s="10">
        <f>IF(E40="USD",CONFIG!$B$5,1)</f>
        <v/>
      </c>
      <c r="R40">
        <f>IF(AND(A40&lt;&gt;"",ISNUMBER(A40),B40&lt;&gt;"",C40&lt;&gt;"",OR(E40="USD",E40="CRC"),F40&gt;0,ISNUMBER(Q40),Q40&gt;0),"✓ OK","✗ ERROR: Revisa datos")</f>
        <v/>
      </c>
    </row>
    <row r="41">
      <c r="A41" s="19" t="n"/>
      <c r="F41" s="20" t="n"/>
      <c r="Q41" s="10">
        <f>IF(E41="USD",CONFIG!$B$5,1)</f>
        <v/>
      </c>
      <c r="R41">
        <f>IF(AND(A41&lt;&gt;"",ISNUMBER(A41),B41&lt;&gt;"",C41&lt;&gt;"",OR(E41="USD",E41="CRC"),F41&gt;0,ISNUMBER(Q41),Q41&gt;0),"✓ OK","✗ ERROR: Revisa datos")</f>
        <v/>
      </c>
    </row>
    <row r="42">
      <c r="A42" s="19" t="n"/>
      <c r="F42" s="20" t="n"/>
      <c r="Q42" s="10">
        <f>IF(E42="USD",CONFIG!$B$5,1)</f>
        <v/>
      </c>
      <c r="R42">
        <f>IF(AND(A42&lt;&gt;"",ISNUMBER(A42),B42&lt;&gt;"",C42&lt;&gt;"",OR(E42="USD",E42="CRC"),F42&gt;0,ISNUMBER(Q42),Q42&gt;0),"✓ OK","✗ ERROR: Revisa datos")</f>
        <v/>
      </c>
    </row>
    <row r="43">
      <c r="A43" s="19" t="n"/>
      <c r="F43" s="20" t="n"/>
      <c r="Q43" s="10">
        <f>IF(E43="USD",CONFIG!$B$5,1)</f>
        <v/>
      </c>
      <c r="R43">
        <f>IF(AND(A43&lt;&gt;"",ISNUMBER(A43),B43&lt;&gt;"",C43&lt;&gt;"",OR(E43="USD",E43="CRC"),F43&gt;0,ISNUMBER(Q43),Q43&gt;0),"✓ OK","✗ ERROR: Revisa datos")</f>
        <v/>
      </c>
    </row>
    <row r="44">
      <c r="A44" s="19" t="n"/>
      <c r="F44" s="20" t="n"/>
      <c r="Q44" s="10">
        <f>IF(E44="USD",CONFIG!$B$5,1)</f>
        <v/>
      </c>
      <c r="R44">
        <f>IF(AND(A44&lt;&gt;"",ISNUMBER(A44),B44&lt;&gt;"",C44&lt;&gt;"",OR(E44="USD",E44="CRC"),F44&gt;0,ISNUMBER(Q44),Q44&gt;0),"✓ OK","✗ ERROR: Revisa datos")</f>
        <v/>
      </c>
    </row>
    <row r="45">
      <c r="A45" s="19" t="n"/>
      <c r="F45" s="20" t="n"/>
      <c r="Q45" s="10">
        <f>IF(E45="USD",CONFIG!$B$5,1)</f>
        <v/>
      </c>
      <c r="R45">
        <f>IF(AND(A45&lt;&gt;"",ISNUMBER(A45),B45&lt;&gt;"",C45&lt;&gt;"",OR(E45="USD",E45="CRC"),F45&gt;0,ISNUMBER(Q45),Q45&gt;0),"✓ OK","✗ ERROR: Revisa datos")</f>
        <v/>
      </c>
    </row>
    <row r="46">
      <c r="A46" s="19" t="n"/>
      <c r="F46" s="20" t="n"/>
      <c r="Q46" s="10">
        <f>IF(E46="USD",CONFIG!$B$5,1)</f>
        <v/>
      </c>
      <c r="R46">
        <f>IF(AND(A46&lt;&gt;"",ISNUMBER(A46),B46&lt;&gt;"",C46&lt;&gt;"",OR(E46="USD",E46="CRC"),F46&gt;0,ISNUMBER(Q46),Q46&gt;0),"✓ OK","✗ ERROR: Revisa datos")</f>
        <v/>
      </c>
    </row>
    <row r="47">
      <c r="A47" s="19" t="n"/>
      <c r="F47" s="20" t="n"/>
      <c r="Q47" s="10">
        <f>IF(E47="USD",CONFIG!$B$5,1)</f>
        <v/>
      </c>
      <c r="R47">
        <f>IF(AND(A47&lt;&gt;"",ISNUMBER(A47),B47&lt;&gt;"",C47&lt;&gt;"",OR(E47="USD",E47="CRC"),F47&gt;0,ISNUMBER(Q47),Q47&gt;0),"✓ OK","✗ ERROR: Revisa datos")</f>
        <v/>
      </c>
    </row>
    <row r="48">
      <c r="A48" s="19" t="n"/>
      <c r="F48" s="20" t="n"/>
      <c r="Q48" s="10">
        <f>IF(E48="USD",CONFIG!$B$5,1)</f>
        <v/>
      </c>
      <c r="R48">
        <f>IF(AND(A48&lt;&gt;"",ISNUMBER(A48),B48&lt;&gt;"",C48&lt;&gt;"",OR(E48="USD",E48="CRC"),F48&gt;0,ISNUMBER(Q48),Q48&gt;0),"✓ OK","✗ ERROR: Revisa datos")</f>
        <v/>
      </c>
    </row>
    <row r="49">
      <c r="A49" s="19" t="n"/>
      <c r="F49" s="20" t="n"/>
      <c r="Q49" s="10">
        <f>IF(E49="USD",CONFIG!$B$5,1)</f>
        <v/>
      </c>
      <c r="R49">
        <f>IF(AND(A49&lt;&gt;"",ISNUMBER(A49),B49&lt;&gt;"",C49&lt;&gt;"",OR(E49="USD",E49="CRC"),F49&gt;0,ISNUMBER(Q49),Q49&gt;0),"✓ OK","✗ ERROR: Revisa datos")</f>
        <v/>
      </c>
    </row>
    <row r="50">
      <c r="A50" s="19" t="n"/>
      <c r="F50" s="20" t="n"/>
      <c r="Q50" s="10">
        <f>IF(E50="USD",CONFIG!$B$5,1)</f>
        <v/>
      </c>
      <c r="R50">
        <f>IF(AND(A50&lt;&gt;"",ISNUMBER(A50),B50&lt;&gt;"",C50&lt;&gt;"",OR(E50="USD",E50="CRC"),F50&gt;0,ISNUMBER(Q50),Q50&gt;0),"✓ OK","✗ ERROR: Revisa datos")</f>
        <v/>
      </c>
    </row>
    <row r="51">
      <c r="A51" s="19" t="n"/>
      <c r="F51" s="20" t="n"/>
      <c r="Q51" s="10">
        <f>IF(E51="USD",CONFIG!$B$5,1)</f>
        <v/>
      </c>
      <c r="R51">
        <f>IF(AND(A51&lt;&gt;"",ISNUMBER(A51),B51&lt;&gt;"",C51&lt;&gt;"",OR(E51="USD",E51="CRC"),F51&gt;0,ISNUMBER(Q51),Q51&gt;0),"✓ OK","✗ ERROR: Revisa datos")</f>
        <v/>
      </c>
    </row>
    <row r="52">
      <c r="A52" s="19" t="n"/>
      <c r="F52" s="20" t="n"/>
      <c r="Q52" s="10">
        <f>IF(E52="USD",CONFIG!$B$5,1)</f>
        <v/>
      </c>
      <c r="R52">
        <f>IF(AND(A52&lt;&gt;"",ISNUMBER(A52),B52&lt;&gt;"",C52&lt;&gt;"",OR(E52="USD",E52="CRC"),F52&gt;0,ISNUMBER(Q52),Q52&gt;0),"✓ OK","✗ ERROR: Revisa datos")</f>
        <v/>
      </c>
    </row>
    <row r="53">
      <c r="A53" s="19" t="n"/>
      <c r="F53" s="20" t="n"/>
      <c r="Q53" s="10">
        <f>IF(E53="USD",CONFIG!$B$5,1)</f>
        <v/>
      </c>
      <c r="R53">
        <f>IF(AND(A53&lt;&gt;"",ISNUMBER(A53),B53&lt;&gt;"",C53&lt;&gt;"",OR(E53="USD",E53="CRC"),F53&gt;0,ISNUMBER(Q53),Q53&gt;0),"✓ OK","✗ ERROR: Revisa datos")</f>
        <v/>
      </c>
    </row>
    <row r="54">
      <c r="A54" s="19" t="n"/>
      <c r="F54" s="20" t="n"/>
      <c r="Q54" s="10">
        <f>IF(E54="USD",CONFIG!$B$5,1)</f>
        <v/>
      </c>
      <c r="R54">
        <f>IF(AND(A54&lt;&gt;"",ISNUMBER(A54),B54&lt;&gt;"",C54&lt;&gt;"",OR(E54="USD",E54="CRC"),F54&gt;0,ISNUMBER(Q54),Q54&gt;0),"✓ OK","✗ ERROR: Revisa datos")</f>
        <v/>
      </c>
    </row>
    <row r="55">
      <c r="A55" s="19" t="n"/>
      <c r="F55" s="20" t="n"/>
      <c r="Q55" s="10">
        <f>IF(E55="USD",CONFIG!$B$5,1)</f>
        <v/>
      </c>
      <c r="R55">
        <f>IF(AND(A55&lt;&gt;"",ISNUMBER(A55),B55&lt;&gt;"",C55&lt;&gt;"",OR(E55="USD",E55="CRC"),F55&gt;0,ISNUMBER(Q55),Q55&gt;0),"✓ OK","✗ ERROR: Revisa datos")</f>
        <v/>
      </c>
    </row>
    <row r="56">
      <c r="A56" s="19" t="n"/>
      <c r="F56" s="20" t="n"/>
      <c r="Q56" s="10">
        <f>IF(E56="USD",CONFIG!$B$5,1)</f>
        <v/>
      </c>
      <c r="R56">
        <f>IF(AND(A56&lt;&gt;"",ISNUMBER(A56),B56&lt;&gt;"",C56&lt;&gt;"",OR(E56="USD",E56="CRC"),F56&gt;0,ISNUMBER(Q56),Q56&gt;0),"✓ OK","✗ ERROR: Revisa datos")</f>
        <v/>
      </c>
    </row>
    <row r="57">
      <c r="A57" s="19" t="n"/>
      <c r="F57" s="20" t="n"/>
      <c r="Q57" s="10">
        <f>IF(E57="USD",CONFIG!$B$5,1)</f>
        <v/>
      </c>
      <c r="R57">
        <f>IF(AND(A57&lt;&gt;"",ISNUMBER(A57),B57&lt;&gt;"",C57&lt;&gt;"",OR(E57="USD",E57="CRC"),F57&gt;0,ISNUMBER(Q57),Q57&gt;0),"✓ OK","✗ ERROR: Revisa datos")</f>
        <v/>
      </c>
    </row>
    <row r="58">
      <c r="A58" s="19" t="n"/>
      <c r="F58" s="20" t="n"/>
      <c r="Q58" s="10">
        <f>IF(E58="USD",CONFIG!$B$5,1)</f>
        <v/>
      </c>
      <c r="R58">
        <f>IF(AND(A58&lt;&gt;"",ISNUMBER(A58),B58&lt;&gt;"",C58&lt;&gt;"",OR(E58="USD",E58="CRC"),F58&gt;0,ISNUMBER(Q58),Q58&gt;0),"✓ OK","✗ ERROR: Revisa datos")</f>
        <v/>
      </c>
    </row>
    <row r="59">
      <c r="A59" s="19" t="n"/>
      <c r="F59" s="20" t="n"/>
      <c r="Q59" s="10">
        <f>IF(E59="USD",CONFIG!$B$5,1)</f>
        <v/>
      </c>
      <c r="R59">
        <f>IF(AND(A59&lt;&gt;"",ISNUMBER(A59),B59&lt;&gt;"",C59&lt;&gt;"",OR(E59="USD",E59="CRC"),F59&gt;0,ISNUMBER(Q59),Q59&gt;0),"✓ OK","✗ ERROR: Revisa datos")</f>
        <v/>
      </c>
    </row>
    <row r="60">
      <c r="A60" s="19" t="n"/>
      <c r="F60" s="20" t="n"/>
      <c r="Q60" s="10">
        <f>IF(E60="USD",CONFIG!$B$5,1)</f>
        <v/>
      </c>
      <c r="R60">
        <f>IF(AND(A60&lt;&gt;"",ISNUMBER(A60),B60&lt;&gt;"",C60&lt;&gt;"",OR(E60="USD",E60="CRC"),F60&gt;0,ISNUMBER(Q60),Q60&gt;0),"✓ OK","✗ ERROR: Revisa datos")</f>
        <v/>
      </c>
    </row>
    <row r="61">
      <c r="A61" s="19" t="n"/>
      <c r="F61" s="20" t="n"/>
      <c r="Q61" s="10">
        <f>IF(E61="USD",CONFIG!$B$5,1)</f>
        <v/>
      </c>
      <c r="R61">
        <f>IF(AND(A61&lt;&gt;"",ISNUMBER(A61),B61&lt;&gt;"",C61&lt;&gt;"",OR(E61="USD",E61="CRC"),F61&gt;0,ISNUMBER(Q61),Q61&gt;0),"✓ OK","✗ ERROR: Revisa datos")</f>
        <v/>
      </c>
    </row>
    <row r="62">
      <c r="A62" s="19" t="n"/>
      <c r="F62" s="20" t="n"/>
      <c r="Q62" s="10">
        <f>IF(E62="USD",CONFIG!$B$5,1)</f>
        <v/>
      </c>
      <c r="R62">
        <f>IF(AND(A62&lt;&gt;"",ISNUMBER(A62),B62&lt;&gt;"",C62&lt;&gt;"",OR(E62="USD",E62="CRC"),F62&gt;0,ISNUMBER(Q62),Q62&gt;0),"✓ OK","✗ ERROR: Revisa datos")</f>
        <v/>
      </c>
    </row>
    <row r="63">
      <c r="A63" s="19" t="n"/>
      <c r="F63" s="20" t="n"/>
      <c r="Q63" s="10">
        <f>IF(E63="USD",CONFIG!$B$5,1)</f>
        <v/>
      </c>
      <c r="R63">
        <f>IF(AND(A63&lt;&gt;"",ISNUMBER(A63),B63&lt;&gt;"",C63&lt;&gt;"",OR(E63="USD",E63="CRC"),F63&gt;0,ISNUMBER(Q63),Q63&gt;0),"✓ OK","✗ ERROR: Revisa datos")</f>
        <v/>
      </c>
    </row>
    <row r="64">
      <c r="A64" s="19" t="n"/>
      <c r="F64" s="20" t="n"/>
      <c r="Q64" s="10">
        <f>IF(E64="USD",CONFIG!$B$5,1)</f>
        <v/>
      </c>
      <c r="R64">
        <f>IF(AND(A64&lt;&gt;"",ISNUMBER(A64),B64&lt;&gt;"",C64&lt;&gt;"",OR(E64="USD",E64="CRC"),F64&gt;0,ISNUMBER(Q64),Q64&gt;0),"✓ OK","✗ ERROR: Revisa datos")</f>
        <v/>
      </c>
    </row>
    <row r="65">
      <c r="A65" s="19" t="n"/>
      <c r="F65" s="20" t="n"/>
      <c r="Q65" s="10">
        <f>IF(E65="USD",CONFIG!$B$5,1)</f>
        <v/>
      </c>
      <c r="R65">
        <f>IF(AND(A65&lt;&gt;"",ISNUMBER(A65),B65&lt;&gt;"",C65&lt;&gt;"",OR(E65="USD",E65="CRC"),F65&gt;0,ISNUMBER(Q65),Q65&gt;0),"✓ OK","✗ ERROR: Revisa datos")</f>
        <v/>
      </c>
    </row>
    <row r="66">
      <c r="A66" s="19" t="n"/>
      <c r="F66" s="20" t="n"/>
      <c r="Q66" s="10">
        <f>IF(E66="USD",CONFIG!$B$5,1)</f>
        <v/>
      </c>
      <c r="R66">
        <f>IF(AND(A66&lt;&gt;"",ISNUMBER(A66),B66&lt;&gt;"",C66&lt;&gt;"",OR(E66="USD",E66="CRC"),F66&gt;0,ISNUMBER(Q66),Q66&gt;0),"✓ OK","✗ ERROR: Revisa datos")</f>
        <v/>
      </c>
    </row>
    <row r="67">
      <c r="A67" s="19" t="n"/>
      <c r="F67" s="20" t="n"/>
      <c r="Q67" s="10">
        <f>IF(E67="USD",CONFIG!$B$5,1)</f>
        <v/>
      </c>
      <c r="R67">
        <f>IF(AND(A67&lt;&gt;"",ISNUMBER(A67),B67&lt;&gt;"",C67&lt;&gt;"",OR(E67="USD",E67="CRC"),F67&gt;0,ISNUMBER(Q67),Q67&gt;0),"✓ OK","✗ ERROR: Revisa datos")</f>
        <v/>
      </c>
    </row>
    <row r="68">
      <c r="A68" s="19" t="n"/>
      <c r="F68" s="20" t="n"/>
      <c r="Q68" s="10">
        <f>IF(E68="USD",CONFIG!$B$5,1)</f>
        <v/>
      </c>
      <c r="R68">
        <f>IF(AND(A68&lt;&gt;"",ISNUMBER(A68),B68&lt;&gt;"",C68&lt;&gt;"",OR(E68="USD",E68="CRC"),F68&gt;0,ISNUMBER(Q68),Q68&gt;0),"✓ OK","✗ ERROR: Revisa datos")</f>
        <v/>
      </c>
    </row>
    <row r="69">
      <c r="A69" s="19" t="n"/>
      <c r="F69" s="20" t="n"/>
      <c r="Q69" s="10">
        <f>IF(E69="USD",CONFIG!$B$5,1)</f>
        <v/>
      </c>
      <c r="R69">
        <f>IF(AND(A69&lt;&gt;"",ISNUMBER(A69),B69&lt;&gt;"",C69&lt;&gt;"",OR(E69="USD",E69="CRC"),F69&gt;0,ISNUMBER(Q69),Q69&gt;0),"✓ OK","✗ ERROR: Revisa datos")</f>
        <v/>
      </c>
    </row>
    <row r="70">
      <c r="A70" s="19" t="n"/>
      <c r="F70" s="20" t="n"/>
      <c r="Q70" s="10">
        <f>IF(E70="USD",CONFIG!$B$5,1)</f>
        <v/>
      </c>
      <c r="R70">
        <f>IF(AND(A70&lt;&gt;"",ISNUMBER(A70),B70&lt;&gt;"",C70&lt;&gt;"",OR(E70="USD",E70="CRC"),F70&gt;0,ISNUMBER(Q70),Q70&gt;0),"✓ OK","✗ ERROR: Revisa datos")</f>
        <v/>
      </c>
    </row>
    <row r="71">
      <c r="A71" s="19" t="n"/>
      <c r="F71" s="20" t="n"/>
      <c r="Q71" s="10">
        <f>IF(E71="USD",CONFIG!$B$5,1)</f>
        <v/>
      </c>
      <c r="R71">
        <f>IF(AND(A71&lt;&gt;"",ISNUMBER(A71),B71&lt;&gt;"",C71&lt;&gt;"",OR(E71="USD",E71="CRC"),F71&gt;0,ISNUMBER(Q71),Q71&gt;0),"✓ OK","✗ ERROR: Revisa datos")</f>
        <v/>
      </c>
    </row>
    <row r="72">
      <c r="A72" s="19" t="n"/>
      <c r="F72" s="20" t="n"/>
      <c r="Q72" s="10">
        <f>IF(E72="USD",CONFIG!$B$5,1)</f>
        <v/>
      </c>
      <c r="R72">
        <f>IF(AND(A72&lt;&gt;"",ISNUMBER(A72),B72&lt;&gt;"",C72&lt;&gt;"",OR(E72="USD",E72="CRC"),F72&gt;0,ISNUMBER(Q72),Q72&gt;0),"✓ OK","✗ ERROR: Revisa datos")</f>
        <v/>
      </c>
    </row>
    <row r="73">
      <c r="A73" s="19" t="n"/>
      <c r="F73" s="20" t="n"/>
      <c r="Q73" s="10">
        <f>IF(E73="USD",CONFIG!$B$5,1)</f>
        <v/>
      </c>
      <c r="R73">
        <f>IF(AND(A73&lt;&gt;"",ISNUMBER(A73),B73&lt;&gt;"",C73&lt;&gt;"",OR(E73="USD",E73="CRC"),F73&gt;0,ISNUMBER(Q73),Q73&gt;0),"✓ OK","✗ ERROR: Revisa datos")</f>
        <v/>
      </c>
    </row>
    <row r="74">
      <c r="A74" s="19" t="n"/>
      <c r="F74" s="20" t="n"/>
      <c r="Q74" s="10">
        <f>IF(E74="USD",CONFIG!$B$5,1)</f>
        <v/>
      </c>
      <c r="R74">
        <f>IF(AND(A74&lt;&gt;"",ISNUMBER(A74),B74&lt;&gt;"",C74&lt;&gt;"",OR(E74="USD",E74="CRC"),F74&gt;0,ISNUMBER(Q74),Q74&gt;0),"✓ OK","✗ ERROR: Revisa datos")</f>
        <v/>
      </c>
    </row>
    <row r="75">
      <c r="A75" s="19" t="n"/>
      <c r="F75" s="20" t="n"/>
      <c r="Q75" s="10">
        <f>IF(E75="USD",CONFIG!$B$5,1)</f>
        <v/>
      </c>
      <c r="R75">
        <f>IF(AND(A75&lt;&gt;"",ISNUMBER(A75),B75&lt;&gt;"",C75&lt;&gt;"",OR(E75="USD",E75="CRC"),F75&gt;0,ISNUMBER(Q75),Q75&gt;0),"✓ OK","✗ ERROR: Revisa datos")</f>
        <v/>
      </c>
    </row>
    <row r="76">
      <c r="A76" s="19" t="n"/>
      <c r="F76" s="20" t="n"/>
      <c r="Q76" s="10">
        <f>IF(E76="USD",CONFIG!$B$5,1)</f>
        <v/>
      </c>
      <c r="R76">
        <f>IF(AND(A76&lt;&gt;"",ISNUMBER(A76),B76&lt;&gt;"",C76&lt;&gt;"",OR(E76="USD",E76="CRC"),F76&gt;0,ISNUMBER(Q76),Q76&gt;0),"✓ OK","✗ ERROR: Revisa datos")</f>
        <v/>
      </c>
    </row>
    <row r="77">
      <c r="A77" s="19" t="n"/>
      <c r="F77" s="20" t="n"/>
      <c r="Q77" s="10">
        <f>IF(E77="USD",CONFIG!$B$5,1)</f>
        <v/>
      </c>
      <c r="R77">
        <f>IF(AND(A77&lt;&gt;"",ISNUMBER(A77),B77&lt;&gt;"",C77&lt;&gt;"",OR(E77="USD",E77="CRC"),F77&gt;0,ISNUMBER(Q77),Q77&gt;0),"✓ OK","✗ ERROR: Revisa datos")</f>
        <v/>
      </c>
    </row>
    <row r="78">
      <c r="A78" s="19" t="n"/>
      <c r="F78" s="20" t="n"/>
      <c r="Q78" s="10">
        <f>IF(E78="USD",CONFIG!$B$5,1)</f>
        <v/>
      </c>
      <c r="R78">
        <f>IF(AND(A78&lt;&gt;"",ISNUMBER(A78),B78&lt;&gt;"",C78&lt;&gt;"",OR(E78="USD",E78="CRC"),F78&gt;0,ISNUMBER(Q78),Q78&gt;0),"✓ OK","✗ ERROR: Revisa datos")</f>
        <v/>
      </c>
    </row>
    <row r="79">
      <c r="A79" s="19" t="n"/>
      <c r="F79" s="20" t="n"/>
      <c r="Q79" s="10">
        <f>IF(E79="USD",CONFIG!$B$5,1)</f>
        <v/>
      </c>
      <c r="R79">
        <f>IF(AND(A79&lt;&gt;"",ISNUMBER(A79),B79&lt;&gt;"",C79&lt;&gt;"",OR(E79="USD",E79="CRC"),F79&gt;0,ISNUMBER(Q79),Q79&gt;0),"✓ OK","✗ ERROR: Revisa datos")</f>
        <v/>
      </c>
    </row>
    <row r="80">
      <c r="A80" s="19" t="n"/>
      <c r="F80" s="20" t="n"/>
      <c r="Q80" s="10">
        <f>IF(E80="USD",CONFIG!$B$5,1)</f>
        <v/>
      </c>
      <c r="R80">
        <f>IF(AND(A80&lt;&gt;"",ISNUMBER(A80),B80&lt;&gt;"",C80&lt;&gt;"",OR(E80="USD",E80="CRC"),F80&gt;0,ISNUMBER(Q80),Q80&gt;0),"✓ OK","✗ ERROR: Revisa datos")</f>
        <v/>
      </c>
    </row>
    <row r="81">
      <c r="A81" s="19" t="n"/>
      <c r="F81" s="20" t="n"/>
      <c r="Q81" s="10">
        <f>IF(E81="USD",CONFIG!$B$5,1)</f>
        <v/>
      </c>
      <c r="R81">
        <f>IF(AND(A81&lt;&gt;"",ISNUMBER(A81),B81&lt;&gt;"",C81&lt;&gt;"",OR(E81="USD",E81="CRC"),F81&gt;0,ISNUMBER(Q81),Q81&gt;0),"✓ OK","✗ ERROR: Revisa datos")</f>
        <v/>
      </c>
    </row>
    <row r="82">
      <c r="A82" s="19" t="n"/>
      <c r="F82" s="20" t="n"/>
      <c r="Q82" s="10">
        <f>IF(E82="USD",CONFIG!$B$5,1)</f>
        <v/>
      </c>
      <c r="R82">
        <f>IF(AND(A82&lt;&gt;"",ISNUMBER(A82),B82&lt;&gt;"",C82&lt;&gt;"",OR(E82="USD",E82="CRC"),F82&gt;0,ISNUMBER(Q82),Q82&gt;0),"✓ OK","✗ ERROR: Revisa datos")</f>
        <v/>
      </c>
    </row>
    <row r="83">
      <c r="A83" s="19" t="n"/>
      <c r="F83" s="20" t="n"/>
      <c r="Q83" s="10">
        <f>IF(E83="USD",CONFIG!$B$5,1)</f>
        <v/>
      </c>
      <c r="R83">
        <f>IF(AND(A83&lt;&gt;"",ISNUMBER(A83),B83&lt;&gt;"",C83&lt;&gt;"",OR(E83="USD",E83="CRC"),F83&gt;0,ISNUMBER(Q83),Q83&gt;0),"✓ OK","✗ ERROR: Revisa datos")</f>
        <v/>
      </c>
    </row>
    <row r="84">
      <c r="A84" s="19" t="n"/>
      <c r="F84" s="20" t="n"/>
      <c r="Q84" s="10">
        <f>IF(E84="USD",CONFIG!$B$5,1)</f>
        <v/>
      </c>
      <c r="R84">
        <f>IF(AND(A84&lt;&gt;"",ISNUMBER(A84),B84&lt;&gt;"",C84&lt;&gt;"",OR(E84="USD",E84="CRC"),F84&gt;0,ISNUMBER(Q84),Q84&gt;0),"✓ OK","✗ ERROR: Revisa datos")</f>
        <v/>
      </c>
    </row>
    <row r="85">
      <c r="A85" s="19" t="n"/>
      <c r="F85" s="20" t="n"/>
      <c r="Q85" s="10">
        <f>IF(E85="USD",CONFIG!$B$5,1)</f>
        <v/>
      </c>
      <c r="R85">
        <f>IF(AND(A85&lt;&gt;"",ISNUMBER(A85),B85&lt;&gt;"",C85&lt;&gt;"",OR(E85="USD",E85="CRC"),F85&gt;0,ISNUMBER(Q85),Q85&gt;0),"✓ OK","✗ ERROR: Revisa datos")</f>
        <v/>
      </c>
    </row>
    <row r="86">
      <c r="A86" s="19" t="n"/>
      <c r="F86" s="20" t="n"/>
      <c r="Q86" s="10">
        <f>IF(E86="USD",CONFIG!$B$5,1)</f>
        <v/>
      </c>
      <c r="R86">
        <f>IF(AND(A86&lt;&gt;"",ISNUMBER(A86),B86&lt;&gt;"",C86&lt;&gt;"",OR(E86="USD",E86="CRC"),F86&gt;0,ISNUMBER(Q86),Q86&gt;0),"✓ OK","✗ ERROR: Revisa datos")</f>
        <v/>
      </c>
    </row>
    <row r="87">
      <c r="A87" s="19" t="n"/>
      <c r="F87" s="20" t="n"/>
      <c r="Q87" s="10">
        <f>IF(E87="USD",CONFIG!$B$5,1)</f>
        <v/>
      </c>
      <c r="R87">
        <f>IF(AND(A87&lt;&gt;"",ISNUMBER(A87),B87&lt;&gt;"",C87&lt;&gt;"",OR(E87="USD",E87="CRC"),F87&gt;0,ISNUMBER(Q87),Q87&gt;0),"✓ OK","✗ ERROR: Revisa datos")</f>
        <v/>
      </c>
    </row>
    <row r="88">
      <c r="A88" s="19" t="n"/>
      <c r="F88" s="20" t="n"/>
      <c r="Q88" s="10">
        <f>IF(E88="USD",CONFIG!$B$5,1)</f>
        <v/>
      </c>
      <c r="R88">
        <f>IF(AND(A88&lt;&gt;"",ISNUMBER(A88),B88&lt;&gt;"",C88&lt;&gt;"",OR(E88="USD",E88="CRC"),F88&gt;0,ISNUMBER(Q88),Q88&gt;0),"✓ OK","✗ ERROR: Revisa datos")</f>
        <v/>
      </c>
    </row>
    <row r="89">
      <c r="A89" s="19" t="n"/>
      <c r="F89" s="20" t="n"/>
      <c r="Q89" s="10">
        <f>IF(E89="USD",CONFIG!$B$5,1)</f>
        <v/>
      </c>
      <c r="R89">
        <f>IF(AND(A89&lt;&gt;"",ISNUMBER(A89),B89&lt;&gt;"",C89&lt;&gt;"",OR(E89="USD",E89="CRC"),F89&gt;0,ISNUMBER(Q89),Q89&gt;0),"✓ OK","✗ ERROR: Revisa datos")</f>
        <v/>
      </c>
    </row>
    <row r="90">
      <c r="A90" s="19" t="n"/>
      <c r="F90" s="20" t="n"/>
      <c r="Q90" s="10">
        <f>IF(E90="USD",CONFIG!$B$5,1)</f>
        <v/>
      </c>
      <c r="R90">
        <f>IF(AND(A90&lt;&gt;"",ISNUMBER(A90),B90&lt;&gt;"",C90&lt;&gt;"",OR(E90="USD",E90="CRC"),F90&gt;0,ISNUMBER(Q90),Q90&gt;0),"✓ OK","✗ ERROR: Revisa datos")</f>
        <v/>
      </c>
    </row>
    <row r="91">
      <c r="A91" s="19" t="n"/>
      <c r="F91" s="20" t="n"/>
      <c r="Q91" s="10">
        <f>IF(E91="USD",CONFIG!$B$5,1)</f>
        <v/>
      </c>
      <c r="R91">
        <f>IF(AND(A91&lt;&gt;"",ISNUMBER(A91),B91&lt;&gt;"",C91&lt;&gt;"",OR(E91="USD",E91="CRC"),F91&gt;0,ISNUMBER(Q91),Q91&gt;0),"✓ OK","✗ ERROR: Revisa datos")</f>
        <v/>
      </c>
    </row>
    <row r="92">
      <c r="A92" s="19" t="n"/>
      <c r="F92" s="20" t="n"/>
      <c r="Q92" s="10">
        <f>IF(E92="USD",CONFIG!$B$5,1)</f>
        <v/>
      </c>
      <c r="R92">
        <f>IF(AND(A92&lt;&gt;"",ISNUMBER(A92),B92&lt;&gt;"",C92&lt;&gt;"",OR(E92="USD",E92="CRC"),F92&gt;0,ISNUMBER(Q92),Q92&gt;0),"✓ OK","✗ ERROR: Revisa datos")</f>
        <v/>
      </c>
    </row>
    <row r="93">
      <c r="A93" s="19" t="n"/>
      <c r="F93" s="20" t="n"/>
      <c r="Q93" s="10">
        <f>IF(E93="USD",CONFIG!$B$5,1)</f>
        <v/>
      </c>
      <c r="R93">
        <f>IF(AND(A93&lt;&gt;"",ISNUMBER(A93),B93&lt;&gt;"",C93&lt;&gt;"",OR(E93="USD",E93="CRC"),F93&gt;0,ISNUMBER(Q93),Q93&gt;0),"✓ OK","✗ ERROR: Revisa datos")</f>
        <v/>
      </c>
    </row>
    <row r="94">
      <c r="A94" s="19" t="n"/>
      <c r="F94" s="20" t="n"/>
      <c r="Q94" s="10">
        <f>IF(E94="USD",CONFIG!$B$5,1)</f>
        <v/>
      </c>
      <c r="R94">
        <f>IF(AND(A94&lt;&gt;"",ISNUMBER(A94),B94&lt;&gt;"",C94&lt;&gt;"",OR(E94="USD",E94="CRC"),F94&gt;0,ISNUMBER(Q94),Q94&gt;0),"✓ OK","✗ ERROR: Revisa datos")</f>
        <v/>
      </c>
    </row>
    <row r="95">
      <c r="A95" s="19" t="n"/>
      <c r="F95" s="20" t="n"/>
      <c r="Q95" s="10">
        <f>IF(E95="USD",CONFIG!$B$5,1)</f>
        <v/>
      </c>
      <c r="R95">
        <f>IF(AND(A95&lt;&gt;"",ISNUMBER(A95),B95&lt;&gt;"",C95&lt;&gt;"",OR(E95="USD",E95="CRC"),F95&gt;0,ISNUMBER(Q95),Q95&gt;0),"✓ OK","✗ ERROR: Revisa datos")</f>
        <v/>
      </c>
    </row>
    <row r="96">
      <c r="A96" s="19" t="n"/>
      <c r="F96" s="20" t="n"/>
      <c r="Q96" s="10">
        <f>IF(E96="USD",CONFIG!$B$5,1)</f>
        <v/>
      </c>
      <c r="R96">
        <f>IF(AND(A96&lt;&gt;"",ISNUMBER(A96),B96&lt;&gt;"",C96&lt;&gt;"",OR(E96="USD",E96="CRC"),F96&gt;0,ISNUMBER(Q96),Q96&gt;0),"✓ OK","✗ ERROR: Revisa datos")</f>
        <v/>
      </c>
    </row>
    <row r="97">
      <c r="A97" s="19" t="n"/>
      <c r="F97" s="20" t="n"/>
      <c r="Q97" s="10">
        <f>IF(E97="USD",CONFIG!$B$5,1)</f>
        <v/>
      </c>
      <c r="R97">
        <f>IF(AND(A97&lt;&gt;"",ISNUMBER(A97),B97&lt;&gt;"",C97&lt;&gt;"",OR(E97="USD",E97="CRC"),F97&gt;0,ISNUMBER(Q97),Q97&gt;0),"✓ OK","✗ ERROR: Revisa datos")</f>
        <v/>
      </c>
    </row>
    <row r="98">
      <c r="A98" s="19" t="n"/>
      <c r="F98" s="20" t="n"/>
      <c r="Q98" s="10">
        <f>IF(E98="USD",CONFIG!$B$5,1)</f>
        <v/>
      </c>
      <c r="R98">
        <f>IF(AND(A98&lt;&gt;"",ISNUMBER(A98),B98&lt;&gt;"",C98&lt;&gt;"",OR(E98="USD",E98="CRC"),F98&gt;0,ISNUMBER(Q98),Q98&gt;0),"✓ OK","✗ ERROR: Revisa datos")</f>
        <v/>
      </c>
    </row>
    <row r="99">
      <c r="A99" s="19" t="n"/>
      <c r="F99" s="20" t="n"/>
      <c r="Q99" s="10">
        <f>IF(E99="USD",CONFIG!$B$5,1)</f>
        <v/>
      </c>
      <c r="R99">
        <f>IF(AND(A99&lt;&gt;"",ISNUMBER(A99),B99&lt;&gt;"",C99&lt;&gt;"",OR(E99="USD",E99="CRC"),F99&gt;0,ISNUMBER(Q99),Q99&gt;0),"✓ OK","✗ ERROR: Revisa datos")</f>
        <v/>
      </c>
    </row>
    <row r="100">
      <c r="A100" s="19" t="n"/>
      <c r="F100" s="20" t="n"/>
      <c r="Q100" s="10">
        <f>IF(E100="USD",CONFIG!$B$5,1)</f>
        <v/>
      </c>
      <c r="R100">
        <f>IF(AND(A100&lt;&gt;"",ISNUMBER(A100),B100&lt;&gt;"",C100&lt;&gt;"",OR(E100="USD",E100="CRC"),F100&gt;0,ISNUMBER(Q100),Q100&gt;0),"✓ OK","✗ ERROR: Revisa datos")</f>
        <v/>
      </c>
    </row>
    <row r="101">
      <c r="A101" s="19" t="n"/>
      <c r="F101" s="20" t="n"/>
      <c r="Q101" s="10">
        <f>IF(E101="USD",CONFIG!$B$5,1)</f>
        <v/>
      </c>
      <c r="R101">
        <f>IF(AND(A101&lt;&gt;"",ISNUMBER(A101),B101&lt;&gt;"",C101&lt;&gt;"",OR(E101="USD",E101="CRC"),F101&gt;0,ISNUMBER(Q101),Q101&gt;0),"✓ OK","✗ ERROR: Revisa datos")</f>
        <v/>
      </c>
    </row>
    <row r="102">
      <c r="A102" s="19" t="n"/>
      <c r="F102" s="20" t="n"/>
      <c r="Q102" s="10">
        <f>IF(E102="USD",CONFIG!$B$5,1)</f>
        <v/>
      </c>
      <c r="R102">
        <f>IF(AND(A102&lt;&gt;"",ISNUMBER(A102),B102&lt;&gt;"",C102&lt;&gt;"",OR(E102="USD",E102="CRC"),F102&gt;0,ISNUMBER(Q102),Q102&gt;0),"✓ OK","✗ ERROR: Revisa datos")</f>
        <v/>
      </c>
    </row>
    <row r="103">
      <c r="A103" s="19" t="n"/>
      <c r="F103" s="20" t="n"/>
      <c r="Q103" s="10">
        <f>IF(E103="USD",CONFIG!$B$5,1)</f>
        <v/>
      </c>
      <c r="R103">
        <f>IF(AND(A103&lt;&gt;"",ISNUMBER(A103),B103&lt;&gt;"",C103&lt;&gt;"",OR(E103="USD",E103="CRC"),F103&gt;0,ISNUMBER(Q103),Q103&gt;0),"✓ OK","✗ ERROR: Revisa datos")</f>
        <v/>
      </c>
    </row>
    <row r="104">
      <c r="A104" s="19" t="n"/>
      <c r="F104" s="20" t="n"/>
      <c r="Q104" s="10">
        <f>IF(E104="USD",CONFIG!$B$5,1)</f>
        <v/>
      </c>
      <c r="R104">
        <f>IF(AND(A104&lt;&gt;"",ISNUMBER(A104),B104&lt;&gt;"",C104&lt;&gt;"",OR(E104="USD",E104="CRC"),F104&gt;0,ISNUMBER(Q104),Q104&gt;0),"✓ OK","✗ ERROR: Revisa datos")</f>
        <v/>
      </c>
    </row>
    <row r="105">
      <c r="A105" s="19" t="n"/>
      <c r="F105" s="20" t="n"/>
      <c r="Q105" s="10">
        <f>IF(E105="USD",CONFIG!$B$5,1)</f>
        <v/>
      </c>
      <c r="R105">
        <f>IF(AND(A105&lt;&gt;"",ISNUMBER(A105),B105&lt;&gt;"",C105&lt;&gt;"",OR(E105="USD",E105="CRC"),F105&gt;0,ISNUMBER(Q105),Q105&gt;0),"✓ OK","✗ ERROR: Revisa datos")</f>
        <v/>
      </c>
    </row>
    <row r="106">
      <c r="A106" s="19" t="n"/>
      <c r="F106" s="20" t="n"/>
      <c r="Q106" s="10">
        <f>IF(E106="USD",CONFIG!$B$5,1)</f>
        <v/>
      </c>
      <c r="R106">
        <f>IF(AND(A106&lt;&gt;"",ISNUMBER(A106),B106&lt;&gt;"",C106&lt;&gt;"",OR(E106="USD",E106="CRC"),F106&gt;0,ISNUMBER(Q106),Q106&gt;0),"✓ OK","✗ ERROR: Revisa datos")</f>
        <v/>
      </c>
    </row>
    <row r="107">
      <c r="A107" s="19" t="n"/>
      <c r="F107" s="20" t="n"/>
      <c r="Q107" s="10">
        <f>IF(E107="USD",CONFIG!$B$5,1)</f>
        <v/>
      </c>
      <c r="R107">
        <f>IF(AND(A107&lt;&gt;"",ISNUMBER(A107),B107&lt;&gt;"",C107&lt;&gt;"",OR(E107="USD",E107="CRC"),F107&gt;0,ISNUMBER(Q107),Q107&gt;0),"✓ OK","✗ ERROR: Revisa datos")</f>
        <v/>
      </c>
    </row>
    <row r="108">
      <c r="A108" s="19" t="n"/>
      <c r="F108" s="20" t="n"/>
      <c r="Q108" s="10">
        <f>IF(E108="USD",CONFIG!$B$5,1)</f>
        <v/>
      </c>
      <c r="R108">
        <f>IF(AND(A108&lt;&gt;"",ISNUMBER(A108),B108&lt;&gt;"",C108&lt;&gt;"",OR(E108="USD",E108="CRC"),F108&gt;0,ISNUMBER(Q108),Q108&gt;0),"✓ OK","✗ ERROR: Revisa datos")</f>
        <v/>
      </c>
    </row>
    <row r="109">
      <c r="A109" s="19" t="n"/>
      <c r="F109" s="20" t="n"/>
      <c r="Q109" s="10">
        <f>IF(E109="USD",CONFIG!$B$5,1)</f>
        <v/>
      </c>
      <c r="R109">
        <f>IF(AND(A109&lt;&gt;"",ISNUMBER(A109),B109&lt;&gt;"",C109&lt;&gt;"",OR(E109="USD",E109="CRC"),F109&gt;0,ISNUMBER(Q109),Q109&gt;0),"✓ OK","✗ ERROR: Revisa datos")</f>
        <v/>
      </c>
    </row>
    <row r="110">
      <c r="A110" s="19" t="n"/>
      <c r="F110" s="20" t="n"/>
      <c r="Q110" s="10">
        <f>IF(E110="USD",CONFIG!$B$5,1)</f>
        <v/>
      </c>
      <c r="R110">
        <f>IF(AND(A110&lt;&gt;"",ISNUMBER(A110),B110&lt;&gt;"",C110&lt;&gt;"",OR(E110="USD",E110="CRC"),F110&gt;0,ISNUMBER(Q110),Q110&gt;0),"✓ OK","✗ ERROR: Revisa datos")</f>
        <v/>
      </c>
    </row>
    <row r="111">
      <c r="A111" s="19" t="n"/>
      <c r="F111" s="20" t="n"/>
      <c r="Q111" s="10">
        <f>IF(E111="USD",CONFIG!$B$5,1)</f>
        <v/>
      </c>
      <c r="R111">
        <f>IF(AND(A111&lt;&gt;"",ISNUMBER(A111),B111&lt;&gt;"",C111&lt;&gt;"",OR(E111="USD",E111="CRC"),F111&gt;0,ISNUMBER(Q111),Q111&gt;0),"✓ OK","✗ ERROR: Revisa datos")</f>
        <v/>
      </c>
    </row>
    <row r="112">
      <c r="A112" s="19" t="n"/>
      <c r="F112" s="20" t="n"/>
      <c r="Q112" s="10">
        <f>IF(E112="USD",CONFIG!$B$5,1)</f>
        <v/>
      </c>
      <c r="R112">
        <f>IF(AND(A112&lt;&gt;"",ISNUMBER(A112),B112&lt;&gt;"",C112&lt;&gt;"",OR(E112="USD",E112="CRC"),F112&gt;0,ISNUMBER(Q112),Q112&gt;0),"✓ OK","✗ ERROR: Revisa datos")</f>
        <v/>
      </c>
    </row>
    <row r="113">
      <c r="A113" s="19" t="n"/>
      <c r="F113" s="20" t="n"/>
      <c r="Q113" s="10">
        <f>IF(E113="USD",CONFIG!$B$5,1)</f>
        <v/>
      </c>
      <c r="R113">
        <f>IF(AND(A113&lt;&gt;"",ISNUMBER(A113),B113&lt;&gt;"",C113&lt;&gt;"",OR(E113="USD",E113="CRC"),F113&gt;0,ISNUMBER(Q113),Q113&gt;0),"✓ OK","✗ ERROR: Revisa datos")</f>
        <v/>
      </c>
    </row>
    <row r="114">
      <c r="A114" s="19" t="n"/>
      <c r="F114" s="20" t="n"/>
      <c r="Q114" s="10">
        <f>IF(E114="USD",CONFIG!$B$5,1)</f>
        <v/>
      </c>
      <c r="R114">
        <f>IF(AND(A114&lt;&gt;"",ISNUMBER(A114),B114&lt;&gt;"",C114&lt;&gt;"",OR(E114="USD",E114="CRC"),F114&gt;0,ISNUMBER(Q114),Q114&gt;0),"✓ OK","✗ ERROR: Revisa datos")</f>
        <v/>
      </c>
    </row>
    <row r="115">
      <c r="A115" s="19" t="n"/>
      <c r="F115" s="20" t="n"/>
      <c r="Q115" s="10">
        <f>IF(E115="USD",CONFIG!$B$5,1)</f>
        <v/>
      </c>
      <c r="R115">
        <f>IF(AND(A115&lt;&gt;"",ISNUMBER(A115),B115&lt;&gt;"",C115&lt;&gt;"",OR(E115="USD",E115="CRC"),F115&gt;0,ISNUMBER(Q115),Q115&gt;0),"✓ OK","✗ ERROR: Revisa datos")</f>
        <v/>
      </c>
    </row>
    <row r="116">
      <c r="A116" s="19" t="n"/>
      <c r="F116" s="20" t="n"/>
      <c r="Q116" s="10">
        <f>IF(E116="USD",CONFIG!$B$5,1)</f>
        <v/>
      </c>
      <c r="R116">
        <f>IF(AND(A116&lt;&gt;"",ISNUMBER(A116),B116&lt;&gt;"",C116&lt;&gt;"",OR(E116="USD",E116="CRC"),F116&gt;0,ISNUMBER(Q116),Q116&gt;0),"✓ OK","✗ ERROR: Revisa datos")</f>
        <v/>
      </c>
    </row>
    <row r="117">
      <c r="A117" s="19" t="n"/>
      <c r="F117" s="20" t="n"/>
      <c r="Q117" s="10">
        <f>IF(E117="USD",CONFIG!$B$5,1)</f>
        <v/>
      </c>
      <c r="R117">
        <f>IF(AND(A117&lt;&gt;"",ISNUMBER(A117),B117&lt;&gt;"",C117&lt;&gt;"",OR(E117="USD",E117="CRC"),F117&gt;0,ISNUMBER(Q117),Q117&gt;0),"✓ OK","✗ ERROR: Revisa datos")</f>
        <v/>
      </c>
    </row>
    <row r="118">
      <c r="A118" s="19" t="n"/>
      <c r="F118" s="20" t="n"/>
      <c r="Q118" s="10">
        <f>IF(E118="USD",CONFIG!$B$5,1)</f>
        <v/>
      </c>
      <c r="R118">
        <f>IF(AND(A118&lt;&gt;"",ISNUMBER(A118),B118&lt;&gt;"",C118&lt;&gt;"",OR(E118="USD",E118="CRC"),F118&gt;0,ISNUMBER(Q118),Q118&gt;0),"✓ OK","✗ ERROR: Revisa datos")</f>
        <v/>
      </c>
    </row>
    <row r="119">
      <c r="A119" s="19" t="n"/>
      <c r="F119" s="20" t="n"/>
      <c r="Q119" s="10">
        <f>IF(E119="USD",CONFIG!$B$5,1)</f>
        <v/>
      </c>
      <c r="R119">
        <f>IF(AND(A119&lt;&gt;"",ISNUMBER(A119),B119&lt;&gt;"",C119&lt;&gt;"",OR(E119="USD",E119="CRC"),F119&gt;0,ISNUMBER(Q119),Q119&gt;0),"✓ OK","✗ ERROR: Revisa datos")</f>
        <v/>
      </c>
    </row>
    <row r="120">
      <c r="A120" s="19" t="n"/>
      <c r="F120" s="20" t="n"/>
      <c r="Q120" s="10">
        <f>IF(E120="USD",CONFIG!$B$5,1)</f>
        <v/>
      </c>
      <c r="R120">
        <f>IF(AND(A120&lt;&gt;"",ISNUMBER(A120),B120&lt;&gt;"",C120&lt;&gt;"",OR(E120="USD",E120="CRC"),F120&gt;0,ISNUMBER(Q120),Q120&gt;0),"✓ OK","✗ ERROR: Revisa datos")</f>
        <v/>
      </c>
    </row>
    <row r="121">
      <c r="A121" s="19" t="n"/>
      <c r="F121" s="20" t="n"/>
      <c r="Q121" s="10">
        <f>IF(E121="USD",CONFIG!$B$5,1)</f>
        <v/>
      </c>
      <c r="R121">
        <f>IF(AND(A121&lt;&gt;"",ISNUMBER(A121),B121&lt;&gt;"",C121&lt;&gt;"",OR(E121="USD",E121="CRC"),F121&gt;0,ISNUMBER(Q121),Q121&gt;0),"✓ OK","✗ ERROR: Revisa datos")</f>
        <v/>
      </c>
    </row>
    <row r="122">
      <c r="A122" s="19" t="n"/>
      <c r="F122" s="20" t="n"/>
      <c r="Q122" s="10">
        <f>IF(E122="USD",CONFIG!$B$5,1)</f>
        <v/>
      </c>
      <c r="R122">
        <f>IF(AND(A122&lt;&gt;"",ISNUMBER(A122),B122&lt;&gt;"",C122&lt;&gt;"",OR(E122="USD",E122="CRC"),F122&gt;0,ISNUMBER(Q122),Q122&gt;0),"✓ OK","✗ ERROR: Revisa datos")</f>
        <v/>
      </c>
    </row>
    <row r="123">
      <c r="A123" s="19" t="n"/>
      <c r="F123" s="20" t="n"/>
      <c r="Q123" s="10">
        <f>IF(E123="USD",CONFIG!$B$5,1)</f>
        <v/>
      </c>
      <c r="R123">
        <f>IF(AND(A123&lt;&gt;"",ISNUMBER(A123),B123&lt;&gt;"",C123&lt;&gt;"",OR(E123="USD",E123="CRC"),F123&gt;0,ISNUMBER(Q123),Q123&gt;0),"✓ OK","✗ ERROR: Revisa datos")</f>
        <v/>
      </c>
    </row>
    <row r="124">
      <c r="A124" s="19" t="n"/>
      <c r="F124" s="20" t="n"/>
      <c r="Q124" s="10">
        <f>IF(E124="USD",CONFIG!$B$5,1)</f>
        <v/>
      </c>
      <c r="R124">
        <f>IF(AND(A124&lt;&gt;"",ISNUMBER(A124),B124&lt;&gt;"",C124&lt;&gt;"",OR(E124="USD",E124="CRC"),F124&gt;0,ISNUMBER(Q124),Q124&gt;0),"✓ OK","✗ ERROR: Revisa datos")</f>
        <v/>
      </c>
    </row>
    <row r="125">
      <c r="A125" s="19" t="n"/>
      <c r="F125" s="20" t="n"/>
      <c r="Q125" s="10">
        <f>IF(E125="USD",CONFIG!$B$5,1)</f>
        <v/>
      </c>
      <c r="R125">
        <f>IF(AND(A125&lt;&gt;"",ISNUMBER(A125),B125&lt;&gt;"",C125&lt;&gt;"",OR(E125="USD",E125="CRC"),F125&gt;0,ISNUMBER(Q125),Q125&gt;0),"✓ OK","✗ ERROR: Revisa datos")</f>
        <v/>
      </c>
    </row>
    <row r="126">
      <c r="A126" s="19" t="n"/>
      <c r="F126" s="20" t="n"/>
      <c r="Q126" s="10">
        <f>IF(E126="USD",CONFIG!$B$5,1)</f>
        <v/>
      </c>
      <c r="R126">
        <f>IF(AND(A126&lt;&gt;"",ISNUMBER(A126),B126&lt;&gt;"",C126&lt;&gt;"",OR(E126="USD",E126="CRC"),F126&gt;0,ISNUMBER(Q126),Q126&gt;0),"✓ OK","✗ ERROR: Revisa datos")</f>
        <v/>
      </c>
    </row>
    <row r="127">
      <c r="A127" s="19" t="n"/>
      <c r="F127" s="20" t="n"/>
      <c r="Q127" s="10">
        <f>IF(E127="USD",CONFIG!$B$5,1)</f>
        <v/>
      </c>
      <c r="R127">
        <f>IF(AND(A127&lt;&gt;"",ISNUMBER(A127),B127&lt;&gt;"",C127&lt;&gt;"",OR(E127="USD",E127="CRC"),F127&gt;0,ISNUMBER(Q127),Q127&gt;0),"✓ OK","✗ ERROR: Revisa datos")</f>
        <v/>
      </c>
    </row>
    <row r="128">
      <c r="A128" s="19" t="n"/>
      <c r="F128" s="20" t="n"/>
      <c r="Q128" s="10">
        <f>IF(E128="USD",CONFIG!$B$5,1)</f>
        <v/>
      </c>
      <c r="R128">
        <f>IF(AND(A128&lt;&gt;"",ISNUMBER(A128),B128&lt;&gt;"",C128&lt;&gt;"",OR(E128="USD",E128="CRC"),F128&gt;0,ISNUMBER(Q128),Q128&gt;0),"✓ OK","✗ ERROR: Revisa datos")</f>
        <v/>
      </c>
    </row>
    <row r="129">
      <c r="A129" s="19" t="n"/>
      <c r="F129" s="20" t="n"/>
      <c r="Q129" s="10">
        <f>IF(E129="USD",CONFIG!$B$5,1)</f>
        <v/>
      </c>
      <c r="R129">
        <f>IF(AND(A129&lt;&gt;"",ISNUMBER(A129),B129&lt;&gt;"",C129&lt;&gt;"",OR(E129="USD",E129="CRC"),F129&gt;0,ISNUMBER(Q129),Q129&gt;0),"✓ OK","✗ ERROR: Revisa datos")</f>
        <v/>
      </c>
    </row>
    <row r="130">
      <c r="A130" s="19" t="n"/>
      <c r="F130" s="20" t="n"/>
      <c r="Q130" s="10">
        <f>IF(E130="USD",CONFIG!$B$5,1)</f>
        <v/>
      </c>
      <c r="R130">
        <f>IF(AND(A130&lt;&gt;"",ISNUMBER(A130),B130&lt;&gt;"",C130&lt;&gt;"",OR(E130="USD",E130="CRC"),F130&gt;0,ISNUMBER(Q130),Q130&gt;0),"✓ OK","✗ ERROR: Revisa datos")</f>
        <v/>
      </c>
    </row>
    <row r="131">
      <c r="A131" s="19" t="n"/>
      <c r="F131" s="20" t="n"/>
      <c r="Q131" s="10">
        <f>IF(E131="USD",CONFIG!$B$5,1)</f>
        <v/>
      </c>
      <c r="R131">
        <f>IF(AND(A131&lt;&gt;"",ISNUMBER(A131),B131&lt;&gt;"",C131&lt;&gt;"",OR(E131="USD",E131="CRC"),F131&gt;0,ISNUMBER(Q131),Q131&gt;0),"✓ OK","✗ ERROR: Revisa datos")</f>
        <v/>
      </c>
    </row>
    <row r="132">
      <c r="A132" s="19" t="n"/>
      <c r="F132" s="20" t="n"/>
      <c r="Q132" s="10">
        <f>IF(E132="USD",CONFIG!$B$5,1)</f>
        <v/>
      </c>
      <c r="R132">
        <f>IF(AND(A132&lt;&gt;"",ISNUMBER(A132),B132&lt;&gt;"",C132&lt;&gt;"",OR(E132="USD",E132="CRC"),F132&gt;0,ISNUMBER(Q132),Q132&gt;0),"✓ OK","✗ ERROR: Revisa datos")</f>
        <v/>
      </c>
    </row>
    <row r="133">
      <c r="A133" s="19" t="n"/>
      <c r="F133" s="20" t="n"/>
      <c r="Q133" s="10">
        <f>IF(E133="USD",CONFIG!$B$5,1)</f>
        <v/>
      </c>
      <c r="R133">
        <f>IF(AND(A133&lt;&gt;"",ISNUMBER(A133),B133&lt;&gt;"",C133&lt;&gt;"",OR(E133="USD",E133="CRC"),F133&gt;0,ISNUMBER(Q133),Q133&gt;0),"✓ OK","✗ ERROR: Revisa datos")</f>
        <v/>
      </c>
    </row>
    <row r="134">
      <c r="A134" s="19" t="n"/>
      <c r="F134" s="20" t="n"/>
      <c r="Q134" s="10">
        <f>IF(E134="USD",CONFIG!$B$5,1)</f>
        <v/>
      </c>
      <c r="R134">
        <f>IF(AND(A134&lt;&gt;"",ISNUMBER(A134),B134&lt;&gt;"",C134&lt;&gt;"",OR(E134="USD",E134="CRC"),F134&gt;0,ISNUMBER(Q134),Q134&gt;0),"✓ OK","✗ ERROR: Revisa datos")</f>
        <v/>
      </c>
    </row>
    <row r="135">
      <c r="A135" s="19" t="n"/>
      <c r="F135" s="20" t="n"/>
      <c r="Q135" s="10">
        <f>IF(E135="USD",CONFIG!$B$5,1)</f>
        <v/>
      </c>
      <c r="R135">
        <f>IF(AND(A135&lt;&gt;"",ISNUMBER(A135),B135&lt;&gt;"",C135&lt;&gt;"",OR(E135="USD",E135="CRC"),F135&gt;0,ISNUMBER(Q135),Q135&gt;0),"✓ OK","✗ ERROR: Revisa datos")</f>
        <v/>
      </c>
    </row>
    <row r="136">
      <c r="A136" s="19" t="n"/>
      <c r="F136" s="20" t="n"/>
      <c r="Q136" s="10">
        <f>IF(E136="USD",CONFIG!$B$5,1)</f>
        <v/>
      </c>
      <c r="R136">
        <f>IF(AND(A136&lt;&gt;"",ISNUMBER(A136),B136&lt;&gt;"",C136&lt;&gt;"",OR(E136="USD",E136="CRC"),F136&gt;0,ISNUMBER(Q136),Q136&gt;0),"✓ OK","✗ ERROR: Revisa datos")</f>
        <v/>
      </c>
    </row>
    <row r="137">
      <c r="A137" s="19" t="n"/>
      <c r="F137" s="20" t="n"/>
      <c r="Q137" s="10">
        <f>IF(E137="USD",CONFIG!$B$5,1)</f>
        <v/>
      </c>
      <c r="R137">
        <f>IF(AND(A137&lt;&gt;"",ISNUMBER(A137),B137&lt;&gt;"",C137&lt;&gt;"",OR(E137="USD",E137="CRC"),F137&gt;0,ISNUMBER(Q137),Q137&gt;0),"✓ OK","✗ ERROR: Revisa datos")</f>
        <v/>
      </c>
    </row>
    <row r="138">
      <c r="A138" s="19" t="n"/>
      <c r="F138" s="20" t="n"/>
      <c r="Q138" s="10">
        <f>IF(E138="USD",CONFIG!$B$5,1)</f>
        <v/>
      </c>
      <c r="R138">
        <f>IF(AND(A138&lt;&gt;"",ISNUMBER(A138),B138&lt;&gt;"",C138&lt;&gt;"",OR(E138="USD",E138="CRC"),F138&gt;0,ISNUMBER(Q138),Q138&gt;0),"✓ OK","✗ ERROR: Revisa datos")</f>
        <v/>
      </c>
    </row>
    <row r="139">
      <c r="A139" s="19" t="n"/>
      <c r="F139" s="20" t="n"/>
      <c r="Q139" s="10">
        <f>IF(E139="USD",CONFIG!$B$5,1)</f>
        <v/>
      </c>
      <c r="R139">
        <f>IF(AND(A139&lt;&gt;"",ISNUMBER(A139),B139&lt;&gt;"",C139&lt;&gt;"",OR(E139="USD",E139="CRC"),F139&gt;0,ISNUMBER(Q139),Q139&gt;0),"✓ OK","✗ ERROR: Revisa datos")</f>
        <v/>
      </c>
    </row>
    <row r="140">
      <c r="A140" s="19" t="n"/>
      <c r="F140" s="20" t="n"/>
      <c r="Q140" s="10">
        <f>IF(E140="USD",CONFIG!$B$5,1)</f>
        <v/>
      </c>
      <c r="R140">
        <f>IF(AND(A140&lt;&gt;"",ISNUMBER(A140),B140&lt;&gt;"",C140&lt;&gt;"",OR(E140="USD",E140="CRC"),F140&gt;0,ISNUMBER(Q140),Q140&gt;0),"✓ OK","✗ ERROR: Revisa datos")</f>
        <v/>
      </c>
    </row>
    <row r="141">
      <c r="A141" s="19" t="n"/>
      <c r="F141" s="20" t="n"/>
      <c r="Q141" s="10">
        <f>IF(E141="USD",CONFIG!$B$5,1)</f>
        <v/>
      </c>
      <c r="R141">
        <f>IF(AND(A141&lt;&gt;"",ISNUMBER(A141),B141&lt;&gt;"",C141&lt;&gt;"",OR(E141="USD",E141="CRC"),F141&gt;0,ISNUMBER(Q141),Q141&gt;0),"✓ OK","✗ ERROR: Revisa datos")</f>
        <v/>
      </c>
    </row>
    <row r="142">
      <c r="A142" s="19" t="n"/>
      <c r="F142" s="20" t="n"/>
      <c r="Q142" s="10">
        <f>IF(E142="USD",CONFIG!$B$5,1)</f>
        <v/>
      </c>
      <c r="R142">
        <f>IF(AND(A142&lt;&gt;"",ISNUMBER(A142),B142&lt;&gt;"",C142&lt;&gt;"",OR(E142="USD",E142="CRC"),F142&gt;0,ISNUMBER(Q142),Q142&gt;0),"✓ OK","✗ ERROR: Revisa datos")</f>
        <v/>
      </c>
    </row>
    <row r="143">
      <c r="A143" s="19" t="n"/>
      <c r="F143" s="20" t="n"/>
      <c r="Q143" s="10">
        <f>IF(E143="USD",CONFIG!$B$5,1)</f>
        <v/>
      </c>
      <c r="R143">
        <f>IF(AND(A143&lt;&gt;"",ISNUMBER(A143),B143&lt;&gt;"",C143&lt;&gt;"",OR(E143="USD",E143="CRC"),F143&gt;0,ISNUMBER(Q143),Q143&gt;0),"✓ OK","✗ ERROR: Revisa datos")</f>
        <v/>
      </c>
    </row>
    <row r="144">
      <c r="A144" s="19" t="n"/>
      <c r="F144" s="20" t="n"/>
      <c r="Q144" s="10">
        <f>IF(E144="USD",CONFIG!$B$5,1)</f>
        <v/>
      </c>
      <c r="R144">
        <f>IF(AND(A144&lt;&gt;"",ISNUMBER(A144),B144&lt;&gt;"",C144&lt;&gt;"",OR(E144="USD",E144="CRC"),F144&gt;0,ISNUMBER(Q144),Q144&gt;0),"✓ OK","✗ ERROR: Revisa datos")</f>
        <v/>
      </c>
    </row>
    <row r="145">
      <c r="A145" s="19" t="n"/>
      <c r="F145" s="20" t="n"/>
      <c r="Q145" s="10">
        <f>IF(E145="USD",CONFIG!$B$5,1)</f>
        <v/>
      </c>
      <c r="R145">
        <f>IF(AND(A145&lt;&gt;"",ISNUMBER(A145),B145&lt;&gt;"",C145&lt;&gt;"",OR(E145="USD",E145="CRC"),F145&gt;0,ISNUMBER(Q145),Q145&gt;0),"✓ OK","✗ ERROR: Revisa datos")</f>
        <v/>
      </c>
    </row>
    <row r="146">
      <c r="A146" s="19" t="n"/>
      <c r="F146" s="20" t="n"/>
      <c r="Q146" s="10">
        <f>IF(E146="USD",CONFIG!$B$5,1)</f>
        <v/>
      </c>
      <c r="R146">
        <f>IF(AND(A146&lt;&gt;"",ISNUMBER(A146),B146&lt;&gt;"",C146&lt;&gt;"",OR(E146="USD",E146="CRC"),F146&gt;0,ISNUMBER(Q146),Q146&gt;0),"✓ OK","✗ ERROR: Revisa datos")</f>
        <v/>
      </c>
    </row>
    <row r="147">
      <c r="A147" s="19" t="n"/>
      <c r="F147" s="20" t="n"/>
      <c r="Q147" s="10">
        <f>IF(E147="USD",CONFIG!$B$5,1)</f>
        <v/>
      </c>
      <c r="R147">
        <f>IF(AND(A147&lt;&gt;"",ISNUMBER(A147),B147&lt;&gt;"",C147&lt;&gt;"",OR(E147="USD",E147="CRC"),F147&gt;0,ISNUMBER(Q147),Q147&gt;0),"✓ OK","✗ ERROR: Revisa datos")</f>
        <v/>
      </c>
    </row>
    <row r="148">
      <c r="A148" s="19" t="n"/>
      <c r="F148" s="20" t="n"/>
      <c r="Q148" s="10">
        <f>IF(E148="USD",CONFIG!$B$5,1)</f>
        <v/>
      </c>
      <c r="R148">
        <f>IF(AND(A148&lt;&gt;"",ISNUMBER(A148),B148&lt;&gt;"",C148&lt;&gt;"",OR(E148="USD",E148="CRC"),F148&gt;0,ISNUMBER(Q148),Q148&gt;0),"✓ OK","✗ ERROR: Revisa datos")</f>
        <v/>
      </c>
    </row>
    <row r="149">
      <c r="A149" s="19" t="n"/>
      <c r="F149" s="20" t="n"/>
      <c r="Q149" s="10">
        <f>IF(E149="USD",CONFIG!$B$5,1)</f>
        <v/>
      </c>
      <c r="R149">
        <f>IF(AND(A149&lt;&gt;"",ISNUMBER(A149),B149&lt;&gt;"",C149&lt;&gt;"",OR(E149="USD",E149="CRC"),F149&gt;0,ISNUMBER(Q149),Q149&gt;0),"✓ OK","✗ ERROR: Revisa datos")</f>
        <v/>
      </c>
    </row>
    <row r="150">
      <c r="A150" s="19" t="n"/>
      <c r="F150" s="20" t="n"/>
      <c r="Q150" s="10">
        <f>IF(E150="USD",CONFIG!$B$5,1)</f>
        <v/>
      </c>
      <c r="R150">
        <f>IF(AND(A150&lt;&gt;"",ISNUMBER(A150),B150&lt;&gt;"",C150&lt;&gt;"",OR(E150="USD",E150="CRC"),F150&gt;0,ISNUMBER(Q150),Q150&gt;0),"✓ OK","✗ ERROR: Revisa datos")</f>
        <v/>
      </c>
    </row>
    <row r="151">
      <c r="A151" s="19" t="n"/>
      <c r="F151" s="20" t="n"/>
      <c r="Q151" s="10">
        <f>IF(E151="USD",CONFIG!$B$5,1)</f>
        <v/>
      </c>
      <c r="R151">
        <f>IF(AND(A151&lt;&gt;"",ISNUMBER(A151),B151&lt;&gt;"",C151&lt;&gt;"",OR(E151="USD",E151="CRC"),F151&gt;0,ISNUMBER(Q151),Q151&gt;0),"✓ OK","✗ ERROR: Revisa datos")</f>
        <v/>
      </c>
    </row>
    <row r="152">
      <c r="A152" s="19" t="n"/>
      <c r="F152" s="20" t="n"/>
      <c r="Q152" s="10">
        <f>IF(E152="USD",CONFIG!$B$5,1)</f>
        <v/>
      </c>
      <c r="R152">
        <f>IF(AND(A152&lt;&gt;"",ISNUMBER(A152),B152&lt;&gt;"",C152&lt;&gt;"",OR(E152="USD",E152="CRC"),F152&gt;0,ISNUMBER(Q152),Q152&gt;0),"✓ OK","✗ ERROR: Revisa datos")</f>
        <v/>
      </c>
    </row>
    <row r="153">
      <c r="A153" s="19" t="n"/>
      <c r="F153" s="20" t="n"/>
      <c r="Q153" s="10">
        <f>IF(E153="USD",CONFIG!$B$5,1)</f>
        <v/>
      </c>
      <c r="R153">
        <f>IF(AND(A153&lt;&gt;"",ISNUMBER(A153),B153&lt;&gt;"",C153&lt;&gt;"",OR(E153="USD",E153="CRC"),F153&gt;0,ISNUMBER(Q153),Q153&gt;0),"✓ OK","✗ ERROR: Revisa datos")</f>
        <v/>
      </c>
    </row>
    <row r="154">
      <c r="A154" s="19" t="n"/>
      <c r="F154" s="20" t="n"/>
      <c r="Q154" s="10">
        <f>IF(E154="USD",CONFIG!$B$5,1)</f>
        <v/>
      </c>
      <c r="R154">
        <f>IF(AND(A154&lt;&gt;"",ISNUMBER(A154),B154&lt;&gt;"",C154&lt;&gt;"",OR(E154="USD",E154="CRC"),F154&gt;0,ISNUMBER(Q154),Q154&gt;0),"✓ OK","✗ ERROR: Revisa datos")</f>
        <v/>
      </c>
    </row>
    <row r="155">
      <c r="A155" s="19" t="n"/>
      <c r="F155" s="20" t="n"/>
      <c r="Q155" s="10">
        <f>IF(E155="USD",CONFIG!$B$5,1)</f>
        <v/>
      </c>
      <c r="R155">
        <f>IF(AND(A155&lt;&gt;"",ISNUMBER(A155),B155&lt;&gt;"",C155&lt;&gt;"",OR(E155="USD",E155="CRC"),F155&gt;0,ISNUMBER(Q155),Q155&gt;0),"✓ OK","✗ ERROR: Revisa datos")</f>
        <v/>
      </c>
    </row>
    <row r="156">
      <c r="A156" s="19" t="n"/>
      <c r="F156" s="20" t="n"/>
      <c r="Q156" s="10">
        <f>IF(E156="USD",CONFIG!$B$5,1)</f>
        <v/>
      </c>
      <c r="R156">
        <f>IF(AND(A156&lt;&gt;"",ISNUMBER(A156),B156&lt;&gt;"",C156&lt;&gt;"",OR(E156="USD",E156="CRC"),F156&gt;0,ISNUMBER(Q156),Q156&gt;0),"✓ OK","✗ ERROR: Revisa datos")</f>
        <v/>
      </c>
    </row>
    <row r="157">
      <c r="A157" s="19" t="n"/>
      <c r="F157" s="20" t="n"/>
      <c r="Q157" s="10">
        <f>IF(E157="USD",CONFIG!$B$5,1)</f>
        <v/>
      </c>
      <c r="R157">
        <f>IF(AND(A157&lt;&gt;"",ISNUMBER(A157),B157&lt;&gt;"",C157&lt;&gt;"",OR(E157="USD",E157="CRC"),F157&gt;0,ISNUMBER(Q157),Q157&gt;0),"✓ OK","✗ ERROR: Revisa datos")</f>
        <v/>
      </c>
    </row>
    <row r="158">
      <c r="A158" s="19" t="n"/>
      <c r="F158" s="20" t="n"/>
      <c r="Q158" s="10">
        <f>IF(E158="USD",CONFIG!$B$5,1)</f>
        <v/>
      </c>
      <c r="R158">
        <f>IF(AND(A158&lt;&gt;"",ISNUMBER(A158),B158&lt;&gt;"",C158&lt;&gt;"",OR(E158="USD",E158="CRC"),F158&gt;0,ISNUMBER(Q158),Q158&gt;0),"✓ OK","✗ ERROR: Revisa datos")</f>
        <v/>
      </c>
    </row>
    <row r="159">
      <c r="A159" s="19" t="n"/>
      <c r="F159" s="20" t="n"/>
      <c r="Q159" s="10">
        <f>IF(E159="USD",CONFIG!$B$5,1)</f>
        <v/>
      </c>
      <c r="R159">
        <f>IF(AND(A159&lt;&gt;"",ISNUMBER(A159),B159&lt;&gt;"",C159&lt;&gt;"",OR(E159="USD",E159="CRC"),F159&gt;0,ISNUMBER(Q159),Q159&gt;0),"✓ OK","✗ ERROR: Revisa datos")</f>
        <v/>
      </c>
    </row>
    <row r="160">
      <c r="A160" s="19" t="n"/>
      <c r="F160" s="20" t="n"/>
      <c r="Q160" s="10">
        <f>IF(E160="USD",CONFIG!$B$5,1)</f>
        <v/>
      </c>
      <c r="R160">
        <f>IF(AND(A160&lt;&gt;"",ISNUMBER(A160),B160&lt;&gt;"",C160&lt;&gt;"",OR(E160="USD",E160="CRC"),F160&gt;0,ISNUMBER(Q160),Q160&gt;0),"✓ OK","✗ ERROR: Revisa datos")</f>
        <v/>
      </c>
    </row>
    <row r="161">
      <c r="A161" s="19" t="n"/>
      <c r="F161" s="20" t="n"/>
      <c r="Q161" s="10">
        <f>IF(E161="USD",CONFIG!$B$5,1)</f>
        <v/>
      </c>
      <c r="R161">
        <f>IF(AND(A161&lt;&gt;"",ISNUMBER(A161),B161&lt;&gt;"",C161&lt;&gt;"",OR(E161="USD",E161="CRC"),F161&gt;0,ISNUMBER(Q161),Q161&gt;0),"✓ OK","✗ ERROR: Revisa datos")</f>
        <v/>
      </c>
    </row>
    <row r="162">
      <c r="A162" s="19" t="n"/>
      <c r="F162" s="20" t="n"/>
      <c r="Q162" s="10">
        <f>IF(E162="USD",CONFIG!$B$5,1)</f>
        <v/>
      </c>
      <c r="R162">
        <f>IF(AND(A162&lt;&gt;"",ISNUMBER(A162),B162&lt;&gt;"",C162&lt;&gt;"",OR(E162="USD",E162="CRC"),F162&gt;0,ISNUMBER(Q162),Q162&gt;0),"✓ OK","✗ ERROR: Revisa datos")</f>
        <v/>
      </c>
    </row>
    <row r="163">
      <c r="A163" s="19" t="n"/>
      <c r="F163" s="20" t="n"/>
      <c r="Q163" s="10">
        <f>IF(E163="USD",CONFIG!$B$5,1)</f>
        <v/>
      </c>
      <c r="R163">
        <f>IF(AND(A163&lt;&gt;"",ISNUMBER(A163),B163&lt;&gt;"",C163&lt;&gt;"",OR(E163="USD",E163="CRC"),F163&gt;0,ISNUMBER(Q163),Q163&gt;0),"✓ OK","✗ ERROR: Revisa datos")</f>
        <v/>
      </c>
    </row>
    <row r="164">
      <c r="A164" s="19" t="n"/>
      <c r="F164" s="20" t="n"/>
      <c r="Q164" s="10">
        <f>IF(E164="USD",CONFIG!$B$5,1)</f>
        <v/>
      </c>
      <c r="R164">
        <f>IF(AND(A164&lt;&gt;"",ISNUMBER(A164),B164&lt;&gt;"",C164&lt;&gt;"",OR(E164="USD",E164="CRC"),F164&gt;0,ISNUMBER(Q164),Q164&gt;0),"✓ OK","✗ ERROR: Revisa datos")</f>
        <v/>
      </c>
    </row>
    <row r="165">
      <c r="A165" s="19" t="n"/>
      <c r="F165" s="20" t="n"/>
      <c r="Q165" s="10">
        <f>IF(E165="USD",CONFIG!$B$5,1)</f>
        <v/>
      </c>
      <c r="R165">
        <f>IF(AND(A165&lt;&gt;"",ISNUMBER(A165),B165&lt;&gt;"",C165&lt;&gt;"",OR(E165="USD",E165="CRC"),F165&gt;0,ISNUMBER(Q165),Q165&gt;0),"✓ OK","✗ ERROR: Revisa datos")</f>
        <v/>
      </c>
    </row>
    <row r="166">
      <c r="A166" s="19" t="n"/>
      <c r="F166" s="20" t="n"/>
      <c r="Q166" s="10">
        <f>IF(E166="USD",CONFIG!$B$5,1)</f>
        <v/>
      </c>
      <c r="R166">
        <f>IF(AND(A166&lt;&gt;"",ISNUMBER(A166),B166&lt;&gt;"",C166&lt;&gt;"",OR(E166="USD",E166="CRC"),F166&gt;0,ISNUMBER(Q166),Q166&gt;0),"✓ OK","✗ ERROR: Revisa datos")</f>
        <v/>
      </c>
    </row>
    <row r="167">
      <c r="A167" s="19" t="n"/>
      <c r="F167" s="20" t="n"/>
      <c r="Q167" s="10">
        <f>IF(E167="USD",CONFIG!$B$5,1)</f>
        <v/>
      </c>
      <c r="R167">
        <f>IF(AND(A167&lt;&gt;"",ISNUMBER(A167),B167&lt;&gt;"",C167&lt;&gt;"",OR(E167="USD",E167="CRC"),F167&gt;0,ISNUMBER(Q167),Q167&gt;0),"✓ OK","✗ ERROR: Revisa datos")</f>
        <v/>
      </c>
    </row>
    <row r="168">
      <c r="A168" s="19" t="n"/>
      <c r="F168" s="20" t="n"/>
      <c r="Q168" s="10">
        <f>IF(E168="USD",CONFIG!$B$5,1)</f>
        <v/>
      </c>
      <c r="R168">
        <f>IF(AND(A168&lt;&gt;"",ISNUMBER(A168),B168&lt;&gt;"",C168&lt;&gt;"",OR(E168="USD",E168="CRC"),F168&gt;0,ISNUMBER(Q168),Q168&gt;0),"✓ OK","✗ ERROR: Revisa datos")</f>
        <v/>
      </c>
    </row>
    <row r="169">
      <c r="A169" s="19" t="n"/>
      <c r="F169" s="20" t="n"/>
      <c r="Q169" s="10">
        <f>IF(E169="USD",CONFIG!$B$5,1)</f>
        <v/>
      </c>
      <c r="R169">
        <f>IF(AND(A169&lt;&gt;"",ISNUMBER(A169),B169&lt;&gt;"",C169&lt;&gt;"",OR(E169="USD",E169="CRC"),F169&gt;0,ISNUMBER(Q169),Q169&gt;0),"✓ OK","✗ ERROR: Revisa datos")</f>
        <v/>
      </c>
    </row>
    <row r="170">
      <c r="A170" s="19" t="n"/>
      <c r="F170" s="20" t="n"/>
      <c r="Q170" s="10">
        <f>IF(E170="USD",CONFIG!$B$5,1)</f>
        <v/>
      </c>
      <c r="R170">
        <f>IF(AND(A170&lt;&gt;"",ISNUMBER(A170),B170&lt;&gt;"",C170&lt;&gt;"",OR(E170="USD",E170="CRC"),F170&gt;0,ISNUMBER(Q170),Q170&gt;0),"✓ OK","✗ ERROR: Revisa datos")</f>
        <v/>
      </c>
    </row>
    <row r="171">
      <c r="A171" s="19" t="n"/>
      <c r="F171" s="20" t="n"/>
      <c r="Q171" s="10">
        <f>IF(E171="USD",CONFIG!$B$5,1)</f>
        <v/>
      </c>
      <c r="R171">
        <f>IF(AND(A171&lt;&gt;"",ISNUMBER(A171),B171&lt;&gt;"",C171&lt;&gt;"",OR(E171="USD",E171="CRC"),F171&gt;0,ISNUMBER(Q171),Q171&gt;0),"✓ OK","✗ ERROR: Revisa datos")</f>
        <v/>
      </c>
    </row>
    <row r="172">
      <c r="A172" s="19" t="n"/>
      <c r="F172" s="20" t="n"/>
      <c r="Q172" s="10">
        <f>IF(E172="USD",CONFIG!$B$5,1)</f>
        <v/>
      </c>
      <c r="R172">
        <f>IF(AND(A172&lt;&gt;"",ISNUMBER(A172),B172&lt;&gt;"",C172&lt;&gt;"",OR(E172="USD",E172="CRC"),F172&gt;0,ISNUMBER(Q172),Q172&gt;0),"✓ OK","✗ ERROR: Revisa datos")</f>
        <v/>
      </c>
    </row>
    <row r="173">
      <c r="A173" s="19" t="n"/>
      <c r="F173" s="20" t="n"/>
      <c r="Q173" s="10">
        <f>IF(E173="USD",CONFIG!$B$5,1)</f>
        <v/>
      </c>
      <c r="R173">
        <f>IF(AND(A173&lt;&gt;"",ISNUMBER(A173),B173&lt;&gt;"",C173&lt;&gt;"",OR(E173="USD",E173="CRC"),F173&gt;0,ISNUMBER(Q173),Q173&gt;0),"✓ OK","✗ ERROR: Revisa datos")</f>
        <v/>
      </c>
    </row>
    <row r="174">
      <c r="A174" s="19" t="n"/>
      <c r="F174" s="20" t="n"/>
      <c r="Q174" s="10">
        <f>IF(E174="USD",CONFIG!$B$5,1)</f>
        <v/>
      </c>
      <c r="R174">
        <f>IF(AND(A174&lt;&gt;"",ISNUMBER(A174),B174&lt;&gt;"",C174&lt;&gt;"",OR(E174="USD",E174="CRC"),F174&gt;0,ISNUMBER(Q174),Q174&gt;0),"✓ OK","✗ ERROR: Revisa datos")</f>
        <v/>
      </c>
    </row>
    <row r="175">
      <c r="A175" s="19" t="n"/>
      <c r="F175" s="20" t="n"/>
      <c r="Q175" s="10">
        <f>IF(E175="USD",CONFIG!$B$5,1)</f>
        <v/>
      </c>
      <c r="R175">
        <f>IF(AND(A175&lt;&gt;"",ISNUMBER(A175),B175&lt;&gt;"",C175&lt;&gt;"",OR(E175="USD",E175="CRC"),F175&gt;0,ISNUMBER(Q175),Q175&gt;0),"✓ OK","✗ ERROR: Revisa datos")</f>
        <v/>
      </c>
    </row>
    <row r="176">
      <c r="A176" s="19" t="n"/>
      <c r="F176" s="20" t="n"/>
      <c r="Q176" s="10">
        <f>IF(E176="USD",CONFIG!$B$5,1)</f>
        <v/>
      </c>
      <c r="R176">
        <f>IF(AND(A176&lt;&gt;"",ISNUMBER(A176),B176&lt;&gt;"",C176&lt;&gt;"",OR(E176="USD",E176="CRC"),F176&gt;0,ISNUMBER(Q176),Q176&gt;0),"✓ OK","✗ ERROR: Revisa datos")</f>
        <v/>
      </c>
    </row>
    <row r="177">
      <c r="A177" s="19" t="n"/>
      <c r="F177" s="20" t="n"/>
      <c r="Q177" s="10">
        <f>IF(E177="USD",CONFIG!$B$5,1)</f>
        <v/>
      </c>
      <c r="R177">
        <f>IF(AND(A177&lt;&gt;"",ISNUMBER(A177),B177&lt;&gt;"",C177&lt;&gt;"",OR(E177="USD",E177="CRC"),F177&gt;0,ISNUMBER(Q177),Q177&gt;0),"✓ OK","✗ ERROR: Revisa datos")</f>
        <v/>
      </c>
    </row>
    <row r="178">
      <c r="A178" s="19" t="n"/>
      <c r="F178" s="20" t="n"/>
      <c r="Q178" s="10">
        <f>IF(E178="USD",CONFIG!$B$5,1)</f>
        <v/>
      </c>
      <c r="R178">
        <f>IF(AND(A178&lt;&gt;"",ISNUMBER(A178),B178&lt;&gt;"",C178&lt;&gt;"",OR(E178="USD",E178="CRC"),F178&gt;0,ISNUMBER(Q178),Q178&gt;0),"✓ OK","✗ ERROR: Revisa datos")</f>
        <v/>
      </c>
    </row>
    <row r="179">
      <c r="A179" s="19" t="n"/>
      <c r="F179" s="20" t="n"/>
      <c r="Q179" s="10">
        <f>IF(E179="USD",CONFIG!$B$5,1)</f>
        <v/>
      </c>
      <c r="R179">
        <f>IF(AND(A179&lt;&gt;"",ISNUMBER(A179),B179&lt;&gt;"",C179&lt;&gt;"",OR(E179="USD",E179="CRC"),F179&gt;0,ISNUMBER(Q179),Q179&gt;0),"✓ OK","✗ ERROR: Revisa datos")</f>
        <v/>
      </c>
    </row>
    <row r="180">
      <c r="A180" s="19" t="n"/>
      <c r="F180" s="20" t="n"/>
      <c r="Q180" s="10">
        <f>IF(E180="USD",CONFIG!$B$5,1)</f>
        <v/>
      </c>
      <c r="R180">
        <f>IF(AND(A180&lt;&gt;"",ISNUMBER(A180),B180&lt;&gt;"",C180&lt;&gt;"",OR(E180="USD",E180="CRC"),F180&gt;0,ISNUMBER(Q180),Q180&gt;0),"✓ OK","✗ ERROR: Revisa datos")</f>
        <v/>
      </c>
    </row>
    <row r="181">
      <c r="A181" s="19" t="n"/>
      <c r="F181" s="20" t="n"/>
      <c r="Q181" s="10">
        <f>IF(E181="USD",CONFIG!$B$5,1)</f>
        <v/>
      </c>
      <c r="R181">
        <f>IF(AND(A181&lt;&gt;"",ISNUMBER(A181),B181&lt;&gt;"",C181&lt;&gt;"",OR(E181="USD",E181="CRC"),F181&gt;0,ISNUMBER(Q181),Q181&gt;0),"✓ OK","✗ ERROR: Revisa datos")</f>
        <v/>
      </c>
    </row>
    <row r="182">
      <c r="A182" s="19" t="n"/>
      <c r="F182" s="20" t="n"/>
      <c r="Q182" s="10">
        <f>IF(E182="USD",CONFIG!$B$5,1)</f>
        <v/>
      </c>
      <c r="R182">
        <f>IF(AND(A182&lt;&gt;"",ISNUMBER(A182),B182&lt;&gt;"",C182&lt;&gt;"",OR(E182="USD",E182="CRC"),F182&gt;0,ISNUMBER(Q182),Q182&gt;0),"✓ OK","✗ ERROR: Revisa datos")</f>
        <v/>
      </c>
    </row>
    <row r="183">
      <c r="A183" s="19" t="n"/>
      <c r="F183" s="20" t="n"/>
      <c r="Q183" s="10">
        <f>IF(E183="USD",CONFIG!$B$5,1)</f>
        <v/>
      </c>
      <c r="R183">
        <f>IF(AND(A183&lt;&gt;"",ISNUMBER(A183),B183&lt;&gt;"",C183&lt;&gt;"",OR(E183="USD",E183="CRC"),F183&gt;0,ISNUMBER(Q183),Q183&gt;0),"✓ OK","✗ ERROR: Revisa datos")</f>
        <v/>
      </c>
    </row>
    <row r="184">
      <c r="A184" s="19" t="n"/>
      <c r="F184" s="20" t="n"/>
      <c r="Q184" s="10">
        <f>IF(E184="USD",CONFIG!$B$5,1)</f>
        <v/>
      </c>
      <c r="R184">
        <f>IF(AND(A184&lt;&gt;"",ISNUMBER(A184),B184&lt;&gt;"",C184&lt;&gt;"",OR(E184="USD",E184="CRC"),F184&gt;0,ISNUMBER(Q184),Q184&gt;0),"✓ OK","✗ ERROR: Revisa datos")</f>
        <v/>
      </c>
    </row>
    <row r="185">
      <c r="A185" s="19" t="n"/>
      <c r="F185" s="20" t="n"/>
      <c r="Q185" s="10">
        <f>IF(E185="USD",CONFIG!$B$5,1)</f>
        <v/>
      </c>
      <c r="R185">
        <f>IF(AND(A185&lt;&gt;"",ISNUMBER(A185),B185&lt;&gt;"",C185&lt;&gt;"",OR(E185="USD",E185="CRC"),F185&gt;0,ISNUMBER(Q185),Q185&gt;0),"✓ OK","✗ ERROR: Revisa datos")</f>
        <v/>
      </c>
    </row>
    <row r="186">
      <c r="A186" s="19" t="n"/>
      <c r="F186" s="20" t="n"/>
      <c r="Q186" s="10">
        <f>IF(E186="USD",CONFIG!$B$5,1)</f>
        <v/>
      </c>
      <c r="R186">
        <f>IF(AND(A186&lt;&gt;"",ISNUMBER(A186),B186&lt;&gt;"",C186&lt;&gt;"",OR(E186="USD",E186="CRC"),F186&gt;0,ISNUMBER(Q186),Q186&gt;0),"✓ OK","✗ ERROR: Revisa datos")</f>
        <v/>
      </c>
    </row>
    <row r="187">
      <c r="A187" s="19" t="n"/>
      <c r="F187" s="20" t="n"/>
      <c r="Q187" s="10">
        <f>IF(E187="USD",CONFIG!$B$5,1)</f>
        <v/>
      </c>
      <c r="R187">
        <f>IF(AND(A187&lt;&gt;"",ISNUMBER(A187),B187&lt;&gt;"",C187&lt;&gt;"",OR(E187="USD",E187="CRC"),F187&gt;0,ISNUMBER(Q187),Q187&gt;0),"✓ OK","✗ ERROR: Revisa datos")</f>
        <v/>
      </c>
    </row>
    <row r="188">
      <c r="A188" s="19" t="n"/>
      <c r="F188" s="20" t="n"/>
      <c r="Q188" s="10">
        <f>IF(E188="USD",CONFIG!$B$5,1)</f>
        <v/>
      </c>
      <c r="R188">
        <f>IF(AND(A188&lt;&gt;"",ISNUMBER(A188),B188&lt;&gt;"",C188&lt;&gt;"",OR(E188="USD",E188="CRC"),F188&gt;0,ISNUMBER(Q188),Q188&gt;0),"✓ OK","✗ ERROR: Revisa datos")</f>
        <v/>
      </c>
    </row>
    <row r="189">
      <c r="A189" s="19" t="n"/>
      <c r="F189" s="20" t="n"/>
      <c r="Q189" s="10">
        <f>IF(E189="USD",CONFIG!$B$5,1)</f>
        <v/>
      </c>
      <c r="R189">
        <f>IF(AND(A189&lt;&gt;"",ISNUMBER(A189),B189&lt;&gt;"",C189&lt;&gt;"",OR(E189="USD",E189="CRC"),F189&gt;0,ISNUMBER(Q189),Q189&gt;0),"✓ OK","✗ ERROR: Revisa datos")</f>
        <v/>
      </c>
    </row>
    <row r="190">
      <c r="A190" s="19" t="n"/>
      <c r="F190" s="20" t="n"/>
      <c r="Q190" s="10">
        <f>IF(E190="USD",CONFIG!$B$5,1)</f>
        <v/>
      </c>
      <c r="R190">
        <f>IF(AND(A190&lt;&gt;"",ISNUMBER(A190),B190&lt;&gt;"",C190&lt;&gt;"",OR(E190="USD",E190="CRC"),F190&gt;0,ISNUMBER(Q190),Q190&gt;0),"✓ OK","✗ ERROR: Revisa datos")</f>
        <v/>
      </c>
    </row>
    <row r="191">
      <c r="A191" s="19" t="n"/>
      <c r="F191" s="20" t="n"/>
      <c r="Q191" s="10">
        <f>IF(E191="USD",CONFIG!$B$5,1)</f>
        <v/>
      </c>
      <c r="R191">
        <f>IF(AND(A191&lt;&gt;"",ISNUMBER(A191),B191&lt;&gt;"",C191&lt;&gt;"",OR(E191="USD",E191="CRC"),F191&gt;0,ISNUMBER(Q191),Q191&gt;0),"✓ OK","✗ ERROR: Revisa datos")</f>
        <v/>
      </c>
    </row>
    <row r="192">
      <c r="A192" s="19" t="n"/>
      <c r="F192" s="20" t="n"/>
      <c r="Q192" s="10">
        <f>IF(E192="USD",CONFIG!$B$5,1)</f>
        <v/>
      </c>
      <c r="R192">
        <f>IF(AND(A192&lt;&gt;"",ISNUMBER(A192),B192&lt;&gt;"",C192&lt;&gt;"",OR(E192="USD",E192="CRC"),F192&gt;0,ISNUMBER(Q192),Q192&gt;0),"✓ OK","✗ ERROR: Revisa datos")</f>
        <v/>
      </c>
    </row>
    <row r="193">
      <c r="A193" s="19" t="n"/>
      <c r="F193" s="20" t="n"/>
      <c r="Q193" s="10">
        <f>IF(E193="USD",CONFIG!$B$5,1)</f>
        <v/>
      </c>
      <c r="R193">
        <f>IF(AND(A193&lt;&gt;"",ISNUMBER(A193),B193&lt;&gt;"",C193&lt;&gt;"",OR(E193="USD",E193="CRC"),F193&gt;0,ISNUMBER(Q193),Q193&gt;0),"✓ OK","✗ ERROR: Revisa datos")</f>
        <v/>
      </c>
    </row>
    <row r="194">
      <c r="A194" s="19" t="n"/>
      <c r="F194" s="20" t="n"/>
      <c r="Q194" s="10">
        <f>IF(E194="USD",CONFIG!$B$5,1)</f>
        <v/>
      </c>
      <c r="R194">
        <f>IF(AND(A194&lt;&gt;"",ISNUMBER(A194),B194&lt;&gt;"",C194&lt;&gt;"",OR(E194="USD",E194="CRC"),F194&gt;0,ISNUMBER(Q194),Q194&gt;0),"✓ OK","✗ ERROR: Revisa datos")</f>
        <v/>
      </c>
    </row>
    <row r="195">
      <c r="A195" s="19" t="n"/>
      <c r="F195" s="20" t="n"/>
      <c r="Q195" s="10">
        <f>IF(E195="USD",CONFIG!$B$5,1)</f>
        <v/>
      </c>
      <c r="R195">
        <f>IF(AND(A195&lt;&gt;"",ISNUMBER(A195),B195&lt;&gt;"",C195&lt;&gt;"",OR(E195="USD",E195="CRC"),F195&gt;0,ISNUMBER(Q195),Q195&gt;0),"✓ OK","✗ ERROR: Revisa datos")</f>
        <v/>
      </c>
    </row>
    <row r="196">
      <c r="A196" s="19" t="n"/>
      <c r="F196" s="20" t="n"/>
      <c r="Q196" s="10">
        <f>IF(E196="USD",CONFIG!$B$5,1)</f>
        <v/>
      </c>
      <c r="R196">
        <f>IF(AND(A196&lt;&gt;"",ISNUMBER(A196),B196&lt;&gt;"",C196&lt;&gt;"",OR(E196="USD",E196="CRC"),F196&gt;0,ISNUMBER(Q196),Q196&gt;0),"✓ OK","✗ ERROR: Revisa datos")</f>
        <v/>
      </c>
    </row>
    <row r="197">
      <c r="A197" s="19" t="n"/>
      <c r="F197" s="20" t="n"/>
      <c r="Q197" s="10">
        <f>IF(E197="USD",CONFIG!$B$5,1)</f>
        <v/>
      </c>
      <c r="R197">
        <f>IF(AND(A197&lt;&gt;"",ISNUMBER(A197),B197&lt;&gt;"",C197&lt;&gt;"",OR(E197="USD",E197="CRC"),F197&gt;0,ISNUMBER(Q197),Q197&gt;0),"✓ OK","✗ ERROR: Revisa datos")</f>
        <v/>
      </c>
    </row>
    <row r="198">
      <c r="A198" s="19" t="n"/>
      <c r="F198" s="20" t="n"/>
      <c r="Q198" s="10">
        <f>IF(E198="USD",CONFIG!$B$5,1)</f>
        <v/>
      </c>
      <c r="R198">
        <f>IF(AND(A198&lt;&gt;"",ISNUMBER(A198),B198&lt;&gt;"",C198&lt;&gt;"",OR(E198="USD",E198="CRC"),F198&gt;0,ISNUMBER(Q198),Q198&gt;0),"✓ OK","✗ ERROR: Revisa datos")</f>
        <v/>
      </c>
    </row>
    <row r="199">
      <c r="A199" s="19" t="n"/>
      <c r="F199" s="20" t="n"/>
      <c r="Q199" s="10">
        <f>IF(E199="USD",CONFIG!$B$5,1)</f>
        <v/>
      </c>
      <c r="R199">
        <f>IF(AND(A199&lt;&gt;"",ISNUMBER(A199),B199&lt;&gt;"",C199&lt;&gt;"",OR(E199="USD",E199="CRC"),F199&gt;0,ISNUMBER(Q199),Q199&gt;0),"✓ OK","✗ ERROR: Revisa datos")</f>
        <v/>
      </c>
    </row>
    <row r="200">
      <c r="A200" s="19" t="n"/>
      <c r="F200" s="20" t="n"/>
      <c r="Q200" s="10">
        <f>IF(E200="USD",CONFIG!$B$5,1)</f>
        <v/>
      </c>
      <c r="R200">
        <f>IF(AND(A200&lt;&gt;"",ISNUMBER(A200),B200&lt;&gt;"",C200&lt;&gt;"",OR(E200="USD",E200="CRC"),F200&gt;0,ISNUMBER(Q200),Q200&gt;0),"✓ OK","✗ ERROR: Revisa datos")</f>
        <v/>
      </c>
    </row>
    <row r="201">
      <c r="A201" s="19" t="n"/>
      <c r="F201" s="20" t="n"/>
      <c r="Q201" s="10">
        <f>IF(E201="USD",CONFIG!$B$5,1)</f>
        <v/>
      </c>
      <c r="R201">
        <f>IF(AND(A201&lt;&gt;"",ISNUMBER(A201),B201&lt;&gt;"",C201&lt;&gt;"",OR(E201="USD",E201="CRC"),F201&gt;0,ISNUMBER(Q201),Q201&gt;0),"✓ OK","✗ ERROR: Revisa datos")</f>
        <v/>
      </c>
    </row>
    <row r="202">
      <c r="A202" s="19" t="n"/>
      <c r="F202" s="20" t="n"/>
      <c r="Q202" s="10">
        <f>IF(E202="USD",CONFIG!$B$5,1)</f>
        <v/>
      </c>
      <c r="R202">
        <f>IF(AND(A202&lt;&gt;"",ISNUMBER(A202),B202&lt;&gt;"",C202&lt;&gt;"",OR(E202="USD",E202="CRC"),F202&gt;0,ISNUMBER(Q202),Q202&gt;0),"✓ OK","✗ ERROR: Revisa datos")</f>
        <v/>
      </c>
    </row>
    <row r="203">
      <c r="A203" s="19" t="n"/>
      <c r="F203" s="20" t="n"/>
      <c r="Q203" s="10">
        <f>IF(E203="USD",CONFIG!$B$5,1)</f>
        <v/>
      </c>
      <c r="R203">
        <f>IF(AND(A203&lt;&gt;"",ISNUMBER(A203),B203&lt;&gt;"",C203&lt;&gt;"",OR(E203="USD",E203="CRC"),F203&gt;0,ISNUMBER(Q203),Q203&gt;0),"✓ OK","✗ ERROR: Revisa datos")</f>
        <v/>
      </c>
    </row>
    <row r="204">
      <c r="A204" s="19" t="n"/>
      <c r="F204" s="20" t="n"/>
      <c r="Q204" s="10">
        <f>IF(E204="USD",CONFIG!$B$5,1)</f>
        <v/>
      </c>
      <c r="R204">
        <f>IF(AND(A204&lt;&gt;"",ISNUMBER(A204),B204&lt;&gt;"",C204&lt;&gt;"",OR(E204="USD",E204="CRC"),F204&gt;0,ISNUMBER(Q204),Q204&gt;0),"✓ OK","✗ ERROR: Revisa datos")</f>
        <v/>
      </c>
    </row>
    <row r="205">
      <c r="A205" s="19" t="n"/>
      <c r="F205" s="20" t="n"/>
      <c r="Q205" s="10">
        <f>IF(E205="USD",CONFIG!$B$5,1)</f>
        <v/>
      </c>
      <c r="R205">
        <f>IF(AND(A205&lt;&gt;"",ISNUMBER(A205),B205&lt;&gt;"",C205&lt;&gt;"",OR(E205="USD",E205="CRC"),F205&gt;0,ISNUMBER(Q205),Q205&gt;0),"✓ OK","✗ ERROR: Revisa datos")</f>
        <v/>
      </c>
    </row>
    <row r="206">
      <c r="A206" s="19" t="n"/>
      <c r="F206" s="20" t="n"/>
      <c r="Q206" s="10">
        <f>IF(E206="USD",CONFIG!$B$5,1)</f>
        <v/>
      </c>
      <c r="R206">
        <f>IF(AND(A206&lt;&gt;"",ISNUMBER(A206),B206&lt;&gt;"",C206&lt;&gt;"",OR(E206="USD",E206="CRC"),F206&gt;0,ISNUMBER(Q206),Q206&gt;0),"✓ OK","✗ ERROR: Revisa datos")</f>
        <v/>
      </c>
    </row>
    <row r="207">
      <c r="A207" s="19" t="n"/>
      <c r="F207" s="20" t="n"/>
      <c r="Q207" s="10">
        <f>IF(E207="USD",CONFIG!$B$5,1)</f>
        <v/>
      </c>
      <c r="R207">
        <f>IF(AND(A207&lt;&gt;"",ISNUMBER(A207),B207&lt;&gt;"",C207&lt;&gt;"",OR(E207="USD",E207="CRC"),F207&gt;0,ISNUMBER(Q207),Q207&gt;0),"✓ OK","✗ ERROR: Revisa datos")</f>
        <v/>
      </c>
    </row>
    <row r="208">
      <c r="A208" s="19" t="n"/>
      <c r="F208" s="20" t="n"/>
      <c r="Q208" s="10">
        <f>IF(E208="USD",CONFIG!$B$5,1)</f>
        <v/>
      </c>
      <c r="R208">
        <f>IF(AND(A208&lt;&gt;"",ISNUMBER(A208),B208&lt;&gt;"",C208&lt;&gt;"",OR(E208="USD",E208="CRC"),F208&gt;0,ISNUMBER(Q208),Q208&gt;0),"✓ OK","✗ ERROR: Revisa datos")</f>
        <v/>
      </c>
    </row>
    <row r="209">
      <c r="A209" s="19" t="n"/>
      <c r="F209" s="20" t="n"/>
      <c r="Q209" s="10">
        <f>IF(E209="USD",CONFIG!$B$5,1)</f>
        <v/>
      </c>
      <c r="R209">
        <f>IF(AND(A209&lt;&gt;"",ISNUMBER(A209),B209&lt;&gt;"",C209&lt;&gt;"",OR(E209="USD",E209="CRC"),F209&gt;0,ISNUMBER(Q209),Q209&gt;0),"✓ OK","✗ ERROR: Revisa datos")</f>
        <v/>
      </c>
    </row>
    <row r="210">
      <c r="A210" s="19" t="n"/>
      <c r="F210" s="20" t="n"/>
      <c r="Q210" s="10">
        <f>IF(E210="USD",CONFIG!$B$5,1)</f>
        <v/>
      </c>
      <c r="R210">
        <f>IF(AND(A210&lt;&gt;"",ISNUMBER(A210),B210&lt;&gt;"",C210&lt;&gt;"",OR(E210="USD",E210="CRC"),F210&gt;0,ISNUMBER(Q210),Q210&gt;0),"✓ OK","✗ ERROR: Revisa datos")</f>
        <v/>
      </c>
    </row>
    <row r="211">
      <c r="A211" s="19" t="n"/>
      <c r="F211" s="20" t="n"/>
      <c r="Q211" s="10">
        <f>IF(E211="USD",CONFIG!$B$5,1)</f>
        <v/>
      </c>
      <c r="R211">
        <f>IF(AND(A211&lt;&gt;"",ISNUMBER(A211),B211&lt;&gt;"",C211&lt;&gt;"",OR(E211="USD",E211="CRC"),F211&gt;0,ISNUMBER(Q211),Q211&gt;0),"✓ OK","✗ ERROR: Revisa datos")</f>
        <v/>
      </c>
    </row>
    <row r="212">
      <c r="A212" s="19" t="n"/>
      <c r="F212" s="20" t="n"/>
      <c r="Q212" s="10">
        <f>IF(E212="USD",CONFIG!$B$5,1)</f>
        <v/>
      </c>
      <c r="R212">
        <f>IF(AND(A212&lt;&gt;"",ISNUMBER(A212),B212&lt;&gt;"",C212&lt;&gt;"",OR(E212="USD",E212="CRC"),F212&gt;0,ISNUMBER(Q212),Q212&gt;0),"✓ OK","✗ ERROR: Revisa datos")</f>
        <v/>
      </c>
    </row>
    <row r="213">
      <c r="A213" s="19" t="n"/>
      <c r="F213" s="20" t="n"/>
      <c r="Q213" s="10">
        <f>IF(E213="USD",CONFIG!$B$5,1)</f>
        <v/>
      </c>
      <c r="R213">
        <f>IF(AND(A213&lt;&gt;"",ISNUMBER(A213),B213&lt;&gt;"",C213&lt;&gt;"",OR(E213="USD",E213="CRC"),F213&gt;0,ISNUMBER(Q213),Q213&gt;0),"✓ OK","✗ ERROR: Revisa datos")</f>
        <v/>
      </c>
    </row>
    <row r="214">
      <c r="A214" s="19" t="n"/>
      <c r="F214" s="20" t="n"/>
      <c r="Q214" s="10">
        <f>IF(E214="USD",CONFIG!$B$5,1)</f>
        <v/>
      </c>
      <c r="R214">
        <f>IF(AND(A214&lt;&gt;"",ISNUMBER(A214),B214&lt;&gt;"",C214&lt;&gt;"",OR(E214="USD",E214="CRC"),F214&gt;0,ISNUMBER(Q214),Q214&gt;0),"✓ OK","✗ ERROR: Revisa datos")</f>
        <v/>
      </c>
    </row>
    <row r="215">
      <c r="A215" s="19" t="n"/>
      <c r="F215" s="20" t="n"/>
      <c r="Q215" s="10">
        <f>IF(E215="USD",CONFIG!$B$5,1)</f>
        <v/>
      </c>
      <c r="R215">
        <f>IF(AND(A215&lt;&gt;"",ISNUMBER(A215),B215&lt;&gt;"",C215&lt;&gt;"",OR(E215="USD",E215="CRC"),F215&gt;0,ISNUMBER(Q215),Q215&gt;0),"✓ OK","✗ ERROR: Revisa datos")</f>
        <v/>
      </c>
    </row>
    <row r="216">
      <c r="A216" s="19" t="n"/>
      <c r="F216" s="20" t="n"/>
      <c r="Q216" s="10">
        <f>IF(E216="USD",CONFIG!$B$5,1)</f>
        <v/>
      </c>
      <c r="R216">
        <f>IF(AND(A216&lt;&gt;"",ISNUMBER(A216),B216&lt;&gt;"",C216&lt;&gt;"",OR(E216="USD",E216="CRC"),F216&gt;0,ISNUMBER(Q216),Q216&gt;0),"✓ OK","✗ ERROR: Revisa datos")</f>
        <v/>
      </c>
    </row>
    <row r="217">
      <c r="A217" s="19" t="n"/>
      <c r="F217" s="20" t="n"/>
      <c r="Q217" s="10">
        <f>IF(E217="USD",CONFIG!$B$5,1)</f>
        <v/>
      </c>
      <c r="R217">
        <f>IF(AND(A217&lt;&gt;"",ISNUMBER(A217),B217&lt;&gt;"",C217&lt;&gt;"",OR(E217="USD",E217="CRC"),F217&gt;0,ISNUMBER(Q217),Q217&gt;0),"✓ OK","✗ ERROR: Revisa datos")</f>
        <v/>
      </c>
    </row>
    <row r="218">
      <c r="A218" s="19" t="n"/>
      <c r="F218" s="20" t="n"/>
      <c r="Q218" s="10">
        <f>IF(E218="USD",CONFIG!$B$5,1)</f>
        <v/>
      </c>
      <c r="R218">
        <f>IF(AND(A218&lt;&gt;"",ISNUMBER(A218),B218&lt;&gt;"",C218&lt;&gt;"",OR(E218="USD",E218="CRC"),F218&gt;0,ISNUMBER(Q218),Q218&gt;0),"✓ OK","✗ ERROR: Revisa datos")</f>
        <v/>
      </c>
    </row>
    <row r="219">
      <c r="A219" s="19" t="n"/>
      <c r="F219" s="20" t="n"/>
      <c r="Q219" s="10">
        <f>IF(E219="USD",CONFIG!$B$5,1)</f>
        <v/>
      </c>
      <c r="R219">
        <f>IF(AND(A219&lt;&gt;"",ISNUMBER(A219),B219&lt;&gt;"",C219&lt;&gt;"",OR(E219="USD",E219="CRC"),F219&gt;0,ISNUMBER(Q219),Q219&gt;0),"✓ OK","✗ ERROR: Revisa datos")</f>
        <v/>
      </c>
    </row>
    <row r="220">
      <c r="A220" s="19" t="n"/>
      <c r="F220" s="20" t="n"/>
      <c r="Q220" s="10">
        <f>IF(E220="USD",CONFIG!$B$5,1)</f>
        <v/>
      </c>
      <c r="R220">
        <f>IF(AND(A220&lt;&gt;"",ISNUMBER(A220),B220&lt;&gt;"",C220&lt;&gt;"",OR(E220="USD",E220="CRC"),F220&gt;0,ISNUMBER(Q220),Q220&gt;0),"✓ OK","✗ ERROR: Revisa datos")</f>
        <v/>
      </c>
    </row>
    <row r="221">
      <c r="A221" s="19" t="n"/>
      <c r="F221" s="20" t="n"/>
      <c r="Q221" s="10">
        <f>IF(E221="USD",CONFIG!$B$5,1)</f>
        <v/>
      </c>
      <c r="R221">
        <f>IF(AND(A221&lt;&gt;"",ISNUMBER(A221),B221&lt;&gt;"",C221&lt;&gt;"",OR(E221="USD",E221="CRC"),F221&gt;0,ISNUMBER(Q221),Q221&gt;0),"✓ OK","✗ ERROR: Revisa datos")</f>
        <v/>
      </c>
    </row>
    <row r="222">
      <c r="A222" s="19" t="n"/>
      <c r="F222" s="20" t="n"/>
      <c r="Q222" s="10">
        <f>IF(E222="USD",CONFIG!$B$5,1)</f>
        <v/>
      </c>
      <c r="R222">
        <f>IF(AND(A222&lt;&gt;"",ISNUMBER(A222),B222&lt;&gt;"",C222&lt;&gt;"",OR(E222="USD",E222="CRC"),F222&gt;0,ISNUMBER(Q222),Q222&gt;0),"✓ OK","✗ ERROR: Revisa datos")</f>
        <v/>
      </c>
    </row>
    <row r="223">
      <c r="A223" s="19" t="n"/>
      <c r="F223" s="20" t="n"/>
      <c r="Q223" s="10">
        <f>IF(E223="USD",CONFIG!$B$5,1)</f>
        <v/>
      </c>
      <c r="R223">
        <f>IF(AND(A223&lt;&gt;"",ISNUMBER(A223),B223&lt;&gt;"",C223&lt;&gt;"",OR(E223="USD",E223="CRC"),F223&gt;0,ISNUMBER(Q223),Q223&gt;0),"✓ OK","✗ ERROR: Revisa datos")</f>
        <v/>
      </c>
    </row>
    <row r="224">
      <c r="A224" s="19" t="n"/>
      <c r="F224" s="20" t="n"/>
      <c r="Q224" s="10">
        <f>IF(E224="USD",CONFIG!$B$5,1)</f>
        <v/>
      </c>
      <c r="R224">
        <f>IF(AND(A224&lt;&gt;"",ISNUMBER(A224),B224&lt;&gt;"",C224&lt;&gt;"",OR(E224="USD",E224="CRC"),F224&gt;0,ISNUMBER(Q224),Q224&gt;0),"✓ OK","✗ ERROR: Revisa datos")</f>
        <v/>
      </c>
    </row>
    <row r="225">
      <c r="A225" s="19" t="n"/>
      <c r="F225" s="20" t="n"/>
      <c r="Q225" s="10">
        <f>IF(E225="USD",CONFIG!$B$5,1)</f>
        <v/>
      </c>
      <c r="R225">
        <f>IF(AND(A225&lt;&gt;"",ISNUMBER(A225),B225&lt;&gt;"",C225&lt;&gt;"",OR(E225="USD",E225="CRC"),F225&gt;0,ISNUMBER(Q225),Q225&gt;0),"✓ OK","✗ ERROR: Revisa datos")</f>
        <v/>
      </c>
    </row>
    <row r="226">
      <c r="A226" s="19" t="n"/>
      <c r="F226" s="20" t="n"/>
      <c r="Q226" s="10">
        <f>IF(E226="USD",CONFIG!$B$5,1)</f>
        <v/>
      </c>
      <c r="R226">
        <f>IF(AND(A226&lt;&gt;"",ISNUMBER(A226),B226&lt;&gt;"",C226&lt;&gt;"",OR(E226="USD",E226="CRC"),F226&gt;0,ISNUMBER(Q226),Q226&gt;0),"✓ OK","✗ ERROR: Revisa datos")</f>
        <v/>
      </c>
    </row>
    <row r="227">
      <c r="A227" s="19" t="n"/>
      <c r="F227" s="20" t="n"/>
      <c r="Q227" s="10">
        <f>IF(E227="USD",CONFIG!$B$5,1)</f>
        <v/>
      </c>
      <c r="R227">
        <f>IF(AND(A227&lt;&gt;"",ISNUMBER(A227),B227&lt;&gt;"",C227&lt;&gt;"",OR(E227="USD",E227="CRC"),F227&gt;0,ISNUMBER(Q227),Q227&gt;0),"✓ OK","✗ ERROR: Revisa datos")</f>
        <v/>
      </c>
    </row>
    <row r="228">
      <c r="A228" s="19" t="n"/>
      <c r="F228" s="20" t="n"/>
      <c r="Q228" s="10">
        <f>IF(E228="USD",CONFIG!$B$5,1)</f>
        <v/>
      </c>
      <c r="R228">
        <f>IF(AND(A228&lt;&gt;"",ISNUMBER(A228),B228&lt;&gt;"",C228&lt;&gt;"",OR(E228="USD",E228="CRC"),F228&gt;0,ISNUMBER(Q228),Q228&gt;0),"✓ OK","✗ ERROR: Revisa datos")</f>
        <v/>
      </c>
    </row>
    <row r="229">
      <c r="A229" s="19" t="n"/>
      <c r="F229" s="20" t="n"/>
      <c r="Q229" s="10">
        <f>IF(E229="USD",CONFIG!$B$5,1)</f>
        <v/>
      </c>
      <c r="R229">
        <f>IF(AND(A229&lt;&gt;"",ISNUMBER(A229),B229&lt;&gt;"",C229&lt;&gt;"",OR(E229="USD",E229="CRC"),F229&gt;0,ISNUMBER(Q229),Q229&gt;0),"✓ OK","✗ ERROR: Revisa datos")</f>
        <v/>
      </c>
    </row>
    <row r="230">
      <c r="A230" s="19" t="n"/>
      <c r="F230" s="20" t="n"/>
      <c r="Q230" s="10">
        <f>IF(E230="USD",CONFIG!$B$5,1)</f>
        <v/>
      </c>
      <c r="R230">
        <f>IF(AND(A230&lt;&gt;"",ISNUMBER(A230),B230&lt;&gt;"",C230&lt;&gt;"",OR(E230="USD",E230="CRC"),F230&gt;0,ISNUMBER(Q230),Q230&gt;0),"✓ OK","✗ ERROR: Revisa datos")</f>
        <v/>
      </c>
    </row>
    <row r="231">
      <c r="A231" s="19" t="n"/>
      <c r="F231" s="20" t="n"/>
      <c r="Q231" s="10">
        <f>IF(E231="USD",CONFIG!$B$5,1)</f>
        <v/>
      </c>
      <c r="R231">
        <f>IF(AND(A231&lt;&gt;"",ISNUMBER(A231),B231&lt;&gt;"",C231&lt;&gt;"",OR(E231="USD",E231="CRC"),F231&gt;0,ISNUMBER(Q231),Q231&gt;0),"✓ OK","✗ ERROR: Revisa datos")</f>
        <v/>
      </c>
    </row>
    <row r="232">
      <c r="A232" s="19" t="n"/>
      <c r="F232" s="20" t="n"/>
      <c r="Q232" s="10">
        <f>IF(E232="USD",CONFIG!$B$5,1)</f>
        <v/>
      </c>
      <c r="R232">
        <f>IF(AND(A232&lt;&gt;"",ISNUMBER(A232),B232&lt;&gt;"",C232&lt;&gt;"",OR(E232="USD",E232="CRC"),F232&gt;0,ISNUMBER(Q232),Q232&gt;0),"✓ OK","✗ ERROR: Revisa datos")</f>
        <v/>
      </c>
    </row>
    <row r="233">
      <c r="A233" s="19" t="n"/>
      <c r="F233" s="20" t="n"/>
      <c r="Q233" s="10">
        <f>IF(E233="USD",CONFIG!$B$5,1)</f>
        <v/>
      </c>
      <c r="R233">
        <f>IF(AND(A233&lt;&gt;"",ISNUMBER(A233),B233&lt;&gt;"",C233&lt;&gt;"",OR(E233="USD",E233="CRC"),F233&gt;0,ISNUMBER(Q233),Q233&gt;0),"✓ OK","✗ ERROR: Revisa datos")</f>
        <v/>
      </c>
    </row>
    <row r="234">
      <c r="A234" s="19" t="n"/>
      <c r="F234" s="20" t="n"/>
      <c r="Q234" s="10">
        <f>IF(E234="USD",CONFIG!$B$5,1)</f>
        <v/>
      </c>
      <c r="R234">
        <f>IF(AND(A234&lt;&gt;"",ISNUMBER(A234),B234&lt;&gt;"",C234&lt;&gt;"",OR(E234="USD",E234="CRC"),F234&gt;0,ISNUMBER(Q234),Q234&gt;0),"✓ OK","✗ ERROR: Revisa datos")</f>
        <v/>
      </c>
    </row>
    <row r="235">
      <c r="A235" s="19" t="n"/>
      <c r="F235" s="20" t="n"/>
      <c r="Q235" s="10">
        <f>IF(E235="USD",CONFIG!$B$5,1)</f>
        <v/>
      </c>
      <c r="R235">
        <f>IF(AND(A235&lt;&gt;"",ISNUMBER(A235),B235&lt;&gt;"",C235&lt;&gt;"",OR(E235="USD",E235="CRC"),F235&gt;0,ISNUMBER(Q235),Q235&gt;0),"✓ OK","✗ ERROR: Revisa datos")</f>
        <v/>
      </c>
    </row>
    <row r="236">
      <c r="A236" s="19" t="n"/>
      <c r="F236" s="20" t="n"/>
      <c r="Q236" s="10">
        <f>IF(E236="USD",CONFIG!$B$5,1)</f>
        <v/>
      </c>
      <c r="R236">
        <f>IF(AND(A236&lt;&gt;"",ISNUMBER(A236),B236&lt;&gt;"",C236&lt;&gt;"",OR(E236="USD",E236="CRC"),F236&gt;0,ISNUMBER(Q236),Q236&gt;0),"✓ OK","✗ ERROR: Revisa datos")</f>
        <v/>
      </c>
    </row>
    <row r="237">
      <c r="A237" s="19" t="n"/>
      <c r="F237" s="20" t="n"/>
      <c r="Q237" s="10">
        <f>IF(E237="USD",CONFIG!$B$5,1)</f>
        <v/>
      </c>
      <c r="R237">
        <f>IF(AND(A237&lt;&gt;"",ISNUMBER(A237),B237&lt;&gt;"",C237&lt;&gt;"",OR(E237="USD",E237="CRC"),F237&gt;0,ISNUMBER(Q237),Q237&gt;0),"✓ OK","✗ ERROR: Revisa datos")</f>
        <v/>
      </c>
    </row>
    <row r="238">
      <c r="A238" s="19" t="n"/>
      <c r="F238" s="20" t="n"/>
      <c r="Q238" s="10">
        <f>IF(E238="USD",CONFIG!$B$5,1)</f>
        <v/>
      </c>
      <c r="R238">
        <f>IF(AND(A238&lt;&gt;"",ISNUMBER(A238),B238&lt;&gt;"",C238&lt;&gt;"",OR(E238="USD",E238="CRC"),F238&gt;0,ISNUMBER(Q238),Q238&gt;0),"✓ OK","✗ ERROR: Revisa datos")</f>
        <v/>
      </c>
    </row>
    <row r="239">
      <c r="A239" s="19" t="n"/>
      <c r="F239" s="20" t="n"/>
      <c r="Q239" s="10">
        <f>IF(E239="USD",CONFIG!$B$5,1)</f>
        <v/>
      </c>
      <c r="R239">
        <f>IF(AND(A239&lt;&gt;"",ISNUMBER(A239),B239&lt;&gt;"",C239&lt;&gt;"",OR(E239="USD",E239="CRC"),F239&gt;0,ISNUMBER(Q239),Q239&gt;0),"✓ OK","✗ ERROR: Revisa datos")</f>
        <v/>
      </c>
    </row>
    <row r="240">
      <c r="A240" s="19" t="n"/>
      <c r="F240" s="20" t="n"/>
      <c r="Q240" s="10">
        <f>IF(E240="USD",CONFIG!$B$5,1)</f>
        <v/>
      </c>
      <c r="R240">
        <f>IF(AND(A240&lt;&gt;"",ISNUMBER(A240),B240&lt;&gt;"",C240&lt;&gt;"",OR(E240="USD",E240="CRC"),F240&gt;0,ISNUMBER(Q240),Q240&gt;0),"✓ OK","✗ ERROR: Revisa datos")</f>
        <v/>
      </c>
    </row>
    <row r="241">
      <c r="A241" s="19" t="n"/>
      <c r="F241" s="20" t="n"/>
      <c r="Q241" s="10">
        <f>IF(E241="USD",CONFIG!$B$5,1)</f>
        <v/>
      </c>
      <c r="R241">
        <f>IF(AND(A241&lt;&gt;"",ISNUMBER(A241),B241&lt;&gt;"",C241&lt;&gt;"",OR(E241="USD",E241="CRC"),F241&gt;0,ISNUMBER(Q241),Q241&gt;0),"✓ OK","✗ ERROR: Revisa datos")</f>
        <v/>
      </c>
    </row>
    <row r="242">
      <c r="A242" s="19" t="n"/>
      <c r="F242" s="20" t="n"/>
      <c r="Q242" s="10">
        <f>IF(E242="USD",CONFIG!$B$5,1)</f>
        <v/>
      </c>
      <c r="R242">
        <f>IF(AND(A242&lt;&gt;"",ISNUMBER(A242),B242&lt;&gt;"",C242&lt;&gt;"",OR(E242="USD",E242="CRC"),F242&gt;0,ISNUMBER(Q242),Q242&gt;0),"✓ OK","✗ ERROR: Revisa datos")</f>
        <v/>
      </c>
    </row>
    <row r="243">
      <c r="A243" s="19" t="n"/>
      <c r="F243" s="20" t="n"/>
      <c r="Q243" s="10">
        <f>IF(E243="USD",CONFIG!$B$5,1)</f>
        <v/>
      </c>
      <c r="R243">
        <f>IF(AND(A243&lt;&gt;"",ISNUMBER(A243),B243&lt;&gt;"",C243&lt;&gt;"",OR(E243="USD",E243="CRC"),F243&gt;0,ISNUMBER(Q243),Q243&gt;0),"✓ OK","✗ ERROR: Revisa datos")</f>
        <v/>
      </c>
    </row>
    <row r="244">
      <c r="A244" s="19" t="n"/>
      <c r="F244" s="20" t="n"/>
      <c r="Q244" s="10">
        <f>IF(E244="USD",CONFIG!$B$5,1)</f>
        <v/>
      </c>
      <c r="R244">
        <f>IF(AND(A244&lt;&gt;"",ISNUMBER(A244),B244&lt;&gt;"",C244&lt;&gt;"",OR(E244="USD",E244="CRC"),F244&gt;0,ISNUMBER(Q244),Q244&gt;0),"✓ OK","✗ ERROR: Revisa datos")</f>
        <v/>
      </c>
    </row>
    <row r="245">
      <c r="A245" s="19" t="n"/>
      <c r="F245" s="20" t="n"/>
      <c r="Q245" s="10">
        <f>IF(E245="USD",CONFIG!$B$5,1)</f>
        <v/>
      </c>
      <c r="R245">
        <f>IF(AND(A245&lt;&gt;"",ISNUMBER(A245),B245&lt;&gt;"",C245&lt;&gt;"",OR(E245="USD",E245="CRC"),F245&gt;0,ISNUMBER(Q245),Q245&gt;0),"✓ OK","✗ ERROR: Revisa datos")</f>
        <v/>
      </c>
    </row>
    <row r="246">
      <c r="A246" s="19" t="n"/>
      <c r="F246" s="20" t="n"/>
      <c r="Q246" s="10">
        <f>IF(E246="USD",CONFIG!$B$5,1)</f>
        <v/>
      </c>
      <c r="R246">
        <f>IF(AND(A246&lt;&gt;"",ISNUMBER(A246),B246&lt;&gt;"",C246&lt;&gt;"",OR(E246="USD",E246="CRC"),F246&gt;0,ISNUMBER(Q246),Q246&gt;0),"✓ OK","✗ ERROR: Revisa datos")</f>
        <v/>
      </c>
    </row>
    <row r="247">
      <c r="A247" s="19" t="n"/>
      <c r="F247" s="20" t="n"/>
      <c r="Q247" s="10">
        <f>IF(E247="USD",CONFIG!$B$5,1)</f>
        <v/>
      </c>
      <c r="R247">
        <f>IF(AND(A247&lt;&gt;"",ISNUMBER(A247),B247&lt;&gt;"",C247&lt;&gt;"",OR(E247="USD",E247="CRC"),F247&gt;0,ISNUMBER(Q247),Q247&gt;0),"✓ OK","✗ ERROR: Revisa datos")</f>
        <v/>
      </c>
    </row>
    <row r="248">
      <c r="A248" s="19" t="n"/>
      <c r="F248" s="20" t="n"/>
      <c r="Q248" s="10">
        <f>IF(E248="USD",CONFIG!$B$5,1)</f>
        <v/>
      </c>
      <c r="R248">
        <f>IF(AND(A248&lt;&gt;"",ISNUMBER(A248),B248&lt;&gt;"",C248&lt;&gt;"",OR(E248="USD",E248="CRC"),F248&gt;0,ISNUMBER(Q248),Q248&gt;0),"✓ OK","✗ ERROR: Revisa datos")</f>
        <v/>
      </c>
    </row>
    <row r="249">
      <c r="A249" s="19" t="n"/>
      <c r="F249" s="20" t="n"/>
      <c r="Q249" s="10">
        <f>IF(E249="USD",CONFIG!$B$5,1)</f>
        <v/>
      </c>
      <c r="R249">
        <f>IF(AND(A249&lt;&gt;"",ISNUMBER(A249),B249&lt;&gt;"",C249&lt;&gt;"",OR(E249="USD",E249="CRC"),F249&gt;0,ISNUMBER(Q249),Q249&gt;0),"✓ OK","✗ ERROR: Revisa datos")</f>
        <v/>
      </c>
    </row>
    <row r="250">
      <c r="A250" s="19" t="n"/>
      <c r="F250" s="20" t="n"/>
      <c r="Q250" s="10">
        <f>IF(E250="USD",CONFIG!$B$5,1)</f>
        <v/>
      </c>
      <c r="R250">
        <f>IF(AND(A250&lt;&gt;"",ISNUMBER(A250),B250&lt;&gt;"",C250&lt;&gt;"",OR(E250="USD",E250="CRC"),F250&gt;0,ISNUMBER(Q250),Q250&gt;0),"✓ OK","✗ ERROR: Revisa datos")</f>
        <v/>
      </c>
    </row>
    <row r="251">
      <c r="A251" s="19" t="n"/>
      <c r="F251" s="20" t="n"/>
      <c r="Q251" s="10">
        <f>IF(E251="USD",CONFIG!$B$5,1)</f>
        <v/>
      </c>
      <c r="R251">
        <f>IF(AND(A251&lt;&gt;"",ISNUMBER(A251),B251&lt;&gt;"",C251&lt;&gt;"",OR(E251="USD",E251="CRC"),F251&gt;0,ISNUMBER(Q251),Q251&gt;0),"✓ OK","✗ ERROR: Revisa datos")</f>
        <v/>
      </c>
    </row>
    <row r="252">
      <c r="A252" s="19" t="n"/>
      <c r="F252" s="20" t="n"/>
      <c r="Q252" s="10">
        <f>IF(E252="USD",CONFIG!$B$5,1)</f>
        <v/>
      </c>
      <c r="R252">
        <f>IF(AND(A252&lt;&gt;"",ISNUMBER(A252),B252&lt;&gt;"",C252&lt;&gt;"",OR(E252="USD",E252="CRC"),F252&gt;0,ISNUMBER(Q252),Q252&gt;0),"✓ OK","✗ ERROR: Revisa datos")</f>
        <v/>
      </c>
    </row>
    <row r="253">
      <c r="A253" s="19" t="n"/>
      <c r="F253" s="20" t="n"/>
      <c r="Q253" s="10">
        <f>IF(E253="USD",CONFIG!$B$5,1)</f>
        <v/>
      </c>
      <c r="R253">
        <f>IF(AND(A253&lt;&gt;"",ISNUMBER(A253),B253&lt;&gt;"",C253&lt;&gt;"",OR(E253="USD",E253="CRC"),F253&gt;0,ISNUMBER(Q253),Q253&gt;0),"✓ OK","✗ ERROR: Revisa datos")</f>
        <v/>
      </c>
    </row>
    <row r="254">
      <c r="A254" s="19" t="n"/>
      <c r="F254" s="20" t="n"/>
      <c r="Q254" s="10">
        <f>IF(E254="USD",CONFIG!$B$5,1)</f>
        <v/>
      </c>
      <c r="R254">
        <f>IF(AND(A254&lt;&gt;"",ISNUMBER(A254),B254&lt;&gt;"",C254&lt;&gt;"",OR(E254="USD",E254="CRC"),F254&gt;0,ISNUMBER(Q254),Q254&gt;0),"✓ OK","✗ ERROR: Revisa datos")</f>
        <v/>
      </c>
    </row>
    <row r="255">
      <c r="A255" s="19" t="n"/>
      <c r="F255" s="20" t="n"/>
      <c r="Q255" s="10">
        <f>IF(E255="USD",CONFIG!$B$5,1)</f>
        <v/>
      </c>
      <c r="R255">
        <f>IF(AND(A255&lt;&gt;"",ISNUMBER(A255),B255&lt;&gt;"",C255&lt;&gt;"",OR(E255="USD",E255="CRC"),F255&gt;0,ISNUMBER(Q255),Q255&gt;0),"✓ OK","✗ ERROR: Revisa datos")</f>
        <v/>
      </c>
    </row>
    <row r="256">
      <c r="A256" s="19" t="n"/>
      <c r="F256" s="20" t="n"/>
      <c r="Q256" s="10">
        <f>IF(E256="USD",CONFIG!$B$5,1)</f>
        <v/>
      </c>
      <c r="R256">
        <f>IF(AND(A256&lt;&gt;"",ISNUMBER(A256),B256&lt;&gt;"",C256&lt;&gt;"",OR(E256="USD",E256="CRC"),F256&gt;0,ISNUMBER(Q256),Q256&gt;0),"✓ OK","✗ ERROR: Revisa datos")</f>
        <v/>
      </c>
    </row>
    <row r="257">
      <c r="A257" s="19" t="n"/>
      <c r="F257" s="20" t="n"/>
      <c r="Q257" s="10">
        <f>IF(E257="USD",CONFIG!$B$5,1)</f>
        <v/>
      </c>
      <c r="R257">
        <f>IF(AND(A257&lt;&gt;"",ISNUMBER(A257),B257&lt;&gt;"",C257&lt;&gt;"",OR(E257="USD",E257="CRC"),F257&gt;0,ISNUMBER(Q257),Q257&gt;0),"✓ OK","✗ ERROR: Revisa datos")</f>
        <v/>
      </c>
    </row>
    <row r="258">
      <c r="A258" s="19" t="n"/>
      <c r="F258" s="20" t="n"/>
      <c r="Q258" s="10">
        <f>IF(E258="USD",CONFIG!$B$5,1)</f>
        <v/>
      </c>
      <c r="R258">
        <f>IF(AND(A258&lt;&gt;"",ISNUMBER(A258),B258&lt;&gt;"",C258&lt;&gt;"",OR(E258="USD",E258="CRC"),F258&gt;0,ISNUMBER(Q258),Q258&gt;0),"✓ OK","✗ ERROR: Revisa datos")</f>
        <v/>
      </c>
    </row>
    <row r="259">
      <c r="A259" s="19" t="n"/>
      <c r="F259" s="20" t="n"/>
      <c r="Q259" s="10">
        <f>IF(E259="USD",CONFIG!$B$5,1)</f>
        <v/>
      </c>
      <c r="R259">
        <f>IF(AND(A259&lt;&gt;"",ISNUMBER(A259),B259&lt;&gt;"",C259&lt;&gt;"",OR(E259="USD",E259="CRC"),F259&gt;0,ISNUMBER(Q259),Q259&gt;0),"✓ OK","✗ ERROR: Revisa datos")</f>
        <v/>
      </c>
    </row>
    <row r="260">
      <c r="A260" s="19" t="n"/>
      <c r="F260" s="20" t="n"/>
      <c r="Q260" s="10">
        <f>IF(E260="USD",CONFIG!$B$5,1)</f>
        <v/>
      </c>
      <c r="R260">
        <f>IF(AND(A260&lt;&gt;"",ISNUMBER(A260),B260&lt;&gt;"",C260&lt;&gt;"",OR(E260="USD",E260="CRC"),F260&gt;0,ISNUMBER(Q260),Q260&gt;0),"✓ OK","✗ ERROR: Revisa datos")</f>
        <v/>
      </c>
    </row>
    <row r="261">
      <c r="A261" s="19" t="n"/>
      <c r="F261" s="20" t="n"/>
      <c r="Q261" s="10">
        <f>IF(E261="USD",CONFIG!$B$5,1)</f>
        <v/>
      </c>
      <c r="R261">
        <f>IF(AND(A261&lt;&gt;"",ISNUMBER(A261),B261&lt;&gt;"",C261&lt;&gt;"",OR(E261="USD",E261="CRC"),F261&gt;0,ISNUMBER(Q261),Q261&gt;0),"✓ OK","✗ ERROR: Revisa datos")</f>
        <v/>
      </c>
    </row>
    <row r="262">
      <c r="A262" s="19" t="n"/>
      <c r="F262" s="20" t="n"/>
      <c r="Q262" s="10">
        <f>IF(E262="USD",CONFIG!$B$5,1)</f>
        <v/>
      </c>
      <c r="R262">
        <f>IF(AND(A262&lt;&gt;"",ISNUMBER(A262),B262&lt;&gt;"",C262&lt;&gt;"",OR(E262="USD",E262="CRC"),F262&gt;0,ISNUMBER(Q262),Q262&gt;0),"✓ OK","✗ ERROR: Revisa datos")</f>
        <v/>
      </c>
    </row>
    <row r="263">
      <c r="A263" s="19" t="n"/>
      <c r="F263" s="20" t="n"/>
      <c r="Q263" s="10">
        <f>IF(E263="USD",CONFIG!$B$5,1)</f>
        <v/>
      </c>
      <c r="R263">
        <f>IF(AND(A263&lt;&gt;"",ISNUMBER(A263),B263&lt;&gt;"",C263&lt;&gt;"",OR(E263="USD",E263="CRC"),F263&gt;0,ISNUMBER(Q263),Q263&gt;0),"✓ OK","✗ ERROR: Revisa datos")</f>
        <v/>
      </c>
    </row>
    <row r="264">
      <c r="A264" s="19" t="n"/>
      <c r="F264" s="20" t="n"/>
      <c r="Q264" s="10">
        <f>IF(E264="USD",CONFIG!$B$5,1)</f>
        <v/>
      </c>
      <c r="R264">
        <f>IF(AND(A264&lt;&gt;"",ISNUMBER(A264),B264&lt;&gt;"",C264&lt;&gt;"",OR(E264="USD",E264="CRC"),F264&gt;0,ISNUMBER(Q264),Q264&gt;0),"✓ OK","✗ ERROR: Revisa datos")</f>
        <v/>
      </c>
    </row>
    <row r="265">
      <c r="A265" s="19" t="n"/>
      <c r="F265" s="20" t="n"/>
      <c r="Q265" s="10">
        <f>IF(E265="USD",CONFIG!$B$5,1)</f>
        <v/>
      </c>
      <c r="R265">
        <f>IF(AND(A265&lt;&gt;"",ISNUMBER(A265),B265&lt;&gt;"",C265&lt;&gt;"",OR(E265="USD",E265="CRC"),F265&gt;0,ISNUMBER(Q265),Q265&gt;0),"✓ OK","✗ ERROR: Revisa datos")</f>
        <v/>
      </c>
    </row>
    <row r="266">
      <c r="A266" s="19" t="n"/>
      <c r="F266" s="20" t="n"/>
      <c r="Q266" s="10">
        <f>IF(E266="USD",CONFIG!$B$5,1)</f>
        <v/>
      </c>
      <c r="R266">
        <f>IF(AND(A266&lt;&gt;"",ISNUMBER(A266),B266&lt;&gt;"",C266&lt;&gt;"",OR(E266="USD",E266="CRC"),F266&gt;0,ISNUMBER(Q266),Q266&gt;0),"✓ OK","✗ ERROR: Revisa datos")</f>
        <v/>
      </c>
    </row>
    <row r="267">
      <c r="A267" s="19" t="n"/>
      <c r="F267" s="20" t="n"/>
      <c r="Q267" s="10">
        <f>IF(E267="USD",CONFIG!$B$5,1)</f>
        <v/>
      </c>
      <c r="R267">
        <f>IF(AND(A267&lt;&gt;"",ISNUMBER(A267),B267&lt;&gt;"",C267&lt;&gt;"",OR(E267="USD",E267="CRC"),F267&gt;0,ISNUMBER(Q267),Q267&gt;0),"✓ OK","✗ ERROR: Revisa datos")</f>
        <v/>
      </c>
    </row>
    <row r="268">
      <c r="A268" s="19" t="n"/>
      <c r="F268" s="20" t="n"/>
      <c r="Q268" s="10">
        <f>IF(E268="USD",CONFIG!$B$5,1)</f>
        <v/>
      </c>
      <c r="R268">
        <f>IF(AND(A268&lt;&gt;"",ISNUMBER(A268),B268&lt;&gt;"",C268&lt;&gt;"",OR(E268="USD",E268="CRC"),F268&gt;0,ISNUMBER(Q268),Q268&gt;0),"✓ OK","✗ ERROR: Revisa datos")</f>
        <v/>
      </c>
    </row>
    <row r="269">
      <c r="A269" s="19" t="n"/>
      <c r="F269" s="20" t="n"/>
      <c r="Q269" s="10">
        <f>IF(E269="USD",CONFIG!$B$5,1)</f>
        <v/>
      </c>
      <c r="R269">
        <f>IF(AND(A269&lt;&gt;"",ISNUMBER(A269),B269&lt;&gt;"",C269&lt;&gt;"",OR(E269="USD",E269="CRC"),F269&gt;0,ISNUMBER(Q269),Q269&gt;0),"✓ OK","✗ ERROR: Revisa datos")</f>
        <v/>
      </c>
    </row>
    <row r="270">
      <c r="A270" s="19" t="n"/>
      <c r="F270" s="20" t="n"/>
      <c r="Q270" s="10">
        <f>IF(E270="USD",CONFIG!$B$5,1)</f>
        <v/>
      </c>
      <c r="R270">
        <f>IF(AND(A270&lt;&gt;"",ISNUMBER(A270),B270&lt;&gt;"",C270&lt;&gt;"",OR(E270="USD",E270="CRC"),F270&gt;0,ISNUMBER(Q270),Q270&gt;0),"✓ OK","✗ ERROR: Revisa datos")</f>
        <v/>
      </c>
    </row>
    <row r="271">
      <c r="A271" s="19" t="n"/>
      <c r="F271" s="20" t="n"/>
      <c r="Q271" s="10">
        <f>IF(E271="USD",CONFIG!$B$5,1)</f>
        <v/>
      </c>
      <c r="R271">
        <f>IF(AND(A271&lt;&gt;"",ISNUMBER(A271),B271&lt;&gt;"",C271&lt;&gt;"",OR(E271="USD",E271="CRC"),F271&gt;0,ISNUMBER(Q271),Q271&gt;0),"✓ OK","✗ ERROR: Revisa datos")</f>
        <v/>
      </c>
    </row>
    <row r="272">
      <c r="A272" s="19" t="n"/>
      <c r="F272" s="20" t="n"/>
      <c r="Q272" s="10">
        <f>IF(E272="USD",CONFIG!$B$5,1)</f>
        <v/>
      </c>
      <c r="R272">
        <f>IF(AND(A272&lt;&gt;"",ISNUMBER(A272),B272&lt;&gt;"",C272&lt;&gt;"",OR(E272="USD",E272="CRC"),F272&gt;0,ISNUMBER(Q272),Q272&gt;0),"✓ OK","✗ ERROR: Revisa datos")</f>
        <v/>
      </c>
    </row>
    <row r="273">
      <c r="A273" s="19" t="n"/>
      <c r="F273" s="20" t="n"/>
      <c r="Q273" s="10">
        <f>IF(E273="USD",CONFIG!$B$5,1)</f>
        <v/>
      </c>
      <c r="R273">
        <f>IF(AND(A273&lt;&gt;"",ISNUMBER(A273),B273&lt;&gt;"",C273&lt;&gt;"",OR(E273="USD",E273="CRC"),F273&gt;0,ISNUMBER(Q273),Q273&gt;0),"✓ OK","✗ ERROR: Revisa datos")</f>
        <v/>
      </c>
    </row>
    <row r="274">
      <c r="A274" s="19" t="n"/>
      <c r="F274" s="20" t="n"/>
      <c r="Q274" s="10">
        <f>IF(E274="USD",CONFIG!$B$5,1)</f>
        <v/>
      </c>
      <c r="R274">
        <f>IF(AND(A274&lt;&gt;"",ISNUMBER(A274),B274&lt;&gt;"",C274&lt;&gt;"",OR(E274="USD",E274="CRC"),F274&gt;0,ISNUMBER(Q274),Q274&gt;0),"✓ OK","✗ ERROR: Revisa datos")</f>
        <v/>
      </c>
    </row>
    <row r="275">
      <c r="A275" s="19" t="n"/>
      <c r="F275" s="20" t="n"/>
      <c r="Q275" s="10">
        <f>IF(E275="USD",CONFIG!$B$5,1)</f>
        <v/>
      </c>
      <c r="R275">
        <f>IF(AND(A275&lt;&gt;"",ISNUMBER(A275),B275&lt;&gt;"",C275&lt;&gt;"",OR(E275="USD",E275="CRC"),F275&gt;0,ISNUMBER(Q275),Q275&gt;0),"✓ OK","✗ ERROR: Revisa datos")</f>
        <v/>
      </c>
    </row>
    <row r="276">
      <c r="A276" s="19" t="n"/>
      <c r="F276" s="20" t="n"/>
      <c r="Q276" s="10">
        <f>IF(E276="USD",CONFIG!$B$5,1)</f>
        <v/>
      </c>
      <c r="R276">
        <f>IF(AND(A276&lt;&gt;"",ISNUMBER(A276),B276&lt;&gt;"",C276&lt;&gt;"",OR(E276="USD",E276="CRC"),F276&gt;0,ISNUMBER(Q276),Q276&gt;0),"✓ OK","✗ ERROR: Revisa datos")</f>
        <v/>
      </c>
    </row>
    <row r="277">
      <c r="A277" s="19" t="n"/>
      <c r="F277" s="20" t="n"/>
      <c r="Q277" s="10">
        <f>IF(E277="USD",CONFIG!$B$5,1)</f>
        <v/>
      </c>
      <c r="R277">
        <f>IF(AND(A277&lt;&gt;"",ISNUMBER(A277),B277&lt;&gt;"",C277&lt;&gt;"",OR(E277="USD",E277="CRC"),F277&gt;0,ISNUMBER(Q277),Q277&gt;0),"✓ OK","✗ ERROR: Revisa datos")</f>
        <v/>
      </c>
    </row>
    <row r="278">
      <c r="A278" s="19" t="n"/>
      <c r="F278" s="20" t="n"/>
      <c r="Q278" s="10">
        <f>IF(E278="USD",CONFIG!$B$5,1)</f>
        <v/>
      </c>
      <c r="R278">
        <f>IF(AND(A278&lt;&gt;"",ISNUMBER(A278),B278&lt;&gt;"",C278&lt;&gt;"",OR(E278="USD",E278="CRC"),F278&gt;0,ISNUMBER(Q278),Q278&gt;0),"✓ OK","✗ ERROR: Revisa datos")</f>
        <v/>
      </c>
    </row>
    <row r="279">
      <c r="A279" s="19" t="n"/>
      <c r="F279" s="20" t="n"/>
      <c r="Q279" s="10">
        <f>IF(E279="USD",CONFIG!$B$5,1)</f>
        <v/>
      </c>
      <c r="R279">
        <f>IF(AND(A279&lt;&gt;"",ISNUMBER(A279),B279&lt;&gt;"",C279&lt;&gt;"",OR(E279="USD",E279="CRC"),F279&gt;0,ISNUMBER(Q279),Q279&gt;0),"✓ OK","✗ ERROR: Revisa datos")</f>
        <v/>
      </c>
    </row>
    <row r="280">
      <c r="A280" s="19" t="n"/>
      <c r="F280" s="20" t="n"/>
      <c r="Q280" s="10">
        <f>IF(E280="USD",CONFIG!$B$5,1)</f>
        <v/>
      </c>
      <c r="R280">
        <f>IF(AND(A280&lt;&gt;"",ISNUMBER(A280),B280&lt;&gt;"",C280&lt;&gt;"",OR(E280="USD",E280="CRC"),F280&gt;0,ISNUMBER(Q280),Q280&gt;0),"✓ OK","✗ ERROR: Revisa datos")</f>
        <v/>
      </c>
    </row>
    <row r="281">
      <c r="A281" s="19" t="n"/>
      <c r="F281" s="20" t="n"/>
      <c r="Q281" s="10">
        <f>IF(E281="USD",CONFIG!$B$5,1)</f>
        <v/>
      </c>
      <c r="R281">
        <f>IF(AND(A281&lt;&gt;"",ISNUMBER(A281),B281&lt;&gt;"",C281&lt;&gt;"",OR(E281="USD",E281="CRC"),F281&gt;0,ISNUMBER(Q281),Q281&gt;0),"✓ OK","✗ ERROR: Revisa datos")</f>
        <v/>
      </c>
    </row>
    <row r="282">
      <c r="A282" s="19" t="n"/>
      <c r="F282" s="20" t="n"/>
      <c r="Q282" s="10">
        <f>IF(E282="USD",CONFIG!$B$5,1)</f>
        <v/>
      </c>
      <c r="R282">
        <f>IF(AND(A282&lt;&gt;"",ISNUMBER(A282),B282&lt;&gt;"",C282&lt;&gt;"",OR(E282="USD",E282="CRC"),F282&gt;0,ISNUMBER(Q282),Q282&gt;0),"✓ OK","✗ ERROR: Revisa datos")</f>
        <v/>
      </c>
    </row>
    <row r="283">
      <c r="A283" s="19" t="n"/>
      <c r="F283" s="20" t="n"/>
      <c r="Q283" s="10">
        <f>IF(E283="USD",CONFIG!$B$5,1)</f>
        <v/>
      </c>
      <c r="R283">
        <f>IF(AND(A283&lt;&gt;"",ISNUMBER(A283),B283&lt;&gt;"",C283&lt;&gt;"",OR(E283="USD",E283="CRC"),F283&gt;0,ISNUMBER(Q283),Q283&gt;0),"✓ OK","✗ ERROR: Revisa datos")</f>
        <v/>
      </c>
    </row>
    <row r="284">
      <c r="A284" s="19" t="n"/>
      <c r="F284" s="20" t="n"/>
      <c r="Q284" s="10">
        <f>IF(E284="USD",CONFIG!$B$5,1)</f>
        <v/>
      </c>
      <c r="R284">
        <f>IF(AND(A284&lt;&gt;"",ISNUMBER(A284),B284&lt;&gt;"",C284&lt;&gt;"",OR(E284="USD",E284="CRC"),F284&gt;0,ISNUMBER(Q284),Q284&gt;0),"✓ OK","✗ ERROR: Revisa datos")</f>
        <v/>
      </c>
    </row>
    <row r="285">
      <c r="A285" s="19" t="n"/>
      <c r="F285" s="20" t="n"/>
      <c r="Q285" s="10">
        <f>IF(E285="USD",CONFIG!$B$5,1)</f>
        <v/>
      </c>
      <c r="R285">
        <f>IF(AND(A285&lt;&gt;"",ISNUMBER(A285),B285&lt;&gt;"",C285&lt;&gt;"",OR(E285="USD",E285="CRC"),F285&gt;0,ISNUMBER(Q285),Q285&gt;0),"✓ OK","✗ ERROR: Revisa datos")</f>
        <v/>
      </c>
    </row>
    <row r="286">
      <c r="A286" s="19" t="n"/>
      <c r="F286" s="20" t="n"/>
      <c r="Q286" s="10">
        <f>IF(E286="USD",CONFIG!$B$5,1)</f>
        <v/>
      </c>
      <c r="R286">
        <f>IF(AND(A286&lt;&gt;"",ISNUMBER(A286),B286&lt;&gt;"",C286&lt;&gt;"",OR(E286="USD",E286="CRC"),F286&gt;0,ISNUMBER(Q286),Q286&gt;0),"✓ OK","✗ ERROR: Revisa datos")</f>
        <v/>
      </c>
    </row>
    <row r="287">
      <c r="A287" s="19" t="n"/>
      <c r="F287" s="20" t="n"/>
      <c r="Q287" s="10">
        <f>IF(E287="USD",CONFIG!$B$5,1)</f>
        <v/>
      </c>
      <c r="R287">
        <f>IF(AND(A287&lt;&gt;"",ISNUMBER(A287),B287&lt;&gt;"",C287&lt;&gt;"",OR(E287="USD",E287="CRC"),F287&gt;0,ISNUMBER(Q287),Q287&gt;0),"✓ OK","✗ ERROR: Revisa datos")</f>
        <v/>
      </c>
    </row>
    <row r="288">
      <c r="A288" s="19" t="n"/>
      <c r="F288" s="20" t="n"/>
      <c r="Q288" s="10">
        <f>IF(E288="USD",CONFIG!$B$5,1)</f>
        <v/>
      </c>
      <c r="R288">
        <f>IF(AND(A288&lt;&gt;"",ISNUMBER(A288),B288&lt;&gt;"",C288&lt;&gt;"",OR(E288="USD",E288="CRC"),F288&gt;0,ISNUMBER(Q288),Q288&gt;0),"✓ OK","✗ ERROR: Revisa datos")</f>
        <v/>
      </c>
    </row>
    <row r="289">
      <c r="A289" s="19" t="n"/>
      <c r="F289" s="20" t="n"/>
      <c r="Q289" s="10">
        <f>IF(E289="USD",CONFIG!$B$5,1)</f>
        <v/>
      </c>
      <c r="R289">
        <f>IF(AND(A289&lt;&gt;"",ISNUMBER(A289),B289&lt;&gt;"",C289&lt;&gt;"",OR(E289="USD",E289="CRC"),F289&gt;0,ISNUMBER(Q289),Q289&gt;0),"✓ OK","✗ ERROR: Revisa datos")</f>
        <v/>
      </c>
    </row>
    <row r="290">
      <c r="A290" s="19" t="n"/>
      <c r="F290" s="20" t="n"/>
      <c r="Q290" s="10">
        <f>IF(E290="USD",CONFIG!$B$5,1)</f>
        <v/>
      </c>
      <c r="R290">
        <f>IF(AND(A290&lt;&gt;"",ISNUMBER(A290),B290&lt;&gt;"",C290&lt;&gt;"",OR(E290="USD",E290="CRC"),F290&gt;0,ISNUMBER(Q290),Q290&gt;0),"✓ OK","✗ ERROR: Revisa datos")</f>
        <v/>
      </c>
    </row>
    <row r="291">
      <c r="A291" s="19" t="n"/>
      <c r="F291" s="20" t="n"/>
      <c r="Q291" s="10">
        <f>IF(E291="USD",CONFIG!$B$5,1)</f>
        <v/>
      </c>
      <c r="R291">
        <f>IF(AND(A291&lt;&gt;"",ISNUMBER(A291),B291&lt;&gt;"",C291&lt;&gt;"",OR(E291="USD",E291="CRC"),F291&gt;0,ISNUMBER(Q291),Q291&gt;0),"✓ OK","✗ ERROR: Revisa datos")</f>
        <v/>
      </c>
    </row>
    <row r="292">
      <c r="A292" s="19" t="n"/>
      <c r="F292" s="20" t="n"/>
      <c r="Q292" s="10">
        <f>IF(E292="USD",CONFIG!$B$5,1)</f>
        <v/>
      </c>
      <c r="R292">
        <f>IF(AND(A292&lt;&gt;"",ISNUMBER(A292),B292&lt;&gt;"",C292&lt;&gt;"",OR(E292="USD",E292="CRC"),F292&gt;0,ISNUMBER(Q292),Q292&gt;0),"✓ OK","✗ ERROR: Revisa datos")</f>
        <v/>
      </c>
    </row>
    <row r="293">
      <c r="A293" s="19" t="n"/>
      <c r="F293" s="20" t="n"/>
      <c r="Q293" s="10">
        <f>IF(E293="USD",CONFIG!$B$5,1)</f>
        <v/>
      </c>
      <c r="R293">
        <f>IF(AND(A293&lt;&gt;"",ISNUMBER(A293),B293&lt;&gt;"",C293&lt;&gt;"",OR(E293="USD",E293="CRC"),F293&gt;0,ISNUMBER(Q293),Q293&gt;0),"✓ OK","✗ ERROR: Revisa datos")</f>
        <v/>
      </c>
    </row>
    <row r="294">
      <c r="A294" s="19" t="n"/>
      <c r="F294" s="20" t="n"/>
      <c r="Q294" s="10">
        <f>IF(E294="USD",CONFIG!$B$5,1)</f>
        <v/>
      </c>
      <c r="R294">
        <f>IF(AND(A294&lt;&gt;"",ISNUMBER(A294),B294&lt;&gt;"",C294&lt;&gt;"",OR(E294="USD",E294="CRC"),F294&gt;0,ISNUMBER(Q294),Q294&gt;0),"✓ OK","✗ ERROR: Revisa datos")</f>
        <v/>
      </c>
    </row>
    <row r="295">
      <c r="A295" s="19" t="n"/>
      <c r="F295" s="20" t="n"/>
      <c r="Q295" s="10">
        <f>IF(E295="USD",CONFIG!$B$5,1)</f>
        <v/>
      </c>
      <c r="R295">
        <f>IF(AND(A295&lt;&gt;"",ISNUMBER(A295),B295&lt;&gt;"",C295&lt;&gt;"",OR(E295="USD",E295="CRC"),F295&gt;0,ISNUMBER(Q295),Q295&gt;0),"✓ OK","✗ ERROR: Revisa datos")</f>
        <v/>
      </c>
    </row>
    <row r="296">
      <c r="A296" s="19" t="n"/>
      <c r="F296" s="20" t="n"/>
      <c r="Q296" s="10">
        <f>IF(E296="USD",CONFIG!$B$5,1)</f>
        <v/>
      </c>
      <c r="R296">
        <f>IF(AND(A296&lt;&gt;"",ISNUMBER(A296),B296&lt;&gt;"",C296&lt;&gt;"",OR(E296="USD",E296="CRC"),F296&gt;0,ISNUMBER(Q296),Q296&gt;0),"✓ OK","✗ ERROR: Revisa datos")</f>
        <v/>
      </c>
    </row>
    <row r="297">
      <c r="A297" s="19" t="n"/>
      <c r="F297" s="20" t="n"/>
      <c r="Q297" s="10">
        <f>IF(E297="USD",CONFIG!$B$5,1)</f>
        <v/>
      </c>
      <c r="R297">
        <f>IF(AND(A297&lt;&gt;"",ISNUMBER(A297),B297&lt;&gt;"",C297&lt;&gt;"",OR(E297="USD",E297="CRC"),F297&gt;0,ISNUMBER(Q297),Q297&gt;0),"✓ OK","✗ ERROR: Revisa datos")</f>
        <v/>
      </c>
    </row>
    <row r="298">
      <c r="A298" s="19" t="n"/>
      <c r="F298" s="20" t="n"/>
      <c r="Q298" s="10">
        <f>IF(E298="USD",CONFIG!$B$5,1)</f>
        <v/>
      </c>
      <c r="R298">
        <f>IF(AND(A298&lt;&gt;"",ISNUMBER(A298),B298&lt;&gt;"",C298&lt;&gt;"",OR(E298="USD",E298="CRC"),F298&gt;0,ISNUMBER(Q298),Q298&gt;0),"✓ OK","✗ ERROR: Revisa datos")</f>
        <v/>
      </c>
    </row>
    <row r="299">
      <c r="A299" s="19" t="n"/>
      <c r="F299" s="20" t="n"/>
      <c r="Q299" s="10">
        <f>IF(E299="USD",CONFIG!$B$5,1)</f>
        <v/>
      </c>
      <c r="R299">
        <f>IF(AND(A299&lt;&gt;"",ISNUMBER(A299),B299&lt;&gt;"",C299&lt;&gt;"",OR(E299="USD",E299="CRC"),F299&gt;0,ISNUMBER(Q299),Q299&gt;0),"✓ OK","✗ ERROR: Revisa datos")</f>
        <v/>
      </c>
    </row>
    <row r="300">
      <c r="A300" s="19" t="n"/>
      <c r="F300" s="20" t="n"/>
      <c r="Q300" s="10">
        <f>IF(E300="USD",CONFIG!$B$5,1)</f>
        <v/>
      </c>
      <c r="R300">
        <f>IF(AND(A300&lt;&gt;"",ISNUMBER(A300),B300&lt;&gt;"",C300&lt;&gt;"",OR(E300="USD",E300="CRC"),F300&gt;0,ISNUMBER(Q300),Q300&gt;0),"✓ OK","✗ ERROR: Revisa datos")</f>
        <v/>
      </c>
    </row>
    <row r="301">
      <c r="A301" s="19" t="n"/>
      <c r="F301" s="20" t="n"/>
      <c r="Q301" s="10">
        <f>IF(E301="USD",CONFIG!$B$5,1)</f>
        <v/>
      </c>
      <c r="R301">
        <f>IF(AND(A301&lt;&gt;"",ISNUMBER(A301),B301&lt;&gt;"",C301&lt;&gt;"",OR(E301="USD",E301="CRC"),F301&gt;0,ISNUMBER(Q301),Q301&gt;0),"✓ OK","✗ ERROR: Revisa datos")</f>
        <v/>
      </c>
    </row>
    <row r="302">
      <c r="A302" s="19" t="n"/>
      <c r="F302" s="20" t="n"/>
      <c r="Q302" s="10">
        <f>IF(E302="USD",CONFIG!$B$5,1)</f>
        <v/>
      </c>
      <c r="R302">
        <f>IF(AND(A302&lt;&gt;"",ISNUMBER(A302),B302&lt;&gt;"",C302&lt;&gt;"",OR(E302="USD",E302="CRC"),F302&gt;0,ISNUMBER(Q302),Q302&gt;0),"✓ OK","✗ ERROR: Revisa datos")</f>
        <v/>
      </c>
    </row>
    <row r="303">
      <c r="A303" s="19" t="n"/>
      <c r="F303" s="20" t="n"/>
      <c r="Q303" s="10">
        <f>IF(E303="USD",CONFIG!$B$5,1)</f>
        <v/>
      </c>
      <c r="R303">
        <f>IF(AND(A303&lt;&gt;"",ISNUMBER(A303),B303&lt;&gt;"",C303&lt;&gt;"",OR(E303="USD",E303="CRC"),F303&gt;0,ISNUMBER(Q303),Q303&gt;0),"✓ OK","✗ ERROR: Revisa datos")</f>
        <v/>
      </c>
    </row>
    <row r="304">
      <c r="A304" s="19" t="n"/>
      <c r="F304" s="20" t="n"/>
      <c r="Q304" s="10">
        <f>IF(E304="USD",CONFIG!$B$5,1)</f>
        <v/>
      </c>
      <c r="R304">
        <f>IF(AND(A304&lt;&gt;"",ISNUMBER(A304),B304&lt;&gt;"",C304&lt;&gt;"",OR(E304="USD",E304="CRC"),F304&gt;0,ISNUMBER(Q304),Q304&gt;0),"✓ OK","✗ ERROR: Revisa datos")</f>
        <v/>
      </c>
    </row>
    <row r="305">
      <c r="A305" s="19" t="n"/>
      <c r="F305" s="20" t="n"/>
      <c r="Q305" s="10">
        <f>IF(E305="USD",CONFIG!$B$5,1)</f>
        <v/>
      </c>
      <c r="R305">
        <f>IF(AND(A305&lt;&gt;"",ISNUMBER(A305),B305&lt;&gt;"",C305&lt;&gt;"",OR(E305="USD",E305="CRC"),F305&gt;0,ISNUMBER(Q305),Q305&gt;0),"✓ OK","✗ ERROR: Revisa datos")</f>
        <v/>
      </c>
    </row>
    <row r="306">
      <c r="A306" s="19" t="n"/>
      <c r="F306" s="20" t="n"/>
      <c r="Q306" s="10">
        <f>IF(E306="USD",CONFIG!$B$5,1)</f>
        <v/>
      </c>
      <c r="R306">
        <f>IF(AND(A306&lt;&gt;"",ISNUMBER(A306),B306&lt;&gt;"",C306&lt;&gt;"",OR(E306="USD",E306="CRC"),F306&gt;0,ISNUMBER(Q306),Q306&gt;0),"✓ OK","✗ ERROR: Revisa datos")</f>
        <v/>
      </c>
    </row>
    <row r="307">
      <c r="A307" s="19" t="n"/>
      <c r="F307" s="20" t="n"/>
      <c r="Q307" s="10">
        <f>IF(E307="USD",CONFIG!$B$5,1)</f>
        <v/>
      </c>
      <c r="R307">
        <f>IF(AND(A307&lt;&gt;"",ISNUMBER(A307),B307&lt;&gt;"",C307&lt;&gt;"",OR(E307="USD",E307="CRC"),F307&gt;0,ISNUMBER(Q307),Q307&gt;0),"✓ OK","✗ ERROR: Revisa datos")</f>
        <v/>
      </c>
    </row>
    <row r="308">
      <c r="A308" s="19" t="n"/>
      <c r="F308" s="20" t="n"/>
      <c r="Q308" s="10">
        <f>IF(E308="USD",CONFIG!$B$5,1)</f>
        <v/>
      </c>
      <c r="R308">
        <f>IF(AND(A308&lt;&gt;"",ISNUMBER(A308),B308&lt;&gt;"",C308&lt;&gt;"",OR(E308="USD",E308="CRC"),F308&gt;0,ISNUMBER(Q308),Q308&gt;0),"✓ OK","✗ ERROR: Revisa datos")</f>
        <v/>
      </c>
    </row>
    <row r="309">
      <c r="A309" s="19" t="n"/>
      <c r="F309" s="20" t="n"/>
      <c r="Q309" s="10">
        <f>IF(E309="USD",CONFIG!$B$5,1)</f>
        <v/>
      </c>
      <c r="R309">
        <f>IF(AND(A309&lt;&gt;"",ISNUMBER(A309),B309&lt;&gt;"",C309&lt;&gt;"",OR(E309="USD",E309="CRC"),F309&gt;0,ISNUMBER(Q309),Q309&gt;0),"✓ OK","✗ ERROR: Revisa datos")</f>
        <v/>
      </c>
    </row>
    <row r="310">
      <c r="A310" s="19" t="n"/>
      <c r="F310" s="20" t="n"/>
      <c r="Q310" s="10">
        <f>IF(E310="USD",CONFIG!$B$5,1)</f>
        <v/>
      </c>
      <c r="R310">
        <f>IF(AND(A310&lt;&gt;"",ISNUMBER(A310),B310&lt;&gt;"",C310&lt;&gt;"",OR(E310="USD",E310="CRC"),F310&gt;0,ISNUMBER(Q310),Q310&gt;0),"✓ OK","✗ ERROR: Revisa datos")</f>
        <v/>
      </c>
    </row>
    <row r="311">
      <c r="A311" s="19" t="n"/>
      <c r="F311" s="20" t="n"/>
      <c r="Q311" s="10">
        <f>IF(E311="USD",CONFIG!$B$5,1)</f>
        <v/>
      </c>
      <c r="R311">
        <f>IF(AND(A311&lt;&gt;"",ISNUMBER(A311),B311&lt;&gt;"",C311&lt;&gt;"",OR(E311="USD",E311="CRC"),F311&gt;0,ISNUMBER(Q311),Q311&gt;0),"✓ OK","✗ ERROR: Revisa datos")</f>
        <v/>
      </c>
    </row>
    <row r="312">
      <c r="A312" s="19" t="n"/>
      <c r="F312" s="20" t="n"/>
      <c r="Q312" s="10">
        <f>IF(E312="USD",CONFIG!$B$5,1)</f>
        <v/>
      </c>
      <c r="R312">
        <f>IF(AND(A312&lt;&gt;"",ISNUMBER(A312),B312&lt;&gt;"",C312&lt;&gt;"",OR(E312="USD",E312="CRC"),F312&gt;0,ISNUMBER(Q312),Q312&gt;0),"✓ OK","✗ ERROR: Revisa datos")</f>
        <v/>
      </c>
    </row>
    <row r="313">
      <c r="A313" s="19" t="n"/>
      <c r="F313" s="20" t="n"/>
      <c r="Q313" s="10">
        <f>IF(E313="USD",CONFIG!$B$5,1)</f>
        <v/>
      </c>
      <c r="R313">
        <f>IF(AND(A313&lt;&gt;"",ISNUMBER(A313),B313&lt;&gt;"",C313&lt;&gt;"",OR(E313="USD",E313="CRC"),F313&gt;0,ISNUMBER(Q313),Q313&gt;0),"✓ OK","✗ ERROR: Revisa datos")</f>
        <v/>
      </c>
    </row>
    <row r="314">
      <c r="A314" s="19" t="n"/>
      <c r="F314" s="20" t="n"/>
      <c r="Q314" s="10">
        <f>IF(E314="USD",CONFIG!$B$5,1)</f>
        <v/>
      </c>
      <c r="R314">
        <f>IF(AND(A314&lt;&gt;"",ISNUMBER(A314),B314&lt;&gt;"",C314&lt;&gt;"",OR(E314="USD",E314="CRC"),F314&gt;0,ISNUMBER(Q314),Q314&gt;0),"✓ OK","✗ ERROR: Revisa datos")</f>
        <v/>
      </c>
    </row>
    <row r="315">
      <c r="A315" s="19" t="n"/>
      <c r="F315" s="20" t="n"/>
      <c r="Q315" s="10">
        <f>IF(E315="USD",CONFIG!$B$5,1)</f>
        <v/>
      </c>
      <c r="R315">
        <f>IF(AND(A315&lt;&gt;"",ISNUMBER(A315),B315&lt;&gt;"",C315&lt;&gt;"",OR(E315="USD",E315="CRC"),F315&gt;0,ISNUMBER(Q315),Q315&gt;0),"✓ OK","✗ ERROR: Revisa datos")</f>
        <v/>
      </c>
    </row>
    <row r="316">
      <c r="A316" s="19" t="n"/>
      <c r="F316" s="20" t="n"/>
      <c r="Q316" s="10">
        <f>IF(E316="USD",CONFIG!$B$5,1)</f>
        <v/>
      </c>
      <c r="R316">
        <f>IF(AND(A316&lt;&gt;"",ISNUMBER(A316),B316&lt;&gt;"",C316&lt;&gt;"",OR(E316="USD",E316="CRC"),F316&gt;0,ISNUMBER(Q316),Q316&gt;0),"✓ OK","✗ ERROR: Revisa datos")</f>
        <v/>
      </c>
    </row>
    <row r="317">
      <c r="A317" s="19" t="n"/>
      <c r="F317" s="20" t="n"/>
      <c r="Q317" s="10">
        <f>IF(E317="USD",CONFIG!$B$5,1)</f>
        <v/>
      </c>
      <c r="R317">
        <f>IF(AND(A317&lt;&gt;"",ISNUMBER(A317),B317&lt;&gt;"",C317&lt;&gt;"",OR(E317="USD",E317="CRC"),F317&gt;0,ISNUMBER(Q317),Q317&gt;0),"✓ OK","✗ ERROR: Revisa datos")</f>
        <v/>
      </c>
    </row>
    <row r="318">
      <c r="A318" s="19" t="n"/>
      <c r="F318" s="20" t="n"/>
      <c r="Q318" s="10">
        <f>IF(E318="USD",CONFIG!$B$5,1)</f>
        <v/>
      </c>
      <c r="R318">
        <f>IF(AND(A318&lt;&gt;"",ISNUMBER(A318),B318&lt;&gt;"",C318&lt;&gt;"",OR(E318="USD",E318="CRC"),F318&gt;0,ISNUMBER(Q318),Q318&gt;0),"✓ OK","✗ ERROR: Revisa datos")</f>
        <v/>
      </c>
    </row>
    <row r="319">
      <c r="A319" s="19" t="n"/>
      <c r="F319" s="20" t="n"/>
      <c r="Q319" s="10">
        <f>IF(E319="USD",CONFIG!$B$5,1)</f>
        <v/>
      </c>
      <c r="R319">
        <f>IF(AND(A319&lt;&gt;"",ISNUMBER(A319),B319&lt;&gt;"",C319&lt;&gt;"",OR(E319="USD",E319="CRC"),F319&gt;0,ISNUMBER(Q319),Q319&gt;0),"✓ OK","✗ ERROR: Revisa datos")</f>
        <v/>
      </c>
    </row>
    <row r="320">
      <c r="A320" s="19" t="n"/>
      <c r="F320" s="20" t="n"/>
      <c r="Q320" s="10">
        <f>IF(E320="USD",CONFIG!$B$5,1)</f>
        <v/>
      </c>
      <c r="R320">
        <f>IF(AND(A320&lt;&gt;"",ISNUMBER(A320),B320&lt;&gt;"",C320&lt;&gt;"",OR(E320="USD",E320="CRC"),F320&gt;0,ISNUMBER(Q320),Q320&gt;0),"✓ OK","✗ ERROR: Revisa datos")</f>
        <v/>
      </c>
    </row>
    <row r="321">
      <c r="A321" s="19" t="n"/>
      <c r="F321" s="20" t="n"/>
      <c r="Q321" s="10">
        <f>IF(E321="USD",CONFIG!$B$5,1)</f>
        <v/>
      </c>
      <c r="R321">
        <f>IF(AND(A321&lt;&gt;"",ISNUMBER(A321),B321&lt;&gt;"",C321&lt;&gt;"",OR(E321="USD",E321="CRC"),F321&gt;0,ISNUMBER(Q321),Q321&gt;0),"✓ OK","✗ ERROR: Revisa datos")</f>
        <v/>
      </c>
    </row>
    <row r="322">
      <c r="A322" s="19" t="n"/>
      <c r="F322" s="20" t="n"/>
      <c r="Q322" s="10">
        <f>IF(E322="USD",CONFIG!$B$5,1)</f>
        <v/>
      </c>
      <c r="R322">
        <f>IF(AND(A322&lt;&gt;"",ISNUMBER(A322),B322&lt;&gt;"",C322&lt;&gt;"",OR(E322="USD",E322="CRC"),F322&gt;0,ISNUMBER(Q322),Q322&gt;0),"✓ OK","✗ ERROR: Revisa datos")</f>
        <v/>
      </c>
    </row>
    <row r="323">
      <c r="A323" s="19" t="n"/>
      <c r="F323" s="20" t="n"/>
      <c r="Q323" s="10">
        <f>IF(E323="USD",CONFIG!$B$5,1)</f>
        <v/>
      </c>
      <c r="R323">
        <f>IF(AND(A323&lt;&gt;"",ISNUMBER(A323),B323&lt;&gt;"",C323&lt;&gt;"",OR(E323="USD",E323="CRC"),F323&gt;0,ISNUMBER(Q323),Q323&gt;0),"✓ OK","✗ ERROR: Revisa datos")</f>
        <v/>
      </c>
    </row>
    <row r="324">
      <c r="A324" s="19" t="n"/>
      <c r="F324" s="20" t="n"/>
      <c r="Q324" s="10">
        <f>IF(E324="USD",CONFIG!$B$5,1)</f>
        <v/>
      </c>
      <c r="R324">
        <f>IF(AND(A324&lt;&gt;"",ISNUMBER(A324),B324&lt;&gt;"",C324&lt;&gt;"",OR(E324="USD",E324="CRC"),F324&gt;0,ISNUMBER(Q324),Q324&gt;0),"✓ OK","✗ ERROR: Revisa datos")</f>
        <v/>
      </c>
    </row>
    <row r="325">
      <c r="A325" s="19" t="n"/>
      <c r="F325" s="20" t="n"/>
      <c r="Q325" s="10">
        <f>IF(E325="USD",CONFIG!$B$5,1)</f>
        <v/>
      </c>
      <c r="R325">
        <f>IF(AND(A325&lt;&gt;"",ISNUMBER(A325),B325&lt;&gt;"",C325&lt;&gt;"",OR(E325="USD",E325="CRC"),F325&gt;0,ISNUMBER(Q325),Q325&gt;0),"✓ OK","✗ ERROR: Revisa datos")</f>
        <v/>
      </c>
    </row>
    <row r="326">
      <c r="A326" s="19" t="n"/>
      <c r="F326" s="20" t="n"/>
      <c r="Q326" s="10">
        <f>IF(E326="USD",CONFIG!$B$5,1)</f>
        <v/>
      </c>
      <c r="R326">
        <f>IF(AND(A326&lt;&gt;"",ISNUMBER(A326),B326&lt;&gt;"",C326&lt;&gt;"",OR(E326="USD",E326="CRC"),F326&gt;0,ISNUMBER(Q326),Q326&gt;0),"✓ OK","✗ ERROR: Revisa datos")</f>
        <v/>
      </c>
    </row>
    <row r="327">
      <c r="A327" s="19" t="n"/>
      <c r="F327" s="20" t="n"/>
      <c r="Q327" s="10">
        <f>IF(E327="USD",CONFIG!$B$5,1)</f>
        <v/>
      </c>
      <c r="R327">
        <f>IF(AND(A327&lt;&gt;"",ISNUMBER(A327),B327&lt;&gt;"",C327&lt;&gt;"",OR(E327="USD",E327="CRC"),F327&gt;0,ISNUMBER(Q327),Q327&gt;0),"✓ OK","✗ ERROR: Revisa datos")</f>
        <v/>
      </c>
    </row>
    <row r="328">
      <c r="A328" s="19" t="n"/>
      <c r="F328" s="20" t="n"/>
      <c r="Q328" s="10">
        <f>IF(E328="USD",CONFIG!$B$5,1)</f>
        <v/>
      </c>
      <c r="R328">
        <f>IF(AND(A328&lt;&gt;"",ISNUMBER(A328),B328&lt;&gt;"",C328&lt;&gt;"",OR(E328="USD",E328="CRC"),F328&gt;0,ISNUMBER(Q328),Q328&gt;0),"✓ OK","✗ ERROR: Revisa datos")</f>
        <v/>
      </c>
    </row>
    <row r="329">
      <c r="A329" s="19" t="n"/>
      <c r="F329" s="20" t="n"/>
      <c r="Q329" s="10">
        <f>IF(E329="USD",CONFIG!$B$5,1)</f>
        <v/>
      </c>
      <c r="R329">
        <f>IF(AND(A329&lt;&gt;"",ISNUMBER(A329),B329&lt;&gt;"",C329&lt;&gt;"",OR(E329="USD",E329="CRC"),F329&gt;0,ISNUMBER(Q329),Q329&gt;0),"✓ OK","✗ ERROR: Revisa datos")</f>
        <v/>
      </c>
    </row>
    <row r="330">
      <c r="A330" s="19" t="n"/>
      <c r="F330" s="20" t="n"/>
      <c r="Q330" s="10">
        <f>IF(E330="USD",CONFIG!$B$5,1)</f>
        <v/>
      </c>
      <c r="R330">
        <f>IF(AND(A330&lt;&gt;"",ISNUMBER(A330),B330&lt;&gt;"",C330&lt;&gt;"",OR(E330="USD",E330="CRC"),F330&gt;0,ISNUMBER(Q330),Q330&gt;0),"✓ OK","✗ ERROR: Revisa datos")</f>
        <v/>
      </c>
    </row>
    <row r="331">
      <c r="A331" s="19" t="n"/>
      <c r="F331" s="20" t="n"/>
      <c r="Q331" s="10">
        <f>IF(E331="USD",CONFIG!$B$5,1)</f>
        <v/>
      </c>
      <c r="R331">
        <f>IF(AND(A331&lt;&gt;"",ISNUMBER(A331),B331&lt;&gt;"",C331&lt;&gt;"",OR(E331="USD",E331="CRC"),F331&gt;0,ISNUMBER(Q331),Q331&gt;0),"✓ OK","✗ ERROR: Revisa datos")</f>
        <v/>
      </c>
    </row>
    <row r="332">
      <c r="A332" s="19" t="n"/>
      <c r="F332" s="20" t="n"/>
      <c r="Q332" s="10">
        <f>IF(E332="USD",CONFIG!$B$5,1)</f>
        <v/>
      </c>
      <c r="R332">
        <f>IF(AND(A332&lt;&gt;"",ISNUMBER(A332),B332&lt;&gt;"",C332&lt;&gt;"",OR(E332="USD",E332="CRC"),F332&gt;0,ISNUMBER(Q332),Q332&gt;0),"✓ OK","✗ ERROR: Revisa datos")</f>
        <v/>
      </c>
    </row>
    <row r="333">
      <c r="A333" s="19" t="n"/>
      <c r="F333" s="20" t="n"/>
      <c r="Q333" s="10">
        <f>IF(E333="USD",CONFIG!$B$5,1)</f>
        <v/>
      </c>
      <c r="R333">
        <f>IF(AND(A333&lt;&gt;"",ISNUMBER(A333),B333&lt;&gt;"",C333&lt;&gt;"",OR(E333="USD",E333="CRC"),F333&gt;0,ISNUMBER(Q333),Q333&gt;0),"✓ OK","✗ ERROR: Revisa datos")</f>
        <v/>
      </c>
    </row>
    <row r="334">
      <c r="A334" s="19" t="n"/>
      <c r="F334" s="20" t="n"/>
      <c r="Q334" s="10">
        <f>IF(E334="USD",CONFIG!$B$5,1)</f>
        <v/>
      </c>
      <c r="R334">
        <f>IF(AND(A334&lt;&gt;"",ISNUMBER(A334),B334&lt;&gt;"",C334&lt;&gt;"",OR(E334="USD",E334="CRC"),F334&gt;0,ISNUMBER(Q334),Q334&gt;0),"✓ OK","✗ ERROR: Revisa datos")</f>
        <v/>
      </c>
    </row>
    <row r="335">
      <c r="A335" s="19" t="n"/>
      <c r="F335" s="20" t="n"/>
      <c r="Q335" s="10">
        <f>IF(E335="USD",CONFIG!$B$5,1)</f>
        <v/>
      </c>
      <c r="R335">
        <f>IF(AND(A335&lt;&gt;"",ISNUMBER(A335),B335&lt;&gt;"",C335&lt;&gt;"",OR(E335="USD",E335="CRC"),F335&gt;0,ISNUMBER(Q335),Q335&gt;0),"✓ OK","✗ ERROR: Revisa datos")</f>
        <v/>
      </c>
    </row>
    <row r="336">
      <c r="A336" s="19" t="n"/>
      <c r="F336" s="20" t="n"/>
      <c r="Q336" s="10">
        <f>IF(E336="USD",CONFIG!$B$5,1)</f>
        <v/>
      </c>
      <c r="R336">
        <f>IF(AND(A336&lt;&gt;"",ISNUMBER(A336),B336&lt;&gt;"",C336&lt;&gt;"",OR(E336="USD",E336="CRC"),F336&gt;0,ISNUMBER(Q336),Q336&gt;0),"✓ OK","✗ ERROR: Revisa datos")</f>
        <v/>
      </c>
    </row>
    <row r="337">
      <c r="A337" s="19" t="n"/>
      <c r="F337" s="20" t="n"/>
      <c r="Q337" s="10">
        <f>IF(E337="USD",CONFIG!$B$5,1)</f>
        <v/>
      </c>
      <c r="R337">
        <f>IF(AND(A337&lt;&gt;"",ISNUMBER(A337),B337&lt;&gt;"",C337&lt;&gt;"",OR(E337="USD",E337="CRC"),F337&gt;0,ISNUMBER(Q337),Q337&gt;0),"✓ OK","✗ ERROR: Revisa datos")</f>
        <v/>
      </c>
    </row>
    <row r="338">
      <c r="A338" s="19" t="n"/>
      <c r="F338" s="20" t="n"/>
      <c r="Q338" s="10">
        <f>IF(E338="USD",CONFIG!$B$5,1)</f>
        <v/>
      </c>
      <c r="R338">
        <f>IF(AND(A338&lt;&gt;"",ISNUMBER(A338),B338&lt;&gt;"",C338&lt;&gt;"",OR(E338="USD",E338="CRC"),F338&gt;0,ISNUMBER(Q338),Q338&gt;0),"✓ OK","✗ ERROR: Revisa datos")</f>
        <v/>
      </c>
    </row>
    <row r="339">
      <c r="A339" s="19" t="n"/>
      <c r="F339" s="20" t="n"/>
      <c r="Q339" s="10">
        <f>IF(E339="USD",CONFIG!$B$5,1)</f>
        <v/>
      </c>
      <c r="R339">
        <f>IF(AND(A339&lt;&gt;"",ISNUMBER(A339),B339&lt;&gt;"",C339&lt;&gt;"",OR(E339="USD",E339="CRC"),F339&gt;0,ISNUMBER(Q339),Q339&gt;0),"✓ OK","✗ ERROR: Revisa datos")</f>
        <v/>
      </c>
    </row>
    <row r="340">
      <c r="A340" s="19" t="n"/>
      <c r="F340" s="20" t="n"/>
      <c r="Q340" s="10">
        <f>IF(E340="USD",CONFIG!$B$5,1)</f>
        <v/>
      </c>
      <c r="R340">
        <f>IF(AND(A340&lt;&gt;"",ISNUMBER(A340),B340&lt;&gt;"",C340&lt;&gt;"",OR(E340="USD",E340="CRC"),F340&gt;0,ISNUMBER(Q340),Q340&gt;0),"✓ OK","✗ ERROR: Revisa datos")</f>
        <v/>
      </c>
    </row>
    <row r="341">
      <c r="A341" s="19" t="n"/>
      <c r="F341" s="20" t="n"/>
      <c r="Q341" s="10">
        <f>IF(E341="USD",CONFIG!$B$5,1)</f>
        <v/>
      </c>
      <c r="R341">
        <f>IF(AND(A341&lt;&gt;"",ISNUMBER(A341),B341&lt;&gt;"",C341&lt;&gt;"",OR(E341="USD",E341="CRC"),F341&gt;0,ISNUMBER(Q341),Q341&gt;0),"✓ OK","✗ ERROR: Revisa datos")</f>
        <v/>
      </c>
    </row>
    <row r="342">
      <c r="A342" s="19" t="n"/>
      <c r="F342" s="20" t="n"/>
      <c r="Q342" s="10">
        <f>IF(E342="USD",CONFIG!$B$5,1)</f>
        <v/>
      </c>
      <c r="R342">
        <f>IF(AND(A342&lt;&gt;"",ISNUMBER(A342),B342&lt;&gt;"",C342&lt;&gt;"",OR(E342="USD",E342="CRC"),F342&gt;0,ISNUMBER(Q342),Q342&gt;0),"✓ OK","✗ ERROR: Revisa datos")</f>
        <v/>
      </c>
    </row>
    <row r="343">
      <c r="A343" s="19" t="n"/>
      <c r="F343" s="20" t="n"/>
      <c r="Q343" s="10">
        <f>IF(E343="USD",CONFIG!$B$5,1)</f>
        <v/>
      </c>
      <c r="R343">
        <f>IF(AND(A343&lt;&gt;"",ISNUMBER(A343),B343&lt;&gt;"",C343&lt;&gt;"",OR(E343="USD",E343="CRC"),F343&gt;0,ISNUMBER(Q343),Q343&gt;0),"✓ OK","✗ ERROR: Revisa datos")</f>
        <v/>
      </c>
    </row>
    <row r="344">
      <c r="A344" s="19" t="n"/>
      <c r="F344" s="20" t="n"/>
      <c r="Q344" s="10">
        <f>IF(E344="USD",CONFIG!$B$5,1)</f>
        <v/>
      </c>
      <c r="R344">
        <f>IF(AND(A344&lt;&gt;"",ISNUMBER(A344),B344&lt;&gt;"",C344&lt;&gt;"",OR(E344="USD",E344="CRC"),F344&gt;0,ISNUMBER(Q344),Q344&gt;0),"✓ OK","✗ ERROR: Revisa datos")</f>
        <v/>
      </c>
    </row>
    <row r="345">
      <c r="A345" s="19" t="n"/>
      <c r="F345" s="20" t="n"/>
      <c r="Q345" s="10">
        <f>IF(E345="USD",CONFIG!$B$5,1)</f>
        <v/>
      </c>
      <c r="R345">
        <f>IF(AND(A345&lt;&gt;"",ISNUMBER(A345),B345&lt;&gt;"",C345&lt;&gt;"",OR(E345="USD",E345="CRC"),F345&gt;0,ISNUMBER(Q345),Q345&gt;0),"✓ OK","✗ ERROR: Revisa datos")</f>
        <v/>
      </c>
    </row>
    <row r="346">
      <c r="A346" s="19" t="n"/>
      <c r="F346" s="20" t="n"/>
      <c r="Q346" s="10">
        <f>IF(E346="USD",CONFIG!$B$5,1)</f>
        <v/>
      </c>
      <c r="R346">
        <f>IF(AND(A346&lt;&gt;"",ISNUMBER(A346),B346&lt;&gt;"",C346&lt;&gt;"",OR(E346="USD",E346="CRC"),F346&gt;0,ISNUMBER(Q346),Q346&gt;0),"✓ OK","✗ ERROR: Revisa datos")</f>
        <v/>
      </c>
    </row>
    <row r="347">
      <c r="A347" s="19" t="n"/>
      <c r="F347" s="20" t="n"/>
      <c r="Q347" s="10">
        <f>IF(E347="USD",CONFIG!$B$5,1)</f>
        <v/>
      </c>
      <c r="R347">
        <f>IF(AND(A347&lt;&gt;"",ISNUMBER(A347),B347&lt;&gt;"",C347&lt;&gt;"",OR(E347="USD",E347="CRC"),F347&gt;0,ISNUMBER(Q347),Q347&gt;0),"✓ OK","✗ ERROR: Revisa datos")</f>
        <v/>
      </c>
    </row>
    <row r="348">
      <c r="A348" s="19" t="n"/>
      <c r="F348" s="20" t="n"/>
      <c r="Q348" s="10">
        <f>IF(E348="USD",CONFIG!$B$5,1)</f>
        <v/>
      </c>
      <c r="R348">
        <f>IF(AND(A348&lt;&gt;"",ISNUMBER(A348),B348&lt;&gt;"",C348&lt;&gt;"",OR(E348="USD",E348="CRC"),F348&gt;0,ISNUMBER(Q348),Q348&gt;0),"✓ OK","✗ ERROR: Revisa datos")</f>
        <v/>
      </c>
    </row>
    <row r="349">
      <c r="A349" s="19" t="n"/>
      <c r="F349" s="20" t="n"/>
      <c r="Q349" s="10">
        <f>IF(E349="USD",CONFIG!$B$5,1)</f>
        <v/>
      </c>
      <c r="R349">
        <f>IF(AND(A349&lt;&gt;"",ISNUMBER(A349),B349&lt;&gt;"",C349&lt;&gt;"",OR(E349="USD",E349="CRC"),F349&gt;0,ISNUMBER(Q349),Q349&gt;0),"✓ OK","✗ ERROR: Revisa datos")</f>
        <v/>
      </c>
    </row>
    <row r="350">
      <c r="A350" s="19" t="n"/>
      <c r="F350" s="20" t="n"/>
      <c r="Q350" s="10">
        <f>IF(E350="USD",CONFIG!$B$5,1)</f>
        <v/>
      </c>
      <c r="R350">
        <f>IF(AND(A350&lt;&gt;"",ISNUMBER(A350),B350&lt;&gt;"",C350&lt;&gt;"",OR(E350="USD",E350="CRC"),F350&gt;0,ISNUMBER(Q350),Q350&gt;0),"✓ OK","✗ ERROR: Revisa datos")</f>
        <v/>
      </c>
    </row>
    <row r="351">
      <c r="A351" s="19" t="n"/>
      <c r="F351" s="20" t="n"/>
      <c r="Q351" s="10">
        <f>IF(E351="USD",CONFIG!$B$5,1)</f>
        <v/>
      </c>
      <c r="R351">
        <f>IF(AND(A351&lt;&gt;"",ISNUMBER(A351),B351&lt;&gt;"",C351&lt;&gt;"",OR(E351="USD",E351="CRC"),F351&gt;0,ISNUMBER(Q351),Q351&gt;0),"✓ OK","✗ ERROR: Revisa datos")</f>
        <v/>
      </c>
    </row>
    <row r="352">
      <c r="A352" s="19" t="n"/>
      <c r="F352" s="20" t="n"/>
      <c r="Q352" s="10">
        <f>IF(E352="USD",CONFIG!$B$5,1)</f>
        <v/>
      </c>
      <c r="R352">
        <f>IF(AND(A352&lt;&gt;"",ISNUMBER(A352),B352&lt;&gt;"",C352&lt;&gt;"",OR(E352="USD",E352="CRC"),F352&gt;0,ISNUMBER(Q352),Q352&gt;0),"✓ OK","✗ ERROR: Revisa datos")</f>
        <v/>
      </c>
    </row>
    <row r="353">
      <c r="A353" s="19" t="n"/>
      <c r="F353" s="20" t="n"/>
      <c r="Q353" s="10">
        <f>IF(E353="USD",CONFIG!$B$5,1)</f>
        <v/>
      </c>
      <c r="R353">
        <f>IF(AND(A353&lt;&gt;"",ISNUMBER(A353),B353&lt;&gt;"",C353&lt;&gt;"",OR(E353="USD",E353="CRC"),F353&gt;0,ISNUMBER(Q353),Q353&gt;0),"✓ OK","✗ ERROR: Revisa datos")</f>
        <v/>
      </c>
    </row>
    <row r="354">
      <c r="A354" s="19" t="n"/>
      <c r="F354" s="20" t="n"/>
      <c r="Q354" s="10">
        <f>IF(E354="USD",CONFIG!$B$5,1)</f>
        <v/>
      </c>
      <c r="R354">
        <f>IF(AND(A354&lt;&gt;"",ISNUMBER(A354),B354&lt;&gt;"",C354&lt;&gt;"",OR(E354="USD",E354="CRC"),F354&gt;0,ISNUMBER(Q354),Q354&gt;0),"✓ OK","✗ ERROR: Revisa datos")</f>
        <v/>
      </c>
    </row>
    <row r="355">
      <c r="A355" s="19" t="n"/>
      <c r="F355" s="20" t="n"/>
      <c r="Q355" s="10">
        <f>IF(E355="USD",CONFIG!$B$5,1)</f>
        <v/>
      </c>
      <c r="R355">
        <f>IF(AND(A355&lt;&gt;"",ISNUMBER(A355),B355&lt;&gt;"",C355&lt;&gt;"",OR(E355="USD",E355="CRC"),F355&gt;0,ISNUMBER(Q355),Q355&gt;0),"✓ OK","✗ ERROR: Revisa datos")</f>
        <v/>
      </c>
    </row>
    <row r="356">
      <c r="A356" s="19" t="n"/>
      <c r="F356" s="20" t="n"/>
      <c r="Q356" s="10">
        <f>IF(E356="USD",CONFIG!$B$5,1)</f>
        <v/>
      </c>
      <c r="R356">
        <f>IF(AND(A356&lt;&gt;"",ISNUMBER(A356),B356&lt;&gt;"",C356&lt;&gt;"",OR(E356="USD",E356="CRC"),F356&gt;0,ISNUMBER(Q356),Q356&gt;0),"✓ OK","✗ ERROR: Revisa datos")</f>
        <v/>
      </c>
    </row>
    <row r="357">
      <c r="A357" s="19" t="n"/>
      <c r="F357" s="20" t="n"/>
      <c r="Q357" s="10">
        <f>IF(E357="USD",CONFIG!$B$5,1)</f>
        <v/>
      </c>
      <c r="R357">
        <f>IF(AND(A357&lt;&gt;"",ISNUMBER(A357),B357&lt;&gt;"",C357&lt;&gt;"",OR(E357="USD",E357="CRC"),F357&gt;0,ISNUMBER(Q357),Q357&gt;0),"✓ OK","✗ ERROR: Revisa datos")</f>
        <v/>
      </c>
    </row>
    <row r="358">
      <c r="A358" s="19" t="n"/>
      <c r="F358" s="20" t="n"/>
      <c r="Q358" s="10">
        <f>IF(E358="USD",CONFIG!$B$5,1)</f>
        <v/>
      </c>
      <c r="R358">
        <f>IF(AND(A358&lt;&gt;"",ISNUMBER(A358),B358&lt;&gt;"",C358&lt;&gt;"",OR(E358="USD",E358="CRC"),F358&gt;0,ISNUMBER(Q358),Q358&gt;0),"✓ OK","✗ ERROR: Revisa datos")</f>
        <v/>
      </c>
    </row>
    <row r="359">
      <c r="A359" s="19" t="n"/>
      <c r="F359" s="20" t="n"/>
      <c r="Q359" s="10">
        <f>IF(E359="USD",CONFIG!$B$5,1)</f>
        <v/>
      </c>
      <c r="R359">
        <f>IF(AND(A359&lt;&gt;"",ISNUMBER(A359),B359&lt;&gt;"",C359&lt;&gt;"",OR(E359="USD",E359="CRC"),F359&gt;0,ISNUMBER(Q359),Q359&gt;0),"✓ OK","✗ ERROR: Revisa datos")</f>
        <v/>
      </c>
    </row>
    <row r="360">
      <c r="A360" s="19" t="n"/>
      <c r="F360" s="20" t="n"/>
      <c r="Q360" s="10">
        <f>IF(E360="USD",CONFIG!$B$5,1)</f>
        <v/>
      </c>
      <c r="R360">
        <f>IF(AND(A360&lt;&gt;"",ISNUMBER(A360),B360&lt;&gt;"",C360&lt;&gt;"",OR(E360="USD",E360="CRC"),F360&gt;0,ISNUMBER(Q360),Q360&gt;0),"✓ OK","✗ ERROR: Revisa datos")</f>
        <v/>
      </c>
    </row>
    <row r="361">
      <c r="A361" s="19" t="n"/>
      <c r="F361" s="20" t="n"/>
      <c r="Q361" s="10">
        <f>IF(E361="USD",CONFIG!$B$5,1)</f>
        <v/>
      </c>
      <c r="R361">
        <f>IF(AND(A361&lt;&gt;"",ISNUMBER(A361),B361&lt;&gt;"",C361&lt;&gt;"",OR(E361="USD",E361="CRC"),F361&gt;0,ISNUMBER(Q361),Q361&gt;0),"✓ OK","✗ ERROR: Revisa datos")</f>
        <v/>
      </c>
    </row>
    <row r="362">
      <c r="A362" s="19" t="n"/>
      <c r="F362" s="20" t="n"/>
      <c r="Q362" s="10">
        <f>IF(E362="USD",CONFIG!$B$5,1)</f>
        <v/>
      </c>
      <c r="R362">
        <f>IF(AND(A362&lt;&gt;"",ISNUMBER(A362),B362&lt;&gt;"",C362&lt;&gt;"",OR(E362="USD",E362="CRC"),F362&gt;0,ISNUMBER(Q362),Q362&gt;0),"✓ OK","✗ ERROR: Revisa datos")</f>
        <v/>
      </c>
    </row>
    <row r="363">
      <c r="A363" s="19" t="n"/>
      <c r="F363" s="20" t="n"/>
      <c r="Q363" s="10">
        <f>IF(E363="USD",CONFIG!$B$5,1)</f>
        <v/>
      </c>
      <c r="R363">
        <f>IF(AND(A363&lt;&gt;"",ISNUMBER(A363),B363&lt;&gt;"",C363&lt;&gt;"",OR(E363="USD",E363="CRC"),F363&gt;0,ISNUMBER(Q363),Q363&gt;0),"✓ OK","✗ ERROR: Revisa datos")</f>
        <v/>
      </c>
    </row>
    <row r="364">
      <c r="A364" s="19" t="n"/>
      <c r="F364" s="20" t="n"/>
      <c r="Q364" s="10">
        <f>IF(E364="USD",CONFIG!$B$5,1)</f>
        <v/>
      </c>
      <c r="R364">
        <f>IF(AND(A364&lt;&gt;"",ISNUMBER(A364),B364&lt;&gt;"",C364&lt;&gt;"",OR(E364="USD",E364="CRC"),F364&gt;0,ISNUMBER(Q364),Q364&gt;0),"✓ OK","✗ ERROR: Revisa datos")</f>
        <v/>
      </c>
    </row>
    <row r="365">
      <c r="A365" s="19" t="n"/>
      <c r="F365" s="20" t="n"/>
      <c r="Q365" s="10">
        <f>IF(E365="USD",CONFIG!$B$5,1)</f>
        <v/>
      </c>
      <c r="R365">
        <f>IF(AND(A365&lt;&gt;"",ISNUMBER(A365),B365&lt;&gt;"",C365&lt;&gt;"",OR(E365="USD",E365="CRC"),F365&gt;0,ISNUMBER(Q365),Q365&gt;0),"✓ OK","✗ ERROR: Revisa datos")</f>
        <v/>
      </c>
    </row>
    <row r="366">
      <c r="A366" s="19" t="n"/>
      <c r="F366" s="20" t="n"/>
      <c r="Q366" s="10">
        <f>IF(E366="USD",CONFIG!$B$5,1)</f>
        <v/>
      </c>
      <c r="R366">
        <f>IF(AND(A366&lt;&gt;"",ISNUMBER(A366),B366&lt;&gt;"",C366&lt;&gt;"",OR(E366="USD",E366="CRC"),F366&gt;0,ISNUMBER(Q366),Q366&gt;0),"✓ OK","✗ ERROR: Revisa datos")</f>
        <v/>
      </c>
    </row>
    <row r="367">
      <c r="A367" s="19" t="n"/>
      <c r="F367" s="20" t="n"/>
      <c r="Q367" s="10">
        <f>IF(E367="USD",CONFIG!$B$5,1)</f>
        <v/>
      </c>
      <c r="R367">
        <f>IF(AND(A367&lt;&gt;"",ISNUMBER(A367),B367&lt;&gt;"",C367&lt;&gt;"",OR(E367="USD",E367="CRC"),F367&gt;0,ISNUMBER(Q367),Q367&gt;0),"✓ OK","✗ ERROR: Revisa datos")</f>
        <v/>
      </c>
    </row>
    <row r="368">
      <c r="A368" s="19" t="n"/>
      <c r="F368" s="20" t="n"/>
      <c r="Q368" s="10">
        <f>IF(E368="USD",CONFIG!$B$5,1)</f>
        <v/>
      </c>
      <c r="R368">
        <f>IF(AND(A368&lt;&gt;"",ISNUMBER(A368),B368&lt;&gt;"",C368&lt;&gt;"",OR(E368="USD",E368="CRC"),F368&gt;0,ISNUMBER(Q368),Q368&gt;0),"✓ OK","✗ ERROR: Revisa datos")</f>
        <v/>
      </c>
    </row>
    <row r="369">
      <c r="A369" s="19" t="n"/>
      <c r="F369" s="20" t="n"/>
      <c r="Q369" s="10">
        <f>IF(E369="USD",CONFIG!$B$5,1)</f>
        <v/>
      </c>
      <c r="R369">
        <f>IF(AND(A369&lt;&gt;"",ISNUMBER(A369),B369&lt;&gt;"",C369&lt;&gt;"",OR(E369="USD",E369="CRC"),F369&gt;0,ISNUMBER(Q369),Q369&gt;0),"✓ OK","✗ ERROR: Revisa datos")</f>
        <v/>
      </c>
    </row>
    <row r="370">
      <c r="A370" s="19" t="n"/>
      <c r="F370" s="20" t="n"/>
      <c r="Q370" s="10">
        <f>IF(E370="USD",CONFIG!$B$5,1)</f>
        <v/>
      </c>
      <c r="R370">
        <f>IF(AND(A370&lt;&gt;"",ISNUMBER(A370),B370&lt;&gt;"",C370&lt;&gt;"",OR(E370="USD",E370="CRC"),F370&gt;0,ISNUMBER(Q370),Q370&gt;0),"✓ OK","✗ ERROR: Revisa datos")</f>
        <v/>
      </c>
    </row>
    <row r="371">
      <c r="A371" s="19" t="n"/>
      <c r="F371" s="20" t="n"/>
      <c r="Q371" s="10">
        <f>IF(E371="USD",CONFIG!$B$5,1)</f>
        <v/>
      </c>
      <c r="R371">
        <f>IF(AND(A371&lt;&gt;"",ISNUMBER(A371),B371&lt;&gt;"",C371&lt;&gt;"",OR(E371="USD",E371="CRC"),F371&gt;0,ISNUMBER(Q371),Q371&gt;0),"✓ OK","✗ ERROR: Revisa datos")</f>
        <v/>
      </c>
    </row>
    <row r="372">
      <c r="A372" s="19" t="n"/>
      <c r="F372" s="20" t="n"/>
      <c r="Q372" s="10">
        <f>IF(E372="USD",CONFIG!$B$5,1)</f>
        <v/>
      </c>
      <c r="R372">
        <f>IF(AND(A372&lt;&gt;"",ISNUMBER(A372),B372&lt;&gt;"",C372&lt;&gt;"",OR(E372="USD",E372="CRC"),F372&gt;0,ISNUMBER(Q372),Q372&gt;0),"✓ OK","✗ ERROR: Revisa datos")</f>
        <v/>
      </c>
    </row>
    <row r="373">
      <c r="A373" s="19" t="n"/>
      <c r="F373" s="20" t="n"/>
      <c r="Q373" s="10">
        <f>IF(E373="USD",CONFIG!$B$5,1)</f>
        <v/>
      </c>
      <c r="R373">
        <f>IF(AND(A373&lt;&gt;"",ISNUMBER(A373),B373&lt;&gt;"",C373&lt;&gt;"",OR(E373="USD",E373="CRC"),F373&gt;0,ISNUMBER(Q373),Q373&gt;0),"✓ OK","✗ ERROR: Revisa datos")</f>
        <v/>
      </c>
    </row>
    <row r="374">
      <c r="A374" s="19" t="n"/>
      <c r="F374" s="20" t="n"/>
      <c r="Q374" s="10">
        <f>IF(E374="USD",CONFIG!$B$5,1)</f>
        <v/>
      </c>
      <c r="R374">
        <f>IF(AND(A374&lt;&gt;"",ISNUMBER(A374),B374&lt;&gt;"",C374&lt;&gt;"",OR(E374="USD",E374="CRC"),F374&gt;0,ISNUMBER(Q374),Q374&gt;0),"✓ OK","✗ ERROR: Revisa datos")</f>
        <v/>
      </c>
    </row>
    <row r="375">
      <c r="A375" s="19" t="n"/>
      <c r="F375" s="20" t="n"/>
      <c r="Q375" s="10">
        <f>IF(E375="USD",CONFIG!$B$5,1)</f>
        <v/>
      </c>
      <c r="R375">
        <f>IF(AND(A375&lt;&gt;"",ISNUMBER(A375),B375&lt;&gt;"",C375&lt;&gt;"",OR(E375="USD",E375="CRC"),F375&gt;0,ISNUMBER(Q375),Q375&gt;0),"✓ OK","✗ ERROR: Revisa datos")</f>
        <v/>
      </c>
    </row>
    <row r="376">
      <c r="A376" s="19" t="n"/>
      <c r="F376" s="20" t="n"/>
      <c r="Q376" s="10">
        <f>IF(E376="USD",CONFIG!$B$5,1)</f>
        <v/>
      </c>
      <c r="R376">
        <f>IF(AND(A376&lt;&gt;"",ISNUMBER(A376),B376&lt;&gt;"",C376&lt;&gt;"",OR(E376="USD",E376="CRC"),F376&gt;0,ISNUMBER(Q376),Q376&gt;0),"✓ OK","✗ ERROR: Revisa datos")</f>
        <v/>
      </c>
    </row>
    <row r="377">
      <c r="A377" s="19" t="n"/>
      <c r="F377" s="20" t="n"/>
      <c r="Q377" s="10">
        <f>IF(E377="USD",CONFIG!$B$5,1)</f>
        <v/>
      </c>
      <c r="R377">
        <f>IF(AND(A377&lt;&gt;"",ISNUMBER(A377),B377&lt;&gt;"",C377&lt;&gt;"",OR(E377="USD",E377="CRC"),F377&gt;0,ISNUMBER(Q377),Q377&gt;0),"✓ OK","✗ ERROR: Revisa datos")</f>
        <v/>
      </c>
    </row>
    <row r="378">
      <c r="A378" s="19" t="n"/>
      <c r="F378" s="20" t="n"/>
      <c r="Q378" s="10">
        <f>IF(E378="USD",CONFIG!$B$5,1)</f>
        <v/>
      </c>
      <c r="R378">
        <f>IF(AND(A378&lt;&gt;"",ISNUMBER(A378),B378&lt;&gt;"",C378&lt;&gt;"",OR(E378="USD",E378="CRC"),F378&gt;0,ISNUMBER(Q378),Q378&gt;0),"✓ OK","✗ ERROR: Revisa datos")</f>
        <v/>
      </c>
    </row>
    <row r="379">
      <c r="A379" s="19" t="n"/>
      <c r="F379" s="20" t="n"/>
      <c r="Q379" s="10">
        <f>IF(E379="USD",CONFIG!$B$5,1)</f>
        <v/>
      </c>
      <c r="R379">
        <f>IF(AND(A379&lt;&gt;"",ISNUMBER(A379),B379&lt;&gt;"",C379&lt;&gt;"",OR(E379="USD",E379="CRC"),F379&gt;0,ISNUMBER(Q379),Q379&gt;0),"✓ OK","✗ ERROR: Revisa datos")</f>
        <v/>
      </c>
    </row>
    <row r="380">
      <c r="A380" s="19" t="n"/>
      <c r="F380" s="20" t="n"/>
      <c r="Q380" s="10">
        <f>IF(E380="USD",CONFIG!$B$5,1)</f>
        <v/>
      </c>
      <c r="R380">
        <f>IF(AND(A380&lt;&gt;"",ISNUMBER(A380),B380&lt;&gt;"",C380&lt;&gt;"",OR(E380="USD",E380="CRC"),F380&gt;0,ISNUMBER(Q380),Q380&gt;0),"✓ OK","✗ ERROR: Revisa datos")</f>
        <v/>
      </c>
    </row>
    <row r="381">
      <c r="A381" s="19" t="n"/>
      <c r="F381" s="20" t="n"/>
      <c r="Q381" s="10">
        <f>IF(E381="USD",CONFIG!$B$5,1)</f>
        <v/>
      </c>
      <c r="R381">
        <f>IF(AND(A381&lt;&gt;"",ISNUMBER(A381),B381&lt;&gt;"",C381&lt;&gt;"",OR(E381="USD",E381="CRC"),F381&gt;0,ISNUMBER(Q381),Q381&gt;0),"✓ OK","✗ ERROR: Revisa datos")</f>
        <v/>
      </c>
    </row>
    <row r="382">
      <c r="A382" s="19" t="n"/>
      <c r="F382" s="20" t="n"/>
      <c r="Q382" s="10">
        <f>IF(E382="USD",CONFIG!$B$5,1)</f>
        <v/>
      </c>
      <c r="R382">
        <f>IF(AND(A382&lt;&gt;"",ISNUMBER(A382),B382&lt;&gt;"",C382&lt;&gt;"",OR(E382="USD",E382="CRC"),F382&gt;0,ISNUMBER(Q382),Q382&gt;0),"✓ OK","✗ ERROR: Revisa datos")</f>
        <v/>
      </c>
    </row>
    <row r="383">
      <c r="A383" s="19" t="n"/>
      <c r="F383" s="20" t="n"/>
      <c r="Q383" s="10">
        <f>IF(E383="USD",CONFIG!$B$5,1)</f>
        <v/>
      </c>
      <c r="R383">
        <f>IF(AND(A383&lt;&gt;"",ISNUMBER(A383),B383&lt;&gt;"",C383&lt;&gt;"",OR(E383="USD",E383="CRC"),F383&gt;0,ISNUMBER(Q383),Q383&gt;0),"✓ OK","✗ ERROR: Revisa datos")</f>
        <v/>
      </c>
    </row>
    <row r="384">
      <c r="A384" s="19" t="n"/>
      <c r="F384" s="20" t="n"/>
      <c r="Q384" s="10">
        <f>IF(E384="USD",CONFIG!$B$5,1)</f>
        <v/>
      </c>
      <c r="R384">
        <f>IF(AND(A384&lt;&gt;"",ISNUMBER(A384),B384&lt;&gt;"",C384&lt;&gt;"",OR(E384="USD",E384="CRC"),F384&gt;0,ISNUMBER(Q384),Q384&gt;0),"✓ OK","✗ ERROR: Revisa datos")</f>
        <v/>
      </c>
    </row>
    <row r="385">
      <c r="A385" s="19" t="n"/>
      <c r="F385" s="20" t="n"/>
      <c r="Q385" s="10">
        <f>IF(E385="USD",CONFIG!$B$5,1)</f>
        <v/>
      </c>
      <c r="R385">
        <f>IF(AND(A385&lt;&gt;"",ISNUMBER(A385),B385&lt;&gt;"",C385&lt;&gt;"",OR(E385="USD",E385="CRC"),F385&gt;0,ISNUMBER(Q385),Q385&gt;0),"✓ OK","✗ ERROR: Revisa datos")</f>
        <v/>
      </c>
    </row>
    <row r="386">
      <c r="A386" s="19" t="n"/>
      <c r="F386" s="20" t="n"/>
      <c r="Q386" s="10">
        <f>IF(E386="USD",CONFIG!$B$5,1)</f>
        <v/>
      </c>
      <c r="R386">
        <f>IF(AND(A386&lt;&gt;"",ISNUMBER(A386),B386&lt;&gt;"",C386&lt;&gt;"",OR(E386="USD",E386="CRC"),F386&gt;0,ISNUMBER(Q386),Q386&gt;0),"✓ OK","✗ ERROR: Revisa datos")</f>
        <v/>
      </c>
    </row>
    <row r="387">
      <c r="A387" s="19" t="n"/>
      <c r="F387" s="20" t="n"/>
      <c r="Q387" s="10">
        <f>IF(E387="USD",CONFIG!$B$5,1)</f>
        <v/>
      </c>
      <c r="R387">
        <f>IF(AND(A387&lt;&gt;"",ISNUMBER(A387),B387&lt;&gt;"",C387&lt;&gt;"",OR(E387="USD",E387="CRC"),F387&gt;0,ISNUMBER(Q387),Q387&gt;0),"✓ OK","✗ ERROR: Revisa datos")</f>
        <v/>
      </c>
    </row>
    <row r="388">
      <c r="A388" s="19" t="n"/>
      <c r="F388" s="20" t="n"/>
      <c r="Q388" s="10">
        <f>IF(E388="USD",CONFIG!$B$5,1)</f>
        <v/>
      </c>
      <c r="R388">
        <f>IF(AND(A388&lt;&gt;"",ISNUMBER(A388),B388&lt;&gt;"",C388&lt;&gt;"",OR(E388="USD",E388="CRC"),F388&gt;0,ISNUMBER(Q388),Q388&gt;0),"✓ OK","✗ ERROR: Revisa datos")</f>
        <v/>
      </c>
    </row>
    <row r="389">
      <c r="A389" s="19" t="n"/>
      <c r="F389" s="20" t="n"/>
      <c r="Q389" s="10">
        <f>IF(E389="USD",CONFIG!$B$5,1)</f>
        <v/>
      </c>
      <c r="R389">
        <f>IF(AND(A389&lt;&gt;"",ISNUMBER(A389),B389&lt;&gt;"",C389&lt;&gt;"",OR(E389="USD",E389="CRC"),F389&gt;0,ISNUMBER(Q389),Q389&gt;0),"✓ OK","✗ ERROR: Revisa datos")</f>
        <v/>
      </c>
    </row>
    <row r="390">
      <c r="A390" s="19" t="n"/>
      <c r="F390" s="20" t="n"/>
      <c r="Q390" s="10">
        <f>IF(E390="USD",CONFIG!$B$5,1)</f>
        <v/>
      </c>
      <c r="R390">
        <f>IF(AND(A390&lt;&gt;"",ISNUMBER(A390),B390&lt;&gt;"",C390&lt;&gt;"",OR(E390="USD",E390="CRC"),F390&gt;0,ISNUMBER(Q390),Q390&gt;0),"✓ OK","✗ ERROR: Revisa datos")</f>
        <v/>
      </c>
    </row>
    <row r="391">
      <c r="A391" s="19" t="n"/>
      <c r="F391" s="20" t="n"/>
      <c r="Q391" s="10">
        <f>IF(E391="USD",CONFIG!$B$5,1)</f>
        <v/>
      </c>
      <c r="R391">
        <f>IF(AND(A391&lt;&gt;"",ISNUMBER(A391),B391&lt;&gt;"",C391&lt;&gt;"",OR(E391="USD",E391="CRC"),F391&gt;0,ISNUMBER(Q391),Q391&gt;0),"✓ OK","✗ ERROR: Revisa datos")</f>
        <v/>
      </c>
    </row>
    <row r="392">
      <c r="A392" s="19" t="n"/>
      <c r="F392" s="20" t="n"/>
      <c r="Q392" s="10">
        <f>IF(E392="USD",CONFIG!$B$5,1)</f>
        <v/>
      </c>
      <c r="R392">
        <f>IF(AND(A392&lt;&gt;"",ISNUMBER(A392),B392&lt;&gt;"",C392&lt;&gt;"",OR(E392="USD",E392="CRC"),F392&gt;0,ISNUMBER(Q392),Q392&gt;0),"✓ OK","✗ ERROR: Revisa datos")</f>
        <v/>
      </c>
    </row>
    <row r="393">
      <c r="A393" s="19" t="n"/>
      <c r="F393" s="20" t="n"/>
      <c r="Q393" s="10">
        <f>IF(E393="USD",CONFIG!$B$5,1)</f>
        <v/>
      </c>
      <c r="R393">
        <f>IF(AND(A393&lt;&gt;"",ISNUMBER(A393),B393&lt;&gt;"",C393&lt;&gt;"",OR(E393="USD",E393="CRC"),F393&gt;0,ISNUMBER(Q393),Q393&gt;0),"✓ OK","✗ ERROR: Revisa datos")</f>
        <v/>
      </c>
    </row>
    <row r="394">
      <c r="A394" s="19" t="n"/>
      <c r="F394" s="20" t="n"/>
      <c r="Q394" s="10">
        <f>IF(E394="USD",CONFIG!$B$5,1)</f>
        <v/>
      </c>
      <c r="R394">
        <f>IF(AND(A394&lt;&gt;"",ISNUMBER(A394),B394&lt;&gt;"",C394&lt;&gt;"",OR(E394="USD",E394="CRC"),F394&gt;0,ISNUMBER(Q394),Q394&gt;0),"✓ OK","✗ ERROR: Revisa datos")</f>
        <v/>
      </c>
    </row>
    <row r="395">
      <c r="A395" s="19" t="n"/>
      <c r="F395" s="20" t="n"/>
      <c r="Q395" s="10">
        <f>IF(E395="USD",CONFIG!$B$5,1)</f>
        <v/>
      </c>
      <c r="R395">
        <f>IF(AND(A395&lt;&gt;"",ISNUMBER(A395),B395&lt;&gt;"",C395&lt;&gt;"",OR(E395="USD",E395="CRC"),F395&gt;0,ISNUMBER(Q395),Q395&gt;0),"✓ OK","✗ ERROR: Revisa datos")</f>
        <v/>
      </c>
    </row>
    <row r="396">
      <c r="A396" s="19" t="n"/>
      <c r="F396" s="20" t="n"/>
      <c r="Q396" s="10">
        <f>IF(E396="USD",CONFIG!$B$5,1)</f>
        <v/>
      </c>
      <c r="R396">
        <f>IF(AND(A396&lt;&gt;"",ISNUMBER(A396),B396&lt;&gt;"",C396&lt;&gt;"",OR(E396="USD",E396="CRC"),F396&gt;0,ISNUMBER(Q396),Q396&gt;0),"✓ OK","✗ ERROR: Revisa datos")</f>
        <v/>
      </c>
    </row>
    <row r="397">
      <c r="A397" s="19" t="n"/>
      <c r="F397" s="20" t="n"/>
      <c r="Q397" s="10">
        <f>IF(E397="USD",CONFIG!$B$5,1)</f>
        <v/>
      </c>
      <c r="R397">
        <f>IF(AND(A397&lt;&gt;"",ISNUMBER(A397),B397&lt;&gt;"",C397&lt;&gt;"",OR(E397="USD",E397="CRC"),F397&gt;0,ISNUMBER(Q397),Q397&gt;0),"✓ OK","✗ ERROR: Revisa datos")</f>
        <v/>
      </c>
    </row>
    <row r="398">
      <c r="A398" s="19" t="n"/>
      <c r="F398" s="20" t="n"/>
      <c r="Q398" s="10">
        <f>IF(E398="USD",CONFIG!$B$5,1)</f>
        <v/>
      </c>
      <c r="R398">
        <f>IF(AND(A398&lt;&gt;"",ISNUMBER(A398),B398&lt;&gt;"",C398&lt;&gt;"",OR(E398="USD",E398="CRC"),F398&gt;0,ISNUMBER(Q398),Q398&gt;0),"✓ OK","✗ ERROR: Revisa datos")</f>
        <v/>
      </c>
    </row>
    <row r="399">
      <c r="A399" s="19" t="n"/>
      <c r="F399" s="20" t="n"/>
      <c r="Q399" s="10">
        <f>IF(E399="USD",CONFIG!$B$5,1)</f>
        <v/>
      </c>
      <c r="R399">
        <f>IF(AND(A399&lt;&gt;"",ISNUMBER(A399),B399&lt;&gt;"",C399&lt;&gt;"",OR(E399="USD",E399="CRC"),F399&gt;0,ISNUMBER(Q399),Q399&gt;0),"✓ OK","✗ ERROR: Revisa datos")</f>
        <v/>
      </c>
    </row>
    <row r="400">
      <c r="A400" s="19" t="n"/>
      <c r="F400" s="20" t="n"/>
      <c r="Q400" s="10">
        <f>IF(E400="USD",CONFIG!$B$5,1)</f>
        <v/>
      </c>
      <c r="R400">
        <f>IF(AND(A400&lt;&gt;"",ISNUMBER(A400),B400&lt;&gt;"",C400&lt;&gt;"",OR(E400="USD",E400="CRC"),F400&gt;0,ISNUMBER(Q400),Q400&gt;0),"✓ OK","✗ ERROR: Revisa datos")</f>
        <v/>
      </c>
    </row>
    <row r="401">
      <c r="A401" s="19" t="n"/>
      <c r="F401" s="20" t="n"/>
      <c r="Q401" s="10">
        <f>IF(E401="USD",CONFIG!$B$5,1)</f>
        <v/>
      </c>
      <c r="R401">
        <f>IF(AND(A401&lt;&gt;"",ISNUMBER(A401),B401&lt;&gt;"",C401&lt;&gt;"",OR(E401="USD",E401="CRC"),F401&gt;0,ISNUMBER(Q401),Q401&gt;0),"✓ OK","✗ ERROR: Revisa datos")</f>
        <v/>
      </c>
    </row>
    <row r="402">
      <c r="A402" s="19" t="n"/>
      <c r="F402" s="20" t="n"/>
      <c r="Q402" s="10">
        <f>IF(E402="USD",CONFIG!$B$5,1)</f>
        <v/>
      </c>
      <c r="R402">
        <f>IF(AND(A402&lt;&gt;"",ISNUMBER(A402),B402&lt;&gt;"",C402&lt;&gt;"",OR(E402="USD",E402="CRC"),F402&gt;0,ISNUMBER(Q402),Q402&gt;0),"✓ OK","✗ ERROR: Revisa datos")</f>
        <v/>
      </c>
    </row>
    <row r="403">
      <c r="A403" s="19" t="n"/>
      <c r="F403" s="20" t="n"/>
      <c r="Q403" s="10">
        <f>IF(E403="USD",CONFIG!$B$5,1)</f>
        <v/>
      </c>
      <c r="R403">
        <f>IF(AND(A403&lt;&gt;"",ISNUMBER(A403),B403&lt;&gt;"",C403&lt;&gt;"",OR(E403="USD",E403="CRC"),F403&gt;0,ISNUMBER(Q403),Q403&gt;0),"✓ OK","✗ ERROR: Revisa datos")</f>
        <v/>
      </c>
    </row>
    <row r="404">
      <c r="A404" s="19" t="n"/>
      <c r="F404" s="20" t="n"/>
      <c r="Q404" s="10">
        <f>IF(E404="USD",CONFIG!$B$5,1)</f>
        <v/>
      </c>
      <c r="R404">
        <f>IF(AND(A404&lt;&gt;"",ISNUMBER(A404),B404&lt;&gt;"",C404&lt;&gt;"",OR(E404="USD",E404="CRC"),F404&gt;0,ISNUMBER(Q404),Q404&gt;0),"✓ OK","✗ ERROR: Revisa datos")</f>
        <v/>
      </c>
    </row>
    <row r="405">
      <c r="A405" s="19" t="n"/>
      <c r="F405" s="20" t="n"/>
      <c r="Q405" s="10">
        <f>IF(E405="USD",CONFIG!$B$5,1)</f>
        <v/>
      </c>
      <c r="R405">
        <f>IF(AND(A405&lt;&gt;"",ISNUMBER(A405),B405&lt;&gt;"",C405&lt;&gt;"",OR(E405="USD",E405="CRC"),F405&gt;0,ISNUMBER(Q405),Q405&gt;0),"✓ OK","✗ ERROR: Revisa datos")</f>
        <v/>
      </c>
    </row>
    <row r="406">
      <c r="A406" s="19" t="n"/>
      <c r="F406" s="20" t="n"/>
      <c r="Q406" s="10">
        <f>IF(E406="USD",CONFIG!$B$5,1)</f>
        <v/>
      </c>
      <c r="R406">
        <f>IF(AND(A406&lt;&gt;"",ISNUMBER(A406),B406&lt;&gt;"",C406&lt;&gt;"",OR(E406="USD",E406="CRC"),F406&gt;0,ISNUMBER(Q406),Q406&gt;0),"✓ OK","✗ ERROR: Revisa datos")</f>
        <v/>
      </c>
    </row>
    <row r="407">
      <c r="A407" s="19" t="n"/>
      <c r="F407" s="20" t="n"/>
      <c r="Q407" s="10">
        <f>IF(E407="USD",CONFIG!$B$5,1)</f>
        <v/>
      </c>
      <c r="R407">
        <f>IF(AND(A407&lt;&gt;"",ISNUMBER(A407),B407&lt;&gt;"",C407&lt;&gt;"",OR(E407="USD",E407="CRC"),F407&gt;0,ISNUMBER(Q407),Q407&gt;0),"✓ OK","✗ ERROR: Revisa datos")</f>
        <v/>
      </c>
    </row>
    <row r="408">
      <c r="A408" s="19" t="n"/>
      <c r="F408" s="20" t="n"/>
      <c r="Q408" s="10">
        <f>IF(E408="USD",CONFIG!$B$5,1)</f>
        <v/>
      </c>
      <c r="R408">
        <f>IF(AND(A408&lt;&gt;"",ISNUMBER(A408),B408&lt;&gt;"",C408&lt;&gt;"",OR(E408="USD",E408="CRC"),F408&gt;0,ISNUMBER(Q408),Q408&gt;0),"✓ OK","✗ ERROR: Revisa datos")</f>
        <v/>
      </c>
    </row>
    <row r="409">
      <c r="A409" s="19" t="n"/>
      <c r="F409" s="20" t="n"/>
      <c r="Q409" s="10">
        <f>IF(E409="USD",CONFIG!$B$5,1)</f>
        <v/>
      </c>
      <c r="R409">
        <f>IF(AND(A409&lt;&gt;"",ISNUMBER(A409),B409&lt;&gt;"",C409&lt;&gt;"",OR(E409="USD",E409="CRC"),F409&gt;0,ISNUMBER(Q409),Q409&gt;0),"✓ OK","✗ ERROR: Revisa datos")</f>
        <v/>
      </c>
    </row>
    <row r="410">
      <c r="A410" s="19" t="n"/>
      <c r="F410" s="20" t="n"/>
      <c r="Q410" s="10">
        <f>IF(E410="USD",CONFIG!$B$5,1)</f>
        <v/>
      </c>
      <c r="R410">
        <f>IF(AND(A410&lt;&gt;"",ISNUMBER(A410),B410&lt;&gt;"",C410&lt;&gt;"",OR(E410="USD",E410="CRC"),F410&gt;0,ISNUMBER(Q410),Q410&gt;0),"✓ OK","✗ ERROR: Revisa datos")</f>
        <v/>
      </c>
    </row>
    <row r="411">
      <c r="A411" s="19" t="n"/>
      <c r="F411" s="20" t="n"/>
      <c r="Q411" s="10">
        <f>IF(E411="USD",CONFIG!$B$5,1)</f>
        <v/>
      </c>
      <c r="R411">
        <f>IF(AND(A411&lt;&gt;"",ISNUMBER(A411),B411&lt;&gt;"",C411&lt;&gt;"",OR(E411="USD",E411="CRC"),F411&gt;0,ISNUMBER(Q411),Q411&gt;0),"✓ OK","✗ ERROR: Revisa datos")</f>
        <v/>
      </c>
    </row>
    <row r="412">
      <c r="A412" s="19" t="n"/>
      <c r="F412" s="20" t="n"/>
      <c r="Q412" s="10">
        <f>IF(E412="USD",CONFIG!$B$5,1)</f>
        <v/>
      </c>
      <c r="R412">
        <f>IF(AND(A412&lt;&gt;"",ISNUMBER(A412),B412&lt;&gt;"",C412&lt;&gt;"",OR(E412="USD",E412="CRC"),F412&gt;0,ISNUMBER(Q412),Q412&gt;0),"✓ OK","✗ ERROR: Revisa datos")</f>
        <v/>
      </c>
    </row>
    <row r="413">
      <c r="A413" s="19" t="n"/>
      <c r="F413" s="20" t="n"/>
      <c r="Q413" s="10">
        <f>IF(E413="USD",CONFIG!$B$5,1)</f>
        <v/>
      </c>
      <c r="R413">
        <f>IF(AND(A413&lt;&gt;"",ISNUMBER(A413),B413&lt;&gt;"",C413&lt;&gt;"",OR(E413="USD",E413="CRC"),F413&gt;0,ISNUMBER(Q413),Q413&gt;0),"✓ OK","✗ ERROR: Revisa datos")</f>
        <v/>
      </c>
    </row>
    <row r="414">
      <c r="A414" s="19" t="n"/>
      <c r="F414" s="20" t="n"/>
      <c r="Q414" s="10">
        <f>IF(E414="USD",CONFIG!$B$5,1)</f>
        <v/>
      </c>
      <c r="R414">
        <f>IF(AND(A414&lt;&gt;"",ISNUMBER(A414),B414&lt;&gt;"",C414&lt;&gt;"",OR(E414="USD",E414="CRC"),F414&gt;0,ISNUMBER(Q414),Q414&gt;0),"✓ OK","✗ ERROR: Revisa datos")</f>
        <v/>
      </c>
    </row>
    <row r="415">
      <c r="A415" s="19" t="n"/>
      <c r="F415" s="20" t="n"/>
      <c r="Q415" s="10">
        <f>IF(E415="USD",CONFIG!$B$5,1)</f>
        <v/>
      </c>
      <c r="R415">
        <f>IF(AND(A415&lt;&gt;"",ISNUMBER(A415),B415&lt;&gt;"",C415&lt;&gt;"",OR(E415="USD",E415="CRC"),F415&gt;0,ISNUMBER(Q415),Q415&gt;0),"✓ OK","✗ ERROR: Revisa datos")</f>
        <v/>
      </c>
    </row>
    <row r="416">
      <c r="A416" s="19" t="n"/>
      <c r="F416" s="20" t="n"/>
      <c r="Q416" s="10">
        <f>IF(E416="USD",CONFIG!$B$5,1)</f>
        <v/>
      </c>
      <c r="R416">
        <f>IF(AND(A416&lt;&gt;"",ISNUMBER(A416),B416&lt;&gt;"",C416&lt;&gt;"",OR(E416="USD",E416="CRC"),F416&gt;0,ISNUMBER(Q416),Q416&gt;0),"✓ OK","✗ ERROR: Revisa datos")</f>
        <v/>
      </c>
    </row>
    <row r="417">
      <c r="A417" s="19" t="n"/>
      <c r="F417" s="20" t="n"/>
      <c r="Q417" s="10">
        <f>IF(E417="USD",CONFIG!$B$5,1)</f>
        <v/>
      </c>
      <c r="R417">
        <f>IF(AND(A417&lt;&gt;"",ISNUMBER(A417),B417&lt;&gt;"",C417&lt;&gt;"",OR(E417="USD",E417="CRC"),F417&gt;0,ISNUMBER(Q417),Q417&gt;0),"✓ OK","✗ ERROR: Revisa datos")</f>
        <v/>
      </c>
    </row>
    <row r="418">
      <c r="A418" s="19" t="n"/>
      <c r="F418" s="20" t="n"/>
      <c r="Q418" s="10">
        <f>IF(E418="USD",CONFIG!$B$5,1)</f>
        <v/>
      </c>
      <c r="R418">
        <f>IF(AND(A418&lt;&gt;"",ISNUMBER(A418),B418&lt;&gt;"",C418&lt;&gt;"",OR(E418="USD",E418="CRC"),F418&gt;0,ISNUMBER(Q418),Q418&gt;0),"✓ OK","✗ ERROR: Revisa datos")</f>
        <v/>
      </c>
    </row>
    <row r="419">
      <c r="A419" s="19" t="n"/>
      <c r="F419" s="20" t="n"/>
      <c r="Q419" s="10">
        <f>IF(E419="USD",CONFIG!$B$5,1)</f>
        <v/>
      </c>
      <c r="R419">
        <f>IF(AND(A419&lt;&gt;"",ISNUMBER(A419),B419&lt;&gt;"",C419&lt;&gt;"",OR(E419="USD",E419="CRC"),F419&gt;0,ISNUMBER(Q419),Q419&gt;0),"✓ OK","✗ ERROR: Revisa datos")</f>
        <v/>
      </c>
    </row>
    <row r="420">
      <c r="A420" s="19" t="n"/>
      <c r="F420" s="20" t="n"/>
      <c r="Q420" s="10">
        <f>IF(E420="USD",CONFIG!$B$5,1)</f>
        <v/>
      </c>
      <c r="R420">
        <f>IF(AND(A420&lt;&gt;"",ISNUMBER(A420),B420&lt;&gt;"",C420&lt;&gt;"",OR(E420="USD",E420="CRC"),F420&gt;0,ISNUMBER(Q420),Q420&gt;0),"✓ OK","✗ ERROR: Revisa datos")</f>
        <v/>
      </c>
    </row>
    <row r="421">
      <c r="A421" s="19" t="n"/>
      <c r="F421" s="20" t="n"/>
      <c r="Q421" s="10">
        <f>IF(E421="USD",CONFIG!$B$5,1)</f>
        <v/>
      </c>
      <c r="R421">
        <f>IF(AND(A421&lt;&gt;"",ISNUMBER(A421),B421&lt;&gt;"",C421&lt;&gt;"",OR(E421="USD",E421="CRC"),F421&gt;0,ISNUMBER(Q421),Q421&gt;0),"✓ OK","✗ ERROR: Revisa datos")</f>
        <v/>
      </c>
    </row>
    <row r="422">
      <c r="A422" s="19" t="n"/>
      <c r="F422" s="20" t="n"/>
      <c r="Q422" s="10">
        <f>IF(E422="USD",CONFIG!$B$5,1)</f>
        <v/>
      </c>
      <c r="R422">
        <f>IF(AND(A422&lt;&gt;"",ISNUMBER(A422),B422&lt;&gt;"",C422&lt;&gt;"",OR(E422="USD",E422="CRC"),F422&gt;0,ISNUMBER(Q422),Q422&gt;0),"✓ OK","✗ ERROR: Revisa datos")</f>
        <v/>
      </c>
    </row>
    <row r="423">
      <c r="A423" s="19" t="n"/>
      <c r="F423" s="20" t="n"/>
      <c r="Q423" s="10">
        <f>IF(E423="USD",CONFIG!$B$5,1)</f>
        <v/>
      </c>
      <c r="R423">
        <f>IF(AND(A423&lt;&gt;"",ISNUMBER(A423),B423&lt;&gt;"",C423&lt;&gt;"",OR(E423="USD",E423="CRC"),F423&gt;0,ISNUMBER(Q423),Q423&gt;0),"✓ OK","✗ ERROR: Revisa datos")</f>
        <v/>
      </c>
    </row>
    <row r="424">
      <c r="A424" s="19" t="n"/>
      <c r="F424" s="20" t="n"/>
      <c r="Q424" s="10">
        <f>IF(E424="USD",CONFIG!$B$5,1)</f>
        <v/>
      </c>
      <c r="R424">
        <f>IF(AND(A424&lt;&gt;"",ISNUMBER(A424),B424&lt;&gt;"",C424&lt;&gt;"",OR(E424="USD",E424="CRC"),F424&gt;0,ISNUMBER(Q424),Q424&gt;0),"✓ OK","✗ ERROR: Revisa datos")</f>
        <v/>
      </c>
    </row>
    <row r="425">
      <c r="A425" s="19" t="n"/>
      <c r="F425" s="20" t="n"/>
      <c r="Q425" s="10">
        <f>IF(E425="USD",CONFIG!$B$5,1)</f>
        <v/>
      </c>
      <c r="R425">
        <f>IF(AND(A425&lt;&gt;"",ISNUMBER(A425),B425&lt;&gt;"",C425&lt;&gt;"",OR(E425="USD",E425="CRC"),F425&gt;0,ISNUMBER(Q425),Q425&gt;0),"✓ OK","✗ ERROR: Revisa datos")</f>
        <v/>
      </c>
    </row>
    <row r="426">
      <c r="A426" s="19" t="n"/>
      <c r="F426" s="20" t="n"/>
      <c r="Q426" s="10">
        <f>IF(E426="USD",CONFIG!$B$5,1)</f>
        <v/>
      </c>
      <c r="R426">
        <f>IF(AND(A426&lt;&gt;"",ISNUMBER(A426),B426&lt;&gt;"",C426&lt;&gt;"",OR(E426="USD",E426="CRC"),F426&gt;0,ISNUMBER(Q426),Q426&gt;0),"✓ OK","✗ ERROR: Revisa datos")</f>
        <v/>
      </c>
    </row>
    <row r="427">
      <c r="A427" s="19" t="n"/>
      <c r="F427" s="20" t="n"/>
      <c r="Q427" s="10">
        <f>IF(E427="USD",CONFIG!$B$5,1)</f>
        <v/>
      </c>
      <c r="R427">
        <f>IF(AND(A427&lt;&gt;"",ISNUMBER(A427),B427&lt;&gt;"",C427&lt;&gt;"",OR(E427="USD",E427="CRC"),F427&gt;0,ISNUMBER(Q427),Q427&gt;0),"✓ OK","✗ ERROR: Revisa datos")</f>
        <v/>
      </c>
    </row>
    <row r="428">
      <c r="A428" s="19" t="n"/>
      <c r="F428" s="20" t="n"/>
      <c r="Q428" s="10">
        <f>IF(E428="USD",CONFIG!$B$5,1)</f>
        <v/>
      </c>
      <c r="R428">
        <f>IF(AND(A428&lt;&gt;"",ISNUMBER(A428),B428&lt;&gt;"",C428&lt;&gt;"",OR(E428="USD",E428="CRC"),F428&gt;0,ISNUMBER(Q428),Q428&gt;0),"✓ OK","✗ ERROR: Revisa datos")</f>
        <v/>
      </c>
    </row>
    <row r="429">
      <c r="A429" s="19" t="n"/>
      <c r="F429" s="20" t="n"/>
      <c r="Q429" s="10">
        <f>IF(E429="USD",CONFIG!$B$5,1)</f>
        <v/>
      </c>
      <c r="R429">
        <f>IF(AND(A429&lt;&gt;"",ISNUMBER(A429),B429&lt;&gt;"",C429&lt;&gt;"",OR(E429="USD",E429="CRC"),F429&gt;0,ISNUMBER(Q429),Q429&gt;0),"✓ OK","✗ ERROR: Revisa datos")</f>
        <v/>
      </c>
    </row>
    <row r="430">
      <c r="A430" s="19" t="n"/>
      <c r="F430" s="20" t="n"/>
      <c r="Q430" s="10">
        <f>IF(E430="USD",CONFIG!$B$5,1)</f>
        <v/>
      </c>
      <c r="R430">
        <f>IF(AND(A430&lt;&gt;"",ISNUMBER(A430),B430&lt;&gt;"",C430&lt;&gt;"",OR(E430="USD",E430="CRC"),F430&gt;0,ISNUMBER(Q430),Q430&gt;0),"✓ OK","✗ ERROR: Revisa datos")</f>
        <v/>
      </c>
    </row>
    <row r="431">
      <c r="A431" s="19" t="n"/>
      <c r="F431" s="20" t="n"/>
      <c r="Q431" s="10">
        <f>IF(E431="USD",CONFIG!$B$5,1)</f>
        <v/>
      </c>
      <c r="R431">
        <f>IF(AND(A431&lt;&gt;"",ISNUMBER(A431),B431&lt;&gt;"",C431&lt;&gt;"",OR(E431="USD",E431="CRC"),F431&gt;0,ISNUMBER(Q431),Q431&gt;0),"✓ OK","✗ ERROR: Revisa datos")</f>
        <v/>
      </c>
    </row>
    <row r="432">
      <c r="A432" s="19" t="n"/>
      <c r="F432" s="20" t="n"/>
      <c r="Q432" s="10">
        <f>IF(E432="USD",CONFIG!$B$5,1)</f>
        <v/>
      </c>
      <c r="R432">
        <f>IF(AND(A432&lt;&gt;"",ISNUMBER(A432),B432&lt;&gt;"",C432&lt;&gt;"",OR(E432="USD",E432="CRC"),F432&gt;0,ISNUMBER(Q432),Q432&gt;0),"✓ OK","✗ ERROR: Revisa datos")</f>
        <v/>
      </c>
    </row>
    <row r="433">
      <c r="A433" s="19" t="n"/>
      <c r="F433" s="20" t="n"/>
      <c r="Q433" s="10">
        <f>IF(E433="USD",CONFIG!$B$5,1)</f>
        <v/>
      </c>
      <c r="R433">
        <f>IF(AND(A433&lt;&gt;"",ISNUMBER(A433),B433&lt;&gt;"",C433&lt;&gt;"",OR(E433="USD",E433="CRC"),F433&gt;0,ISNUMBER(Q433),Q433&gt;0),"✓ OK","✗ ERROR: Revisa datos")</f>
        <v/>
      </c>
    </row>
    <row r="434">
      <c r="A434" s="19" t="n"/>
      <c r="F434" s="20" t="n"/>
      <c r="Q434" s="10">
        <f>IF(E434="USD",CONFIG!$B$5,1)</f>
        <v/>
      </c>
      <c r="R434">
        <f>IF(AND(A434&lt;&gt;"",ISNUMBER(A434),B434&lt;&gt;"",C434&lt;&gt;"",OR(E434="USD",E434="CRC"),F434&gt;0,ISNUMBER(Q434),Q434&gt;0),"✓ OK","✗ ERROR: Revisa datos")</f>
        <v/>
      </c>
    </row>
    <row r="435">
      <c r="A435" s="19" t="n"/>
      <c r="F435" s="20" t="n"/>
      <c r="Q435" s="10">
        <f>IF(E435="USD",CONFIG!$B$5,1)</f>
        <v/>
      </c>
      <c r="R435">
        <f>IF(AND(A435&lt;&gt;"",ISNUMBER(A435),B435&lt;&gt;"",C435&lt;&gt;"",OR(E435="USD",E435="CRC"),F435&gt;0,ISNUMBER(Q435),Q435&gt;0),"✓ OK","✗ ERROR: Revisa datos")</f>
        <v/>
      </c>
    </row>
    <row r="436">
      <c r="A436" s="19" t="n"/>
      <c r="F436" s="20" t="n"/>
      <c r="Q436" s="10">
        <f>IF(E436="USD",CONFIG!$B$5,1)</f>
        <v/>
      </c>
      <c r="R436">
        <f>IF(AND(A436&lt;&gt;"",ISNUMBER(A436),B436&lt;&gt;"",C436&lt;&gt;"",OR(E436="USD",E436="CRC"),F436&gt;0,ISNUMBER(Q436),Q436&gt;0),"✓ OK","✗ ERROR: Revisa datos")</f>
        <v/>
      </c>
    </row>
    <row r="437">
      <c r="A437" s="19" t="n"/>
      <c r="F437" s="20" t="n"/>
      <c r="Q437" s="10">
        <f>IF(E437="USD",CONFIG!$B$5,1)</f>
        <v/>
      </c>
      <c r="R437">
        <f>IF(AND(A437&lt;&gt;"",ISNUMBER(A437),B437&lt;&gt;"",C437&lt;&gt;"",OR(E437="USD",E437="CRC"),F437&gt;0,ISNUMBER(Q437),Q437&gt;0),"✓ OK","✗ ERROR: Revisa datos")</f>
        <v/>
      </c>
    </row>
    <row r="438">
      <c r="A438" s="19" t="n"/>
      <c r="F438" s="20" t="n"/>
      <c r="Q438" s="10">
        <f>IF(E438="USD",CONFIG!$B$5,1)</f>
        <v/>
      </c>
      <c r="R438">
        <f>IF(AND(A438&lt;&gt;"",ISNUMBER(A438),B438&lt;&gt;"",C438&lt;&gt;"",OR(E438="USD",E438="CRC"),F438&gt;0,ISNUMBER(Q438),Q438&gt;0),"✓ OK","✗ ERROR: Revisa datos")</f>
        <v/>
      </c>
    </row>
    <row r="439">
      <c r="A439" s="19" t="n"/>
      <c r="F439" s="20" t="n"/>
      <c r="Q439" s="10">
        <f>IF(E439="USD",CONFIG!$B$5,1)</f>
        <v/>
      </c>
      <c r="R439">
        <f>IF(AND(A439&lt;&gt;"",ISNUMBER(A439),B439&lt;&gt;"",C439&lt;&gt;"",OR(E439="USD",E439="CRC"),F439&gt;0,ISNUMBER(Q439),Q439&gt;0),"✓ OK","✗ ERROR: Revisa datos")</f>
        <v/>
      </c>
    </row>
    <row r="440">
      <c r="A440" s="19" t="n"/>
      <c r="F440" s="20" t="n"/>
      <c r="Q440" s="10">
        <f>IF(E440="USD",CONFIG!$B$5,1)</f>
        <v/>
      </c>
      <c r="R440">
        <f>IF(AND(A440&lt;&gt;"",ISNUMBER(A440),B440&lt;&gt;"",C440&lt;&gt;"",OR(E440="USD",E440="CRC"),F440&gt;0,ISNUMBER(Q440),Q440&gt;0),"✓ OK","✗ ERROR: Revisa datos")</f>
        <v/>
      </c>
    </row>
    <row r="441">
      <c r="A441" s="19" t="n"/>
      <c r="F441" s="20" t="n"/>
      <c r="Q441" s="10">
        <f>IF(E441="USD",CONFIG!$B$5,1)</f>
        <v/>
      </c>
      <c r="R441">
        <f>IF(AND(A441&lt;&gt;"",ISNUMBER(A441),B441&lt;&gt;"",C441&lt;&gt;"",OR(E441="USD",E441="CRC"),F441&gt;0,ISNUMBER(Q441),Q441&gt;0),"✓ OK","✗ ERROR: Revisa datos")</f>
        <v/>
      </c>
    </row>
    <row r="442">
      <c r="A442" s="19" t="n"/>
      <c r="F442" s="20" t="n"/>
      <c r="Q442" s="10">
        <f>IF(E442="USD",CONFIG!$B$5,1)</f>
        <v/>
      </c>
      <c r="R442">
        <f>IF(AND(A442&lt;&gt;"",ISNUMBER(A442),B442&lt;&gt;"",C442&lt;&gt;"",OR(E442="USD",E442="CRC"),F442&gt;0,ISNUMBER(Q442),Q442&gt;0),"✓ OK","✗ ERROR: Revisa datos")</f>
        <v/>
      </c>
    </row>
    <row r="443">
      <c r="A443" s="19" t="n"/>
      <c r="F443" s="20" t="n"/>
      <c r="Q443" s="10">
        <f>IF(E443="USD",CONFIG!$B$5,1)</f>
        <v/>
      </c>
      <c r="R443">
        <f>IF(AND(A443&lt;&gt;"",ISNUMBER(A443),B443&lt;&gt;"",C443&lt;&gt;"",OR(E443="USD",E443="CRC"),F443&gt;0,ISNUMBER(Q443),Q443&gt;0),"✓ OK","✗ ERROR: Revisa datos")</f>
        <v/>
      </c>
    </row>
    <row r="444">
      <c r="A444" s="19" t="n"/>
      <c r="F444" s="20" t="n"/>
      <c r="Q444" s="10">
        <f>IF(E444="USD",CONFIG!$B$5,1)</f>
        <v/>
      </c>
      <c r="R444">
        <f>IF(AND(A444&lt;&gt;"",ISNUMBER(A444),B444&lt;&gt;"",C444&lt;&gt;"",OR(E444="USD",E444="CRC"),F444&gt;0,ISNUMBER(Q444),Q444&gt;0),"✓ OK","✗ ERROR: Revisa datos")</f>
        <v/>
      </c>
    </row>
    <row r="445">
      <c r="A445" s="19" t="n"/>
      <c r="F445" s="20" t="n"/>
      <c r="Q445" s="10">
        <f>IF(E445="USD",CONFIG!$B$5,1)</f>
        <v/>
      </c>
      <c r="R445">
        <f>IF(AND(A445&lt;&gt;"",ISNUMBER(A445),B445&lt;&gt;"",C445&lt;&gt;"",OR(E445="USD",E445="CRC"),F445&gt;0,ISNUMBER(Q445),Q445&gt;0),"✓ OK","✗ ERROR: Revisa datos")</f>
        <v/>
      </c>
    </row>
    <row r="446">
      <c r="A446" s="19" t="n"/>
      <c r="F446" s="20" t="n"/>
      <c r="Q446" s="10">
        <f>IF(E446="USD",CONFIG!$B$5,1)</f>
        <v/>
      </c>
      <c r="R446">
        <f>IF(AND(A446&lt;&gt;"",ISNUMBER(A446),B446&lt;&gt;"",C446&lt;&gt;"",OR(E446="USD",E446="CRC"),F446&gt;0,ISNUMBER(Q446),Q446&gt;0),"✓ OK","✗ ERROR: Revisa datos")</f>
        <v/>
      </c>
    </row>
    <row r="447">
      <c r="A447" s="19" t="n"/>
      <c r="F447" s="20" t="n"/>
      <c r="Q447" s="10">
        <f>IF(E447="USD",CONFIG!$B$5,1)</f>
        <v/>
      </c>
      <c r="R447">
        <f>IF(AND(A447&lt;&gt;"",ISNUMBER(A447),B447&lt;&gt;"",C447&lt;&gt;"",OR(E447="USD",E447="CRC"),F447&gt;0,ISNUMBER(Q447),Q447&gt;0),"✓ OK","✗ ERROR: Revisa datos")</f>
        <v/>
      </c>
    </row>
    <row r="448">
      <c r="A448" s="19" t="n"/>
      <c r="F448" s="20" t="n"/>
      <c r="Q448" s="10">
        <f>IF(E448="USD",CONFIG!$B$5,1)</f>
        <v/>
      </c>
      <c r="R448">
        <f>IF(AND(A448&lt;&gt;"",ISNUMBER(A448),B448&lt;&gt;"",C448&lt;&gt;"",OR(E448="USD",E448="CRC"),F448&gt;0,ISNUMBER(Q448),Q448&gt;0),"✓ OK","✗ ERROR: Revisa datos")</f>
        <v/>
      </c>
    </row>
    <row r="449">
      <c r="A449" s="19" t="n"/>
      <c r="F449" s="20" t="n"/>
      <c r="Q449" s="10">
        <f>IF(E449="USD",CONFIG!$B$5,1)</f>
        <v/>
      </c>
      <c r="R449">
        <f>IF(AND(A449&lt;&gt;"",ISNUMBER(A449),B449&lt;&gt;"",C449&lt;&gt;"",OR(E449="USD",E449="CRC"),F449&gt;0,ISNUMBER(Q449),Q449&gt;0),"✓ OK","✗ ERROR: Revisa datos")</f>
        <v/>
      </c>
    </row>
    <row r="450">
      <c r="A450" s="19" t="n"/>
      <c r="F450" s="20" t="n"/>
      <c r="Q450" s="10">
        <f>IF(E450="USD",CONFIG!$B$5,1)</f>
        <v/>
      </c>
      <c r="R450">
        <f>IF(AND(A450&lt;&gt;"",ISNUMBER(A450),B450&lt;&gt;"",C450&lt;&gt;"",OR(E450="USD",E450="CRC"),F450&gt;0,ISNUMBER(Q450),Q450&gt;0),"✓ OK","✗ ERROR: Revisa datos")</f>
        <v/>
      </c>
    </row>
    <row r="451">
      <c r="A451" s="19" t="n"/>
      <c r="F451" s="20" t="n"/>
      <c r="Q451" s="10">
        <f>IF(E451="USD",CONFIG!$B$5,1)</f>
        <v/>
      </c>
      <c r="R451">
        <f>IF(AND(A451&lt;&gt;"",ISNUMBER(A451),B451&lt;&gt;"",C451&lt;&gt;"",OR(E451="USD",E451="CRC"),F451&gt;0,ISNUMBER(Q451),Q451&gt;0),"✓ OK","✗ ERROR: Revisa datos")</f>
        <v/>
      </c>
    </row>
    <row r="452">
      <c r="A452" s="19" t="n"/>
      <c r="F452" s="20" t="n"/>
      <c r="Q452" s="10">
        <f>IF(E452="USD",CONFIG!$B$5,1)</f>
        <v/>
      </c>
      <c r="R452">
        <f>IF(AND(A452&lt;&gt;"",ISNUMBER(A452),B452&lt;&gt;"",C452&lt;&gt;"",OR(E452="USD",E452="CRC"),F452&gt;0,ISNUMBER(Q452),Q452&gt;0),"✓ OK","✗ ERROR: Revisa datos")</f>
        <v/>
      </c>
    </row>
    <row r="453">
      <c r="A453" s="19" t="n"/>
      <c r="F453" s="20" t="n"/>
      <c r="Q453" s="10">
        <f>IF(E453="USD",CONFIG!$B$5,1)</f>
        <v/>
      </c>
      <c r="R453">
        <f>IF(AND(A453&lt;&gt;"",ISNUMBER(A453),B453&lt;&gt;"",C453&lt;&gt;"",OR(E453="USD",E453="CRC"),F453&gt;0,ISNUMBER(Q453),Q453&gt;0),"✓ OK","✗ ERROR: Revisa datos")</f>
        <v/>
      </c>
    </row>
    <row r="454">
      <c r="A454" s="19" t="n"/>
      <c r="F454" s="20" t="n"/>
      <c r="Q454" s="10">
        <f>IF(E454="USD",CONFIG!$B$5,1)</f>
        <v/>
      </c>
      <c r="R454">
        <f>IF(AND(A454&lt;&gt;"",ISNUMBER(A454),B454&lt;&gt;"",C454&lt;&gt;"",OR(E454="USD",E454="CRC"),F454&gt;0,ISNUMBER(Q454),Q454&gt;0),"✓ OK","✗ ERROR: Revisa datos")</f>
        <v/>
      </c>
    </row>
    <row r="455">
      <c r="A455" s="19" t="n"/>
      <c r="F455" s="20" t="n"/>
      <c r="Q455" s="10">
        <f>IF(E455="USD",CONFIG!$B$5,1)</f>
        <v/>
      </c>
      <c r="R455">
        <f>IF(AND(A455&lt;&gt;"",ISNUMBER(A455),B455&lt;&gt;"",C455&lt;&gt;"",OR(E455="USD",E455="CRC"),F455&gt;0,ISNUMBER(Q455),Q455&gt;0),"✓ OK","✗ ERROR: Revisa datos")</f>
        <v/>
      </c>
    </row>
    <row r="456">
      <c r="A456" s="19" t="n"/>
      <c r="F456" s="20" t="n"/>
      <c r="Q456" s="10">
        <f>IF(E456="USD",CONFIG!$B$5,1)</f>
        <v/>
      </c>
      <c r="R456">
        <f>IF(AND(A456&lt;&gt;"",ISNUMBER(A456),B456&lt;&gt;"",C456&lt;&gt;"",OR(E456="USD",E456="CRC"),F456&gt;0,ISNUMBER(Q456),Q456&gt;0),"✓ OK","✗ ERROR: Revisa datos")</f>
        <v/>
      </c>
    </row>
    <row r="457">
      <c r="A457" s="19" t="n"/>
      <c r="F457" s="20" t="n"/>
      <c r="Q457" s="10">
        <f>IF(E457="USD",CONFIG!$B$5,1)</f>
        <v/>
      </c>
      <c r="R457">
        <f>IF(AND(A457&lt;&gt;"",ISNUMBER(A457),B457&lt;&gt;"",C457&lt;&gt;"",OR(E457="USD",E457="CRC"),F457&gt;0,ISNUMBER(Q457),Q457&gt;0),"✓ OK","✗ ERROR: Revisa datos")</f>
        <v/>
      </c>
    </row>
    <row r="458">
      <c r="A458" s="19" t="n"/>
      <c r="F458" s="20" t="n"/>
      <c r="Q458" s="10">
        <f>IF(E458="USD",CONFIG!$B$5,1)</f>
        <v/>
      </c>
      <c r="R458">
        <f>IF(AND(A458&lt;&gt;"",ISNUMBER(A458),B458&lt;&gt;"",C458&lt;&gt;"",OR(E458="USD",E458="CRC"),F458&gt;0,ISNUMBER(Q458),Q458&gt;0),"✓ OK","✗ ERROR: Revisa datos")</f>
        <v/>
      </c>
    </row>
    <row r="459">
      <c r="A459" s="19" t="n"/>
      <c r="F459" s="20" t="n"/>
      <c r="Q459" s="10">
        <f>IF(E459="USD",CONFIG!$B$5,1)</f>
        <v/>
      </c>
      <c r="R459">
        <f>IF(AND(A459&lt;&gt;"",ISNUMBER(A459),B459&lt;&gt;"",C459&lt;&gt;"",OR(E459="USD",E459="CRC"),F459&gt;0,ISNUMBER(Q459),Q459&gt;0),"✓ OK","✗ ERROR: Revisa datos")</f>
        <v/>
      </c>
    </row>
    <row r="460">
      <c r="A460" s="19" t="n"/>
      <c r="F460" s="20" t="n"/>
      <c r="Q460" s="10">
        <f>IF(E460="USD",CONFIG!$B$5,1)</f>
        <v/>
      </c>
      <c r="R460">
        <f>IF(AND(A460&lt;&gt;"",ISNUMBER(A460),B460&lt;&gt;"",C460&lt;&gt;"",OR(E460="USD",E460="CRC"),F460&gt;0,ISNUMBER(Q460),Q460&gt;0),"✓ OK","✗ ERROR: Revisa datos")</f>
        <v/>
      </c>
    </row>
    <row r="461">
      <c r="A461" s="19" t="n"/>
      <c r="F461" s="20" t="n"/>
      <c r="Q461" s="10">
        <f>IF(E461="USD",CONFIG!$B$5,1)</f>
        <v/>
      </c>
      <c r="R461">
        <f>IF(AND(A461&lt;&gt;"",ISNUMBER(A461),B461&lt;&gt;"",C461&lt;&gt;"",OR(E461="USD",E461="CRC"),F461&gt;0,ISNUMBER(Q461),Q461&gt;0),"✓ OK","✗ ERROR: Revisa datos")</f>
        <v/>
      </c>
    </row>
    <row r="462">
      <c r="A462" s="19" t="n"/>
      <c r="F462" s="20" t="n"/>
      <c r="Q462" s="10">
        <f>IF(E462="USD",CONFIG!$B$5,1)</f>
        <v/>
      </c>
      <c r="R462">
        <f>IF(AND(A462&lt;&gt;"",ISNUMBER(A462),B462&lt;&gt;"",C462&lt;&gt;"",OR(E462="USD",E462="CRC"),F462&gt;0,ISNUMBER(Q462),Q462&gt;0),"✓ OK","✗ ERROR: Revisa datos")</f>
        <v/>
      </c>
    </row>
    <row r="463">
      <c r="A463" s="19" t="n"/>
      <c r="F463" s="20" t="n"/>
      <c r="Q463" s="10">
        <f>IF(E463="USD",CONFIG!$B$5,1)</f>
        <v/>
      </c>
      <c r="R463">
        <f>IF(AND(A463&lt;&gt;"",ISNUMBER(A463),B463&lt;&gt;"",C463&lt;&gt;"",OR(E463="USD",E463="CRC"),F463&gt;0,ISNUMBER(Q463),Q463&gt;0),"✓ OK","✗ ERROR: Revisa datos")</f>
        <v/>
      </c>
    </row>
    <row r="464">
      <c r="A464" s="19" t="n"/>
      <c r="F464" s="20" t="n"/>
      <c r="Q464" s="10">
        <f>IF(E464="USD",CONFIG!$B$5,1)</f>
        <v/>
      </c>
      <c r="R464">
        <f>IF(AND(A464&lt;&gt;"",ISNUMBER(A464),B464&lt;&gt;"",C464&lt;&gt;"",OR(E464="USD",E464="CRC"),F464&gt;0,ISNUMBER(Q464),Q464&gt;0),"✓ OK","✗ ERROR: Revisa datos")</f>
        <v/>
      </c>
    </row>
    <row r="465">
      <c r="A465" s="19" t="n"/>
      <c r="F465" s="20" t="n"/>
      <c r="Q465" s="10">
        <f>IF(E465="USD",CONFIG!$B$5,1)</f>
        <v/>
      </c>
      <c r="R465">
        <f>IF(AND(A465&lt;&gt;"",ISNUMBER(A465),B465&lt;&gt;"",C465&lt;&gt;"",OR(E465="USD",E465="CRC"),F465&gt;0,ISNUMBER(Q465),Q465&gt;0),"✓ OK","✗ ERROR: Revisa datos")</f>
        <v/>
      </c>
    </row>
    <row r="466">
      <c r="A466" s="19" t="n"/>
      <c r="F466" s="20" t="n"/>
      <c r="Q466" s="10">
        <f>IF(E466="USD",CONFIG!$B$5,1)</f>
        <v/>
      </c>
      <c r="R466">
        <f>IF(AND(A466&lt;&gt;"",ISNUMBER(A466),B466&lt;&gt;"",C466&lt;&gt;"",OR(E466="USD",E466="CRC"),F466&gt;0,ISNUMBER(Q466),Q466&gt;0),"✓ OK","✗ ERROR: Revisa datos")</f>
        <v/>
      </c>
    </row>
    <row r="467">
      <c r="A467" s="19" t="n"/>
      <c r="F467" s="20" t="n"/>
      <c r="Q467" s="10">
        <f>IF(E467="USD",CONFIG!$B$5,1)</f>
        <v/>
      </c>
      <c r="R467">
        <f>IF(AND(A467&lt;&gt;"",ISNUMBER(A467),B467&lt;&gt;"",C467&lt;&gt;"",OR(E467="USD",E467="CRC"),F467&gt;0,ISNUMBER(Q467),Q467&gt;0),"✓ OK","✗ ERROR: Revisa datos")</f>
        <v/>
      </c>
    </row>
    <row r="468">
      <c r="A468" s="19" t="n"/>
      <c r="F468" s="20" t="n"/>
      <c r="Q468" s="10">
        <f>IF(E468="USD",CONFIG!$B$5,1)</f>
        <v/>
      </c>
      <c r="R468">
        <f>IF(AND(A468&lt;&gt;"",ISNUMBER(A468),B468&lt;&gt;"",C468&lt;&gt;"",OR(E468="USD",E468="CRC"),F468&gt;0,ISNUMBER(Q468),Q468&gt;0),"✓ OK","✗ ERROR: Revisa datos")</f>
        <v/>
      </c>
    </row>
    <row r="469">
      <c r="A469" s="19" t="n"/>
      <c r="F469" s="20" t="n"/>
      <c r="Q469" s="10">
        <f>IF(E469="USD",CONFIG!$B$5,1)</f>
        <v/>
      </c>
      <c r="R469">
        <f>IF(AND(A469&lt;&gt;"",ISNUMBER(A469),B469&lt;&gt;"",C469&lt;&gt;"",OR(E469="USD",E469="CRC"),F469&gt;0,ISNUMBER(Q469),Q469&gt;0),"✓ OK","✗ ERROR: Revisa datos")</f>
        <v/>
      </c>
    </row>
    <row r="470">
      <c r="A470" s="19" t="n"/>
      <c r="F470" s="20" t="n"/>
      <c r="Q470" s="10">
        <f>IF(E470="USD",CONFIG!$B$5,1)</f>
        <v/>
      </c>
      <c r="R470">
        <f>IF(AND(A470&lt;&gt;"",ISNUMBER(A470),B470&lt;&gt;"",C470&lt;&gt;"",OR(E470="USD",E470="CRC"),F470&gt;0,ISNUMBER(Q470),Q470&gt;0),"✓ OK","✗ ERROR: Revisa datos")</f>
        <v/>
      </c>
    </row>
    <row r="471">
      <c r="A471" s="19" t="n"/>
      <c r="F471" s="20" t="n"/>
      <c r="Q471" s="10">
        <f>IF(E471="USD",CONFIG!$B$5,1)</f>
        <v/>
      </c>
      <c r="R471">
        <f>IF(AND(A471&lt;&gt;"",ISNUMBER(A471),B471&lt;&gt;"",C471&lt;&gt;"",OR(E471="USD",E471="CRC"),F471&gt;0,ISNUMBER(Q471),Q471&gt;0),"✓ OK","✗ ERROR: Revisa datos")</f>
        <v/>
      </c>
    </row>
    <row r="472">
      <c r="A472" s="19" t="n"/>
      <c r="F472" s="20" t="n"/>
      <c r="Q472" s="10">
        <f>IF(E472="USD",CONFIG!$B$5,1)</f>
        <v/>
      </c>
      <c r="R472">
        <f>IF(AND(A472&lt;&gt;"",ISNUMBER(A472),B472&lt;&gt;"",C472&lt;&gt;"",OR(E472="USD",E472="CRC"),F472&gt;0,ISNUMBER(Q472),Q472&gt;0),"✓ OK","✗ ERROR: Revisa datos")</f>
        <v/>
      </c>
    </row>
    <row r="473">
      <c r="A473" s="19" t="n"/>
      <c r="F473" s="20" t="n"/>
      <c r="Q473" s="10">
        <f>IF(E473="USD",CONFIG!$B$5,1)</f>
        <v/>
      </c>
      <c r="R473">
        <f>IF(AND(A473&lt;&gt;"",ISNUMBER(A473),B473&lt;&gt;"",C473&lt;&gt;"",OR(E473="USD",E473="CRC"),F473&gt;0,ISNUMBER(Q473),Q473&gt;0),"✓ OK","✗ ERROR: Revisa datos")</f>
        <v/>
      </c>
    </row>
    <row r="474">
      <c r="A474" s="19" t="n"/>
      <c r="F474" s="20" t="n"/>
      <c r="Q474" s="10">
        <f>IF(E474="USD",CONFIG!$B$5,1)</f>
        <v/>
      </c>
      <c r="R474">
        <f>IF(AND(A474&lt;&gt;"",ISNUMBER(A474),B474&lt;&gt;"",C474&lt;&gt;"",OR(E474="USD",E474="CRC"),F474&gt;0,ISNUMBER(Q474),Q474&gt;0),"✓ OK","✗ ERROR: Revisa datos")</f>
        <v/>
      </c>
    </row>
    <row r="475">
      <c r="A475" s="19" t="n"/>
      <c r="F475" s="20" t="n"/>
      <c r="Q475" s="10">
        <f>IF(E475="USD",CONFIG!$B$5,1)</f>
        <v/>
      </c>
      <c r="R475">
        <f>IF(AND(A475&lt;&gt;"",ISNUMBER(A475),B475&lt;&gt;"",C475&lt;&gt;"",OR(E475="USD",E475="CRC"),F475&gt;0,ISNUMBER(Q475),Q475&gt;0),"✓ OK","✗ ERROR: Revisa datos")</f>
        <v/>
      </c>
    </row>
    <row r="476">
      <c r="A476" s="19" t="n"/>
      <c r="F476" s="20" t="n"/>
      <c r="Q476" s="10">
        <f>IF(E476="USD",CONFIG!$B$5,1)</f>
        <v/>
      </c>
      <c r="R476">
        <f>IF(AND(A476&lt;&gt;"",ISNUMBER(A476),B476&lt;&gt;"",C476&lt;&gt;"",OR(E476="USD",E476="CRC"),F476&gt;0,ISNUMBER(Q476),Q476&gt;0),"✓ OK","✗ ERROR: Revisa datos")</f>
        <v/>
      </c>
    </row>
    <row r="477">
      <c r="A477" s="19" t="n"/>
      <c r="F477" s="20" t="n"/>
      <c r="Q477" s="10">
        <f>IF(E477="USD",CONFIG!$B$5,1)</f>
        <v/>
      </c>
      <c r="R477">
        <f>IF(AND(A477&lt;&gt;"",ISNUMBER(A477),B477&lt;&gt;"",C477&lt;&gt;"",OR(E477="USD",E477="CRC"),F477&gt;0,ISNUMBER(Q477),Q477&gt;0),"✓ OK","✗ ERROR: Revisa datos")</f>
        <v/>
      </c>
    </row>
    <row r="478">
      <c r="A478" s="19" t="n"/>
      <c r="F478" s="20" t="n"/>
      <c r="Q478" s="10">
        <f>IF(E478="USD",CONFIG!$B$5,1)</f>
        <v/>
      </c>
      <c r="R478">
        <f>IF(AND(A478&lt;&gt;"",ISNUMBER(A478),B478&lt;&gt;"",C478&lt;&gt;"",OR(E478="USD",E478="CRC"),F478&gt;0,ISNUMBER(Q478),Q478&gt;0),"✓ OK","✗ ERROR: Revisa datos")</f>
        <v/>
      </c>
    </row>
    <row r="479">
      <c r="A479" s="19" t="n"/>
      <c r="F479" s="20" t="n"/>
      <c r="Q479" s="10">
        <f>IF(E479="USD",CONFIG!$B$5,1)</f>
        <v/>
      </c>
      <c r="R479">
        <f>IF(AND(A479&lt;&gt;"",ISNUMBER(A479),B479&lt;&gt;"",C479&lt;&gt;"",OR(E479="USD",E479="CRC"),F479&gt;0,ISNUMBER(Q479),Q479&gt;0),"✓ OK","✗ ERROR: Revisa datos")</f>
        <v/>
      </c>
    </row>
    <row r="480">
      <c r="A480" s="19" t="n"/>
      <c r="F480" s="20" t="n"/>
      <c r="Q480" s="10">
        <f>IF(E480="USD",CONFIG!$B$5,1)</f>
        <v/>
      </c>
      <c r="R480">
        <f>IF(AND(A480&lt;&gt;"",ISNUMBER(A480),B480&lt;&gt;"",C480&lt;&gt;"",OR(E480="USD",E480="CRC"),F480&gt;0,ISNUMBER(Q480),Q480&gt;0),"✓ OK","✗ ERROR: Revisa datos")</f>
        <v/>
      </c>
    </row>
    <row r="481">
      <c r="A481" s="19" t="n"/>
      <c r="F481" s="20" t="n"/>
      <c r="Q481" s="10">
        <f>IF(E481="USD",CONFIG!$B$5,1)</f>
        <v/>
      </c>
      <c r="R481">
        <f>IF(AND(A481&lt;&gt;"",ISNUMBER(A481),B481&lt;&gt;"",C481&lt;&gt;"",OR(E481="USD",E481="CRC"),F481&gt;0,ISNUMBER(Q481),Q481&gt;0),"✓ OK","✗ ERROR: Revisa datos")</f>
        <v/>
      </c>
    </row>
    <row r="482">
      <c r="A482" s="19" t="n"/>
      <c r="F482" s="20" t="n"/>
      <c r="Q482" s="10">
        <f>IF(E482="USD",CONFIG!$B$5,1)</f>
        <v/>
      </c>
      <c r="R482">
        <f>IF(AND(A482&lt;&gt;"",ISNUMBER(A482),B482&lt;&gt;"",C482&lt;&gt;"",OR(E482="USD",E482="CRC"),F482&gt;0,ISNUMBER(Q482),Q482&gt;0),"✓ OK","✗ ERROR: Revisa datos")</f>
        <v/>
      </c>
    </row>
    <row r="483">
      <c r="A483" s="19" t="n"/>
      <c r="F483" s="20" t="n"/>
      <c r="Q483" s="10">
        <f>IF(E483="USD",CONFIG!$B$5,1)</f>
        <v/>
      </c>
      <c r="R483">
        <f>IF(AND(A483&lt;&gt;"",ISNUMBER(A483),B483&lt;&gt;"",C483&lt;&gt;"",OR(E483="USD",E483="CRC"),F483&gt;0,ISNUMBER(Q483),Q483&gt;0),"✓ OK","✗ ERROR: Revisa datos")</f>
        <v/>
      </c>
    </row>
    <row r="484">
      <c r="A484" s="19" t="n"/>
      <c r="F484" s="20" t="n"/>
      <c r="Q484" s="10">
        <f>IF(E484="USD",CONFIG!$B$5,1)</f>
        <v/>
      </c>
      <c r="R484">
        <f>IF(AND(A484&lt;&gt;"",ISNUMBER(A484),B484&lt;&gt;"",C484&lt;&gt;"",OR(E484="USD",E484="CRC"),F484&gt;0,ISNUMBER(Q484),Q484&gt;0),"✓ OK","✗ ERROR: Revisa datos")</f>
        <v/>
      </c>
    </row>
    <row r="485">
      <c r="A485" s="19" t="n"/>
      <c r="F485" s="20" t="n"/>
      <c r="Q485" s="10">
        <f>IF(E485="USD",CONFIG!$B$5,1)</f>
        <v/>
      </c>
      <c r="R485">
        <f>IF(AND(A485&lt;&gt;"",ISNUMBER(A485),B485&lt;&gt;"",C485&lt;&gt;"",OR(E485="USD",E485="CRC"),F485&gt;0,ISNUMBER(Q485),Q485&gt;0),"✓ OK","✗ ERROR: Revisa datos")</f>
        <v/>
      </c>
    </row>
    <row r="486">
      <c r="A486" s="19" t="n"/>
      <c r="F486" s="20" t="n"/>
      <c r="Q486" s="10">
        <f>IF(E486="USD",CONFIG!$B$5,1)</f>
        <v/>
      </c>
      <c r="R486">
        <f>IF(AND(A486&lt;&gt;"",ISNUMBER(A486),B486&lt;&gt;"",C486&lt;&gt;"",OR(E486="USD",E486="CRC"),F486&gt;0,ISNUMBER(Q486),Q486&gt;0),"✓ OK","✗ ERROR: Revisa datos")</f>
        <v/>
      </c>
    </row>
    <row r="487">
      <c r="A487" s="19" t="n"/>
      <c r="F487" s="20" t="n"/>
      <c r="Q487" s="10">
        <f>IF(E487="USD",CONFIG!$B$5,1)</f>
        <v/>
      </c>
      <c r="R487">
        <f>IF(AND(A487&lt;&gt;"",ISNUMBER(A487),B487&lt;&gt;"",C487&lt;&gt;"",OR(E487="USD",E487="CRC"),F487&gt;0,ISNUMBER(Q487),Q487&gt;0),"✓ OK","✗ ERROR: Revisa datos")</f>
        <v/>
      </c>
    </row>
    <row r="488">
      <c r="A488" s="19" t="n"/>
      <c r="F488" s="20" t="n"/>
      <c r="Q488" s="10">
        <f>IF(E488="USD",CONFIG!$B$5,1)</f>
        <v/>
      </c>
      <c r="R488">
        <f>IF(AND(A488&lt;&gt;"",ISNUMBER(A488),B488&lt;&gt;"",C488&lt;&gt;"",OR(E488="USD",E488="CRC"),F488&gt;0,ISNUMBER(Q488),Q488&gt;0),"✓ OK","✗ ERROR: Revisa datos")</f>
        <v/>
      </c>
    </row>
    <row r="489">
      <c r="A489" s="19" t="n"/>
      <c r="F489" s="20" t="n"/>
      <c r="Q489" s="10">
        <f>IF(E489="USD",CONFIG!$B$5,1)</f>
        <v/>
      </c>
      <c r="R489">
        <f>IF(AND(A489&lt;&gt;"",ISNUMBER(A489),B489&lt;&gt;"",C489&lt;&gt;"",OR(E489="USD",E489="CRC"),F489&gt;0,ISNUMBER(Q489),Q489&gt;0),"✓ OK","✗ ERROR: Revisa datos")</f>
        <v/>
      </c>
    </row>
    <row r="490">
      <c r="A490" s="19" t="n"/>
      <c r="F490" s="20" t="n"/>
      <c r="Q490" s="10">
        <f>IF(E490="USD",CONFIG!$B$5,1)</f>
        <v/>
      </c>
      <c r="R490">
        <f>IF(AND(A490&lt;&gt;"",ISNUMBER(A490),B490&lt;&gt;"",C490&lt;&gt;"",OR(E490="USD",E490="CRC"),F490&gt;0,ISNUMBER(Q490),Q490&gt;0),"✓ OK","✗ ERROR: Revisa datos")</f>
        <v/>
      </c>
    </row>
    <row r="491">
      <c r="A491" s="19" t="n"/>
      <c r="F491" s="20" t="n"/>
      <c r="Q491" s="10">
        <f>IF(E491="USD",CONFIG!$B$5,1)</f>
        <v/>
      </c>
      <c r="R491">
        <f>IF(AND(A491&lt;&gt;"",ISNUMBER(A491),B491&lt;&gt;"",C491&lt;&gt;"",OR(E491="USD",E491="CRC"),F491&gt;0,ISNUMBER(Q491),Q491&gt;0),"✓ OK","✗ ERROR: Revisa datos")</f>
        <v/>
      </c>
    </row>
    <row r="492">
      <c r="A492" s="19" t="n"/>
      <c r="F492" s="20" t="n"/>
      <c r="Q492" s="10">
        <f>IF(E492="USD",CONFIG!$B$5,1)</f>
        <v/>
      </c>
      <c r="R492">
        <f>IF(AND(A492&lt;&gt;"",ISNUMBER(A492),B492&lt;&gt;"",C492&lt;&gt;"",OR(E492="USD",E492="CRC"),F492&gt;0,ISNUMBER(Q492),Q492&gt;0),"✓ OK","✗ ERROR: Revisa datos")</f>
        <v/>
      </c>
    </row>
    <row r="493">
      <c r="A493" s="19" t="n"/>
      <c r="F493" s="20" t="n"/>
      <c r="Q493" s="10">
        <f>IF(E493="USD",CONFIG!$B$5,1)</f>
        <v/>
      </c>
      <c r="R493">
        <f>IF(AND(A493&lt;&gt;"",ISNUMBER(A493),B493&lt;&gt;"",C493&lt;&gt;"",OR(E493="USD",E493="CRC"),F493&gt;0,ISNUMBER(Q493),Q493&gt;0),"✓ OK","✗ ERROR: Revisa datos")</f>
        <v/>
      </c>
    </row>
    <row r="494">
      <c r="A494" s="19" t="n"/>
      <c r="F494" s="20" t="n"/>
      <c r="Q494" s="10">
        <f>IF(E494="USD",CONFIG!$B$5,1)</f>
        <v/>
      </c>
      <c r="R494">
        <f>IF(AND(A494&lt;&gt;"",ISNUMBER(A494),B494&lt;&gt;"",C494&lt;&gt;"",OR(E494="USD",E494="CRC"),F494&gt;0,ISNUMBER(Q494),Q494&gt;0),"✓ OK","✗ ERROR: Revisa datos")</f>
        <v/>
      </c>
    </row>
    <row r="495">
      <c r="A495" s="19" t="n"/>
      <c r="F495" s="20" t="n"/>
      <c r="Q495" s="10">
        <f>IF(E495="USD",CONFIG!$B$5,1)</f>
        <v/>
      </c>
      <c r="R495">
        <f>IF(AND(A495&lt;&gt;"",ISNUMBER(A495),B495&lt;&gt;"",C495&lt;&gt;"",OR(E495="USD",E495="CRC"),F495&gt;0,ISNUMBER(Q495),Q495&gt;0),"✓ OK","✗ ERROR: Revisa datos")</f>
        <v/>
      </c>
    </row>
    <row r="496">
      <c r="A496" s="19" t="n"/>
      <c r="F496" s="20" t="n"/>
      <c r="Q496" s="10">
        <f>IF(E496="USD",CONFIG!$B$5,1)</f>
        <v/>
      </c>
      <c r="R496">
        <f>IF(AND(A496&lt;&gt;"",ISNUMBER(A496),B496&lt;&gt;"",C496&lt;&gt;"",OR(E496="USD",E496="CRC"),F496&gt;0,ISNUMBER(Q496),Q496&gt;0),"✓ OK","✗ ERROR: Revisa datos")</f>
        <v/>
      </c>
    </row>
    <row r="497">
      <c r="A497" s="19" t="n"/>
      <c r="F497" s="20" t="n"/>
      <c r="Q497" s="10">
        <f>IF(E497="USD",CONFIG!$B$5,1)</f>
        <v/>
      </c>
      <c r="R497">
        <f>IF(AND(A497&lt;&gt;"",ISNUMBER(A497),B497&lt;&gt;"",C497&lt;&gt;"",OR(E497="USD",E497="CRC"),F497&gt;0,ISNUMBER(Q497),Q497&gt;0),"✓ OK","✗ ERROR: Revisa datos")</f>
        <v/>
      </c>
    </row>
    <row r="498">
      <c r="A498" s="19" t="n"/>
      <c r="F498" s="20" t="n"/>
      <c r="Q498" s="10">
        <f>IF(E498="USD",CONFIG!$B$5,1)</f>
        <v/>
      </c>
      <c r="R498">
        <f>IF(AND(A498&lt;&gt;"",ISNUMBER(A498),B498&lt;&gt;"",C498&lt;&gt;"",OR(E498="USD",E498="CRC"),F498&gt;0,ISNUMBER(Q498),Q498&gt;0),"✓ OK","✗ ERROR: Revisa datos")</f>
        <v/>
      </c>
    </row>
    <row r="499">
      <c r="A499" s="19" t="n"/>
      <c r="F499" s="20" t="n"/>
      <c r="Q499" s="10">
        <f>IF(E499="USD",CONFIG!$B$5,1)</f>
        <v/>
      </c>
      <c r="R499">
        <f>IF(AND(A499&lt;&gt;"",ISNUMBER(A499),B499&lt;&gt;"",C499&lt;&gt;"",OR(E499="USD",E499="CRC"),F499&gt;0,ISNUMBER(Q499),Q499&gt;0),"✓ OK","✗ ERROR: Revisa datos")</f>
        <v/>
      </c>
    </row>
    <row r="500">
      <c r="A500" s="19" t="n"/>
      <c r="F500" s="20" t="n"/>
      <c r="Q500" s="10">
        <f>IF(E500="USD",CONFIG!$B$5,1)</f>
        <v/>
      </c>
      <c r="R500">
        <f>IF(AND(A500&lt;&gt;"",ISNUMBER(A500),B500&lt;&gt;"",C500&lt;&gt;"",OR(E500="USD",E500="CRC"),F500&gt;0,ISNUMBER(Q500),Q500&gt;0),"✓ OK","✗ ERROR: Revisa datos")</f>
        <v/>
      </c>
    </row>
    <row r="501">
      <c r="A501" s="19" t="n"/>
      <c r="F501" s="20" t="n"/>
      <c r="Q501" s="10">
        <f>IF(E501="USD",CONFIG!$B$5,1)</f>
        <v/>
      </c>
      <c r="R501">
        <f>IF(AND(A501&lt;&gt;"",ISNUMBER(A501),B501&lt;&gt;"",C501&lt;&gt;"",OR(E501="USD",E501="CRC"),F501&gt;0,ISNUMBER(Q501),Q501&gt;0),"✓ OK","✗ ERROR: Revisa datos")</f>
        <v/>
      </c>
    </row>
    <row r="502">
      <c r="A502" s="19" t="n"/>
      <c r="F502" s="20" t="n"/>
      <c r="Q502" s="10">
        <f>IF(E502="USD",CONFIG!$B$5,1)</f>
        <v/>
      </c>
      <c r="R502">
        <f>IF(AND(A502&lt;&gt;"",ISNUMBER(A502),B502&lt;&gt;"",C502&lt;&gt;"",OR(E502="USD",E502="CRC"),F502&gt;0,ISNUMBER(Q502),Q502&gt;0),"✓ OK","✗ ERROR: Revisa datos")</f>
        <v/>
      </c>
    </row>
    <row r="503">
      <c r="A503" s="19" t="n"/>
      <c r="F503" s="20" t="n"/>
      <c r="Q503" s="10">
        <f>IF(E503="USD",CONFIG!$B$5,1)</f>
        <v/>
      </c>
      <c r="R503">
        <f>IF(AND(A503&lt;&gt;"",ISNUMBER(A503),B503&lt;&gt;"",C503&lt;&gt;"",OR(E503="USD",E503="CRC"),F503&gt;0,ISNUMBER(Q503),Q503&gt;0),"✓ OK","✗ ERROR: Revisa datos")</f>
        <v/>
      </c>
    </row>
    <row r="504">
      <c r="A504" s="19" t="n"/>
      <c r="F504" s="20" t="n"/>
      <c r="Q504" s="10">
        <f>IF(E504="USD",CONFIG!$B$5,1)</f>
        <v/>
      </c>
      <c r="R504">
        <f>IF(AND(A504&lt;&gt;"",ISNUMBER(A504),B504&lt;&gt;"",C504&lt;&gt;"",OR(E504="USD",E504="CRC"),F504&gt;0,ISNUMBER(Q504),Q504&gt;0),"✓ OK","✗ ERROR: Revisa datos")</f>
        <v/>
      </c>
    </row>
    <row r="505">
      <c r="A505" s="19" t="n"/>
      <c r="F505" s="20" t="n"/>
      <c r="Q505" s="10">
        <f>IF(E505="USD",CONFIG!$B$5,1)</f>
        <v/>
      </c>
      <c r="R505">
        <f>IF(AND(A505&lt;&gt;"",ISNUMBER(A505),B505&lt;&gt;"",C505&lt;&gt;"",OR(E505="USD",E505="CRC"),F505&gt;0,ISNUMBER(Q505),Q505&gt;0),"✓ OK","✗ ERROR: Revisa datos")</f>
        <v/>
      </c>
    </row>
    <row r="506">
      <c r="A506" s="19" t="n"/>
      <c r="F506" s="20" t="n"/>
      <c r="Q506" s="10">
        <f>IF(E506="USD",CONFIG!$B$5,1)</f>
        <v/>
      </c>
      <c r="R506">
        <f>IF(AND(A506&lt;&gt;"",ISNUMBER(A506),B506&lt;&gt;"",C506&lt;&gt;"",OR(E506="USD",E506="CRC"),F506&gt;0,ISNUMBER(Q506),Q506&gt;0),"✓ OK","✗ ERROR: Revisa datos")</f>
        <v/>
      </c>
    </row>
    <row r="507">
      <c r="A507" s="19" t="n"/>
      <c r="F507" s="20" t="n"/>
      <c r="Q507" s="10">
        <f>IF(E507="USD",CONFIG!$B$5,1)</f>
        <v/>
      </c>
      <c r="R507">
        <f>IF(AND(A507&lt;&gt;"",ISNUMBER(A507),B507&lt;&gt;"",C507&lt;&gt;"",OR(E507="USD",E507="CRC"),F507&gt;0,ISNUMBER(Q507),Q507&gt;0),"✓ OK","✗ ERROR: Revisa datos")</f>
        <v/>
      </c>
    </row>
    <row r="508">
      <c r="A508" s="19" t="n"/>
      <c r="F508" s="20" t="n"/>
      <c r="Q508" s="10">
        <f>IF(E508="USD",CONFIG!$B$5,1)</f>
        <v/>
      </c>
      <c r="R508">
        <f>IF(AND(A508&lt;&gt;"",ISNUMBER(A508),B508&lt;&gt;"",C508&lt;&gt;"",OR(E508="USD",E508="CRC"),F508&gt;0,ISNUMBER(Q508),Q508&gt;0),"✓ OK","✗ ERROR: Revisa datos")</f>
        <v/>
      </c>
    </row>
    <row r="509">
      <c r="A509" s="19" t="n"/>
      <c r="F509" s="20" t="n"/>
      <c r="Q509" s="10">
        <f>IF(E509="USD",CONFIG!$B$5,1)</f>
        <v/>
      </c>
      <c r="R509">
        <f>IF(AND(A509&lt;&gt;"",ISNUMBER(A509),B509&lt;&gt;"",C509&lt;&gt;"",OR(E509="USD",E509="CRC"),F509&gt;0,ISNUMBER(Q509),Q509&gt;0),"✓ OK","✗ ERROR: Revisa datos")</f>
        <v/>
      </c>
    </row>
    <row r="510">
      <c r="A510" s="19" t="n"/>
      <c r="F510" s="20" t="n"/>
      <c r="Q510" s="10">
        <f>IF(E510="USD",CONFIG!$B$5,1)</f>
        <v/>
      </c>
      <c r="R510">
        <f>IF(AND(A510&lt;&gt;"",ISNUMBER(A510),B510&lt;&gt;"",C510&lt;&gt;"",OR(E510="USD",E510="CRC"),F510&gt;0,ISNUMBER(Q510),Q510&gt;0),"✓ OK","✗ ERROR: Revisa datos")</f>
        <v/>
      </c>
    </row>
    <row r="511">
      <c r="A511" s="19" t="n"/>
      <c r="F511" s="20" t="n"/>
      <c r="Q511" s="10">
        <f>IF(E511="USD",CONFIG!$B$5,1)</f>
        <v/>
      </c>
      <c r="R511">
        <f>IF(AND(A511&lt;&gt;"",ISNUMBER(A511),B511&lt;&gt;"",C511&lt;&gt;"",OR(E511="USD",E511="CRC"),F511&gt;0,ISNUMBER(Q511),Q511&gt;0),"✓ OK","✗ ERROR: Revisa datos")</f>
        <v/>
      </c>
    </row>
    <row r="512">
      <c r="A512" s="19" t="n"/>
      <c r="F512" s="20" t="n"/>
      <c r="Q512" s="10">
        <f>IF(E512="USD",CONFIG!$B$5,1)</f>
        <v/>
      </c>
      <c r="R512">
        <f>IF(AND(A512&lt;&gt;"",ISNUMBER(A512),B512&lt;&gt;"",C512&lt;&gt;"",OR(E512="USD",E512="CRC"),F512&gt;0,ISNUMBER(Q512),Q512&gt;0),"✓ OK","✗ ERROR: Revisa datos")</f>
        <v/>
      </c>
    </row>
    <row r="513">
      <c r="A513" s="19" t="n"/>
      <c r="F513" s="20" t="n"/>
      <c r="Q513" s="10">
        <f>IF(E513="USD",CONFIG!$B$5,1)</f>
        <v/>
      </c>
      <c r="R513">
        <f>IF(AND(A513&lt;&gt;"",ISNUMBER(A513),B513&lt;&gt;"",C513&lt;&gt;"",OR(E513="USD",E513="CRC"),F513&gt;0,ISNUMBER(Q513),Q513&gt;0),"✓ OK","✗ ERROR: Revisa datos")</f>
        <v/>
      </c>
    </row>
    <row r="514">
      <c r="A514" s="19" t="n"/>
      <c r="F514" s="20" t="n"/>
      <c r="Q514" s="10">
        <f>IF(E514="USD",CONFIG!$B$5,1)</f>
        <v/>
      </c>
      <c r="R514">
        <f>IF(AND(A514&lt;&gt;"",ISNUMBER(A514),B514&lt;&gt;"",C514&lt;&gt;"",OR(E514="USD",E514="CRC"),F514&gt;0,ISNUMBER(Q514),Q514&gt;0),"✓ OK","✗ ERROR: Revisa datos")</f>
        <v/>
      </c>
    </row>
    <row r="515">
      <c r="A515" s="19" t="n"/>
      <c r="F515" s="20" t="n"/>
      <c r="Q515" s="10">
        <f>IF(E515="USD",CONFIG!$B$5,1)</f>
        <v/>
      </c>
      <c r="R515">
        <f>IF(AND(A515&lt;&gt;"",ISNUMBER(A515),B515&lt;&gt;"",C515&lt;&gt;"",OR(E515="USD",E515="CRC"),F515&gt;0,ISNUMBER(Q515),Q515&gt;0),"✓ OK","✗ ERROR: Revisa datos")</f>
        <v/>
      </c>
    </row>
    <row r="516">
      <c r="A516" s="19" t="n"/>
      <c r="F516" s="20" t="n"/>
      <c r="Q516" s="10">
        <f>IF(E516="USD",CONFIG!$B$5,1)</f>
        <v/>
      </c>
      <c r="R516">
        <f>IF(AND(A516&lt;&gt;"",ISNUMBER(A516),B516&lt;&gt;"",C516&lt;&gt;"",OR(E516="USD",E516="CRC"),F516&gt;0,ISNUMBER(Q516),Q516&gt;0),"✓ OK","✗ ERROR: Revisa datos")</f>
        <v/>
      </c>
    </row>
    <row r="517">
      <c r="A517" s="19" t="n"/>
      <c r="F517" s="20" t="n"/>
      <c r="Q517" s="10">
        <f>IF(E517="USD",CONFIG!$B$5,1)</f>
        <v/>
      </c>
      <c r="R517">
        <f>IF(AND(A517&lt;&gt;"",ISNUMBER(A517),B517&lt;&gt;"",C517&lt;&gt;"",OR(E517="USD",E517="CRC"),F517&gt;0,ISNUMBER(Q517),Q517&gt;0),"✓ OK","✗ ERROR: Revisa datos")</f>
        <v/>
      </c>
    </row>
    <row r="518">
      <c r="A518" s="19" t="n"/>
      <c r="F518" s="20" t="n"/>
      <c r="Q518" s="10">
        <f>IF(E518="USD",CONFIG!$B$5,1)</f>
        <v/>
      </c>
      <c r="R518">
        <f>IF(AND(A518&lt;&gt;"",ISNUMBER(A518),B518&lt;&gt;"",C518&lt;&gt;"",OR(E518="USD",E518="CRC"),F518&gt;0,ISNUMBER(Q518),Q518&gt;0),"✓ OK","✗ ERROR: Revisa datos")</f>
        <v/>
      </c>
    </row>
    <row r="519">
      <c r="A519" s="19" t="n"/>
      <c r="F519" s="20" t="n"/>
      <c r="Q519" s="10">
        <f>IF(E519="USD",CONFIG!$B$5,1)</f>
        <v/>
      </c>
      <c r="R519">
        <f>IF(AND(A519&lt;&gt;"",ISNUMBER(A519),B519&lt;&gt;"",C519&lt;&gt;"",OR(E519="USD",E519="CRC"),F519&gt;0,ISNUMBER(Q519),Q519&gt;0),"✓ OK","✗ ERROR: Revisa datos")</f>
        <v/>
      </c>
    </row>
    <row r="520">
      <c r="A520" s="19" t="n"/>
      <c r="F520" s="20" t="n"/>
      <c r="Q520" s="10">
        <f>IF(E520="USD",CONFIG!$B$5,1)</f>
        <v/>
      </c>
      <c r="R520">
        <f>IF(AND(A520&lt;&gt;"",ISNUMBER(A520),B520&lt;&gt;"",C520&lt;&gt;"",OR(E520="USD",E520="CRC"),F520&gt;0,ISNUMBER(Q520),Q520&gt;0),"✓ OK","✗ ERROR: Revisa datos")</f>
        <v/>
      </c>
    </row>
    <row r="521">
      <c r="A521" s="19" t="n"/>
      <c r="F521" s="20" t="n"/>
      <c r="Q521" s="10">
        <f>IF(E521="USD",CONFIG!$B$5,1)</f>
        <v/>
      </c>
      <c r="R521">
        <f>IF(AND(A521&lt;&gt;"",ISNUMBER(A521),B521&lt;&gt;"",C521&lt;&gt;"",OR(E521="USD",E521="CRC"),F521&gt;0,ISNUMBER(Q521),Q521&gt;0),"✓ OK","✗ ERROR: Revisa datos")</f>
        <v/>
      </c>
    </row>
    <row r="522">
      <c r="A522" s="19" t="n"/>
      <c r="F522" s="20" t="n"/>
      <c r="Q522" s="10">
        <f>IF(E522="USD",CONFIG!$B$5,1)</f>
        <v/>
      </c>
      <c r="R522">
        <f>IF(AND(A522&lt;&gt;"",ISNUMBER(A522),B522&lt;&gt;"",C522&lt;&gt;"",OR(E522="USD",E522="CRC"),F522&gt;0,ISNUMBER(Q522),Q522&gt;0),"✓ OK","✗ ERROR: Revisa datos")</f>
        <v/>
      </c>
    </row>
    <row r="523">
      <c r="A523" s="19" t="n"/>
      <c r="F523" s="20" t="n"/>
      <c r="Q523" s="10">
        <f>IF(E523="USD",CONFIG!$B$5,1)</f>
        <v/>
      </c>
      <c r="R523">
        <f>IF(AND(A523&lt;&gt;"",ISNUMBER(A523),B523&lt;&gt;"",C523&lt;&gt;"",OR(E523="USD",E523="CRC"),F523&gt;0,ISNUMBER(Q523),Q523&gt;0),"✓ OK","✗ ERROR: Revisa datos")</f>
        <v/>
      </c>
    </row>
    <row r="524">
      <c r="A524" s="19" t="n"/>
      <c r="F524" s="20" t="n"/>
      <c r="Q524" s="10">
        <f>IF(E524="USD",CONFIG!$B$5,1)</f>
        <v/>
      </c>
      <c r="R524">
        <f>IF(AND(A524&lt;&gt;"",ISNUMBER(A524),B524&lt;&gt;"",C524&lt;&gt;"",OR(E524="USD",E524="CRC"),F524&gt;0,ISNUMBER(Q524),Q524&gt;0),"✓ OK","✗ ERROR: Revisa datos")</f>
        <v/>
      </c>
    </row>
    <row r="525">
      <c r="A525" s="19" t="n"/>
      <c r="F525" s="20" t="n"/>
      <c r="Q525" s="10">
        <f>IF(E525="USD",CONFIG!$B$5,1)</f>
        <v/>
      </c>
      <c r="R525">
        <f>IF(AND(A525&lt;&gt;"",ISNUMBER(A525),B525&lt;&gt;"",C525&lt;&gt;"",OR(E525="USD",E525="CRC"),F525&gt;0,ISNUMBER(Q525),Q525&gt;0),"✓ OK","✗ ERROR: Revisa datos")</f>
        <v/>
      </c>
    </row>
    <row r="526">
      <c r="A526" s="19" t="n"/>
      <c r="F526" s="20" t="n"/>
      <c r="Q526" s="10">
        <f>IF(E526="USD",CONFIG!$B$5,1)</f>
        <v/>
      </c>
      <c r="R526">
        <f>IF(AND(A526&lt;&gt;"",ISNUMBER(A526),B526&lt;&gt;"",C526&lt;&gt;"",OR(E526="USD",E526="CRC"),F526&gt;0,ISNUMBER(Q526),Q526&gt;0),"✓ OK","✗ ERROR: Revisa datos")</f>
        <v/>
      </c>
    </row>
    <row r="527">
      <c r="A527" s="19" t="n"/>
      <c r="F527" s="20" t="n"/>
      <c r="Q527" s="10">
        <f>IF(E527="USD",CONFIG!$B$5,1)</f>
        <v/>
      </c>
      <c r="R527">
        <f>IF(AND(A527&lt;&gt;"",ISNUMBER(A527),B527&lt;&gt;"",C527&lt;&gt;"",OR(E527="USD",E527="CRC"),F527&gt;0,ISNUMBER(Q527),Q527&gt;0),"✓ OK","✗ ERROR: Revisa datos")</f>
        <v/>
      </c>
    </row>
    <row r="528">
      <c r="A528" s="19" t="n"/>
      <c r="F528" s="20" t="n"/>
      <c r="Q528" s="10">
        <f>IF(E528="USD",CONFIG!$B$5,1)</f>
        <v/>
      </c>
      <c r="R528">
        <f>IF(AND(A528&lt;&gt;"",ISNUMBER(A528),B528&lt;&gt;"",C528&lt;&gt;"",OR(E528="USD",E528="CRC"),F528&gt;0,ISNUMBER(Q528),Q528&gt;0),"✓ OK","✗ ERROR: Revisa datos")</f>
        <v/>
      </c>
    </row>
    <row r="529">
      <c r="A529" s="19" t="n"/>
      <c r="F529" s="20" t="n"/>
      <c r="Q529" s="10">
        <f>IF(E529="USD",CONFIG!$B$5,1)</f>
        <v/>
      </c>
      <c r="R529">
        <f>IF(AND(A529&lt;&gt;"",ISNUMBER(A529),B529&lt;&gt;"",C529&lt;&gt;"",OR(E529="USD",E529="CRC"),F529&gt;0,ISNUMBER(Q529),Q529&gt;0),"✓ OK","✗ ERROR: Revisa datos")</f>
        <v/>
      </c>
    </row>
    <row r="530">
      <c r="A530" s="19" t="n"/>
      <c r="F530" s="20" t="n"/>
      <c r="Q530" s="10">
        <f>IF(E530="USD",CONFIG!$B$5,1)</f>
        <v/>
      </c>
      <c r="R530">
        <f>IF(AND(A530&lt;&gt;"",ISNUMBER(A530),B530&lt;&gt;"",C530&lt;&gt;"",OR(E530="USD",E530="CRC"),F530&gt;0,ISNUMBER(Q530),Q530&gt;0),"✓ OK","✗ ERROR: Revisa datos")</f>
        <v/>
      </c>
    </row>
    <row r="531">
      <c r="A531" s="19" t="n"/>
      <c r="F531" s="20" t="n"/>
      <c r="Q531" s="10">
        <f>IF(E531="USD",CONFIG!$B$5,1)</f>
        <v/>
      </c>
      <c r="R531">
        <f>IF(AND(A531&lt;&gt;"",ISNUMBER(A531),B531&lt;&gt;"",C531&lt;&gt;"",OR(E531="USD",E531="CRC"),F531&gt;0,ISNUMBER(Q531),Q531&gt;0),"✓ OK","✗ ERROR: Revisa datos")</f>
        <v/>
      </c>
    </row>
    <row r="532">
      <c r="A532" s="19" t="n"/>
      <c r="F532" s="20" t="n"/>
      <c r="Q532" s="10">
        <f>IF(E532="USD",CONFIG!$B$5,1)</f>
        <v/>
      </c>
      <c r="R532">
        <f>IF(AND(A532&lt;&gt;"",ISNUMBER(A532),B532&lt;&gt;"",C532&lt;&gt;"",OR(E532="USD",E532="CRC"),F532&gt;0,ISNUMBER(Q532),Q532&gt;0),"✓ OK","✗ ERROR: Revisa datos")</f>
        <v/>
      </c>
    </row>
    <row r="533">
      <c r="A533" s="19" t="n"/>
      <c r="F533" s="20" t="n"/>
      <c r="Q533" s="10">
        <f>IF(E533="USD",CONFIG!$B$5,1)</f>
        <v/>
      </c>
      <c r="R533">
        <f>IF(AND(A533&lt;&gt;"",ISNUMBER(A533),B533&lt;&gt;"",C533&lt;&gt;"",OR(E533="USD",E533="CRC"),F533&gt;0,ISNUMBER(Q533),Q533&gt;0),"✓ OK","✗ ERROR: Revisa datos")</f>
        <v/>
      </c>
    </row>
    <row r="534">
      <c r="A534" s="19" t="n"/>
      <c r="F534" s="20" t="n"/>
      <c r="Q534" s="10">
        <f>IF(E534="USD",CONFIG!$B$5,1)</f>
        <v/>
      </c>
      <c r="R534">
        <f>IF(AND(A534&lt;&gt;"",ISNUMBER(A534),B534&lt;&gt;"",C534&lt;&gt;"",OR(E534="USD",E534="CRC"),F534&gt;0,ISNUMBER(Q534),Q534&gt;0),"✓ OK","✗ ERROR: Revisa datos")</f>
        <v/>
      </c>
    </row>
    <row r="535">
      <c r="A535" s="19" t="n"/>
      <c r="F535" s="20" t="n"/>
      <c r="Q535" s="10">
        <f>IF(E535="USD",CONFIG!$B$5,1)</f>
        <v/>
      </c>
      <c r="R535">
        <f>IF(AND(A535&lt;&gt;"",ISNUMBER(A535),B535&lt;&gt;"",C535&lt;&gt;"",OR(E535="USD",E535="CRC"),F535&gt;0,ISNUMBER(Q535),Q535&gt;0),"✓ OK","✗ ERROR: Revisa datos")</f>
        <v/>
      </c>
    </row>
    <row r="536">
      <c r="A536" s="19" t="n"/>
      <c r="F536" s="20" t="n"/>
      <c r="Q536" s="10">
        <f>IF(E536="USD",CONFIG!$B$5,1)</f>
        <v/>
      </c>
      <c r="R536">
        <f>IF(AND(A536&lt;&gt;"",ISNUMBER(A536),B536&lt;&gt;"",C536&lt;&gt;"",OR(E536="USD",E536="CRC"),F536&gt;0,ISNUMBER(Q536),Q536&gt;0),"✓ OK","✗ ERROR: Revisa datos")</f>
        <v/>
      </c>
    </row>
    <row r="537">
      <c r="A537" s="19" t="n"/>
      <c r="F537" s="20" t="n"/>
      <c r="Q537" s="10">
        <f>IF(E537="USD",CONFIG!$B$5,1)</f>
        <v/>
      </c>
      <c r="R537">
        <f>IF(AND(A537&lt;&gt;"",ISNUMBER(A537),B537&lt;&gt;"",C537&lt;&gt;"",OR(E537="USD",E537="CRC"),F537&gt;0,ISNUMBER(Q537),Q537&gt;0),"✓ OK","✗ ERROR: Revisa datos")</f>
        <v/>
      </c>
    </row>
    <row r="538">
      <c r="A538" s="19" t="n"/>
      <c r="F538" s="20" t="n"/>
      <c r="Q538" s="10">
        <f>IF(E538="USD",CONFIG!$B$5,1)</f>
        <v/>
      </c>
      <c r="R538">
        <f>IF(AND(A538&lt;&gt;"",ISNUMBER(A538),B538&lt;&gt;"",C538&lt;&gt;"",OR(E538="USD",E538="CRC"),F538&gt;0,ISNUMBER(Q538),Q538&gt;0),"✓ OK","✗ ERROR: Revisa datos")</f>
        <v/>
      </c>
    </row>
    <row r="539">
      <c r="A539" s="19" t="n"/>
      <c r="F539" s="20" t="n"/>
      <c r="Q539" s="10">
        <f>IF(E539="USD",CONFIG!$B$5,1)</f>
        <v/>
      </c>
      <c r="R539">
        <f>IF(AND(A539&lt;&gt;"",ISNUMBER(A539),B539&lt;&gt;"",C539&lt;&gt;"",OR(E539="USD",E539="CRC"),F539&gt;0,ISNUMBER(Q539),Q539&gt;0),"✓ OK","✗ ERROR: Revisa datos")</f>
        <v/>
      </c>
    </row>
    <row r="540">
      <c r="A540" s="19" t="n"/>
      <c r="F540" s="20" t="n"/>
      <c r="Q540" s="10">
        <f>IF(E540="USD",CONFIG!$B$5,1)</f>
        <v/>
      </c>
      <c r="R540">
        <f>IF(AND(A540&lt;&gt;"",ISNUMBER(A540),B540&lt;&gt;"",C540&lt;&gt;"",OR(E540="USD",E540="CRC"),F540&gt;0,ISNUMBER(Q540),Q540&gt;0),"✓ OK","✗ ERROR: Revisa datos")</f>
        <v/>
      </c>
    </row>
    <row r="541">
      <c r="A541" s="19" t="n"/>
      <c r="F541" s="20" t="n"/>
      <c r="Q541" s="10">
        <f>IF(E541="USD",CONFIG!$B$5,1)</f>
        <v/>
      </c>
      <c r="R541">
        <f>IF(AND(A541&lt;&gt;"",ISNUMBER(A541),B541&lt;&gt;"",C541&lt;&gt;"",OR(E541="USD",E541="CRC"),F541&gt;0,ISNUMBER(Q541),Q541&gt;0),"✓ OK","✗ ERROR: Revisa datos")</f>
        <v/>
      </c>
    </row>
    <row r="542">
      <c r="A542" s="19" t="n"/>
      <c r="F542" s="20" t="n"/>
      <c r="Q542" s="10">
        <f>IF(E542="USD",CONFIG!$B$5,1)</f>
        <v/>
      </c>
      <c r="R542">
        <f>IF(AND(A542&lt;&gt;"",ISNUMBER(A542),B542&lt;&gt;"",C542&lt;&gt;"",OR(E542="USD",E542="CRC"),F542&gt;0,ISNUMBER(Q542),Q542&gt;0),"✓ OK","✗ ERROR: Revisa datos")</f>
        <v/>
      </c>
    </row>
    <row r="543">
      <c r="A543" s="19" t="n"/>
      <c r="F543" s="20" t="n"/>
      <c r="Q543" s="10">
        <f>IF(E543="USD",CONFIG!$B$5,1)</f>
        <v/>
      </c>
      <c r="R543">
        <f>IF(AND(A543&lt;&gt;"",ISNUMBER(A543),B543&lt;&gt;"",C543&lt;&gt;"",OR(E543="USD",E543="CRC"),F543&gt;0,ISNUMBER(Q543),Q543&gt;0),"✓ OK","✗ ERROR: Revisa datos")</f>
        <v/>
      </c>
    </row>
    <row r="544">
      <c r="A544" s="19" t="n"/>
      <c r="F544" s="20" t="n"/>
      <c r="Q544" s="10">
        <f>IF(E544="USD",CONFIG!$B$5,1)</f>
        <v/>
      </c>
      <c r="R544">
        <f>IF(AND(A544&lt;&gt;"",ISNUMBER(A544),B544&lt;&gt;"",C544&lt;&gt;"",OR(E544="USD",E544="CRC"),F544&gt;0,ISNUMBER(Q544),Q544&gt;0),"✓ OK","✗ ERROR: Revisa datos")</f>
        <v/>
      </c>
    </row>
    <row r="545">
      <c r="A545" s="19" t="n"/>
      <c r="F545" s="20" t="n"/>
      <c r="Q545" s="10">
        <f>IF(E545="USD",CONFIG!$B$5,1)</f>
        <v/>
      </c>
      <c r="R545">
        <f>IF(AND(A545&lt;&gt;"",ISNUMBER(A545),B545&lt;&gt;"",C545&lt;&gt;"",OR(E545="USD",E545="CRC"),F545&gt;0,ISNUMBER(Q545),Q545&gt;0),"✓ OK","✗ ERROR: Revisa datos")</f>
        <v/>
      </c>
    </row>
    <row r="546">
      <c r="A546" s="19" t="n"/>
      <c r="F546" s="20" t="n"/>
      <c r="Q546" s="10">
        <f>IF(E546="USD",CONFIG!$B$5,1)</f>
        <v/>
      </c>
      <c r="R546">
        <f>IF(AND(A546&lt;&gt;"",ISNUMBER(A546),B546&lt;&gt;"",C546&lt;&gt;"",OR(E546="USD",E546="CRC"),F546&gt;0,ISNUMBER(Q546),Q546&gt;0),"✓ OK","✗ ERROR: Revisa datos")</f>
        <v/>
      </c>
    </row>
    <row r="547">
      <c r="A547" s="19" t="n"/>
      <c r="F547" s="20" t="n"/>
      <c r="Q547" s="10">
        <f>IF(E547="USD",CONFIG!$B$5,1)</f>
        <v/>
      </c>
      <c r="R547">
        <f>IF(AND(A547&lt;&gt;"",ISNUMBER(A547),B547&lt;&gt;"",C547&lt;&gt;"",OR(E547="USD",E547="CRC"),F547&gt;0,ISNUMBER(Q547),Q547&gt;0),"✓ OK","✗ ERROR: Revisa datos")</f>
        <v/>
      </c>
    </row>
    <row r="548">
      <c r="A548" s="19" t="n"/>
      <c r="F548" s="20" t="n"/>
      <c r="Q548" s="10">
        <f>IF(E548="USD",CONFIG!$B$5,1)</f>
        <v/>
      </c>
      <c r="R548">
        <f>IF(AND(A548&lt;&gt;"",ISNUMBER(A548),B548&lt;&gt;"",C548&lt;&gt;"",OR(E548="USD",E548="CRC"),F548&gt;0,ISNUMBER(Q548),Q548&gt;0),"✓ OK","✗ ERROR: Revisa datos")</f>
        <v/>
      </c>
    </row>
    <row r="549">
      <c r="A549" s="19" t="n"/>
      <c r="F549" s="20" t="n"/>
      <c r="Q549" s="10">
        <f>IF(E549="USD",CONFIG!$B$5,1)</f>
        <v/>
      </c>
      <c r="R549">
        <f>IF(AND(A549&lt;&gt;"",ISNUMBER(A549),B549&lt;&gt;"",C549&lt;&gt;"",OR(E549="USD",E549="CRC"),F549&gt;0,ISNUMBER(Q549),Q549&gt;0),"✓ OK","✗ ERROR: Revisa datos")</f>
        <v/>
      </c>
    </row>
    <row r="550">
      <c r="A550" s="19" t="n"/>
      <c r="F550" s="20" t="n"/>
      <c r="Q550" s="10">
        <f>IF(E550="USD",CONFIG!$B$5,1)</f>
        <v/>
      </c>
      <c r="R550">
        <f>IF(AND(A550&lt;&gt;"",ISNUMBER(A550),B550&lt;&gt;"",C550&lt;&gt;"",OR(E550="USD",E550="CRC"),F550&gt;0,ISNUMBER(Q550),Q550&gt;0),"✓ OK","✗ ERROR: Revisa datos")</f>
        <v/>
      </c>
    </row>
    <row r="551">
      <c r="A551" s="19" t="n"/>
      <c r="F551" s="20" t="n"/>
      <c r="Q551" s="10">
        <f>IF(E551="USD",CONFIG!$B$5,1)</f>
        <v/>
      </c>
      <c r="R551">
        <f>IF(AND(A551&lt;&gt;"",ISNUMBER(A551),B551&lt;&gt;"",C551&lt;&gt;"",OR(E551="USD",E551="CRC"),F551&gt;0,ISNUMBER(Q551),Q551&gt;0),"✓ OK","✗ ERROR: Revisa datos")</f>
        <v/>
      </c>
    </row>
    <row r="552">
      <c r="A552" s="19" t="n"/>
      <c r="F552" s="20" t="n"/>
      <c r="Q552" s="10">
        <f>IF(E552="USD",CONFIG!$B$5,1)</f>
        <v/>
      </c>
      <c r="R552">
        <f>IF(AND(A552&lt;&gt;"",ISNUMBER(A552),B552&lt;&gt;"",C552&lt;&gt;"",OR(E552="USD",E552="CRC"),F552&gt;0,ISNUMBER(Q552),Q552&gt;0),"✓ OK","✗ ERROR: Revisa datos")</f>
        <v/>
      </c>
    </row>
    <row r="553">
      <c r="A553" s="19" t="n"/>
      <c r="F553" s="20" t="n"/>
      <c r="Q553" s="10">
        <f>IF(E553="USD",CONFIG!$B$5,1)</f>
        <v/>
      </c>
      <c r="R553">
        <f>IF(AND(A553&lt;&gt;"",ISNUMBER(A553),B553&lt;&gt;"",C553&lt;&gt;"",OR(E553="USD",E553="CRC"),F553&gt;0,ISNUMBER(Q553),Q553&gt;0),"✓ OK","✗ ERROR: Revisa datos")</f>
        <v/>
      </c>
    </row>
    <row r="554">
      <c r="A554" s="19" t="n"/>
      <c r="F554" s="20" t="n"/>
      <c r="Q554" s="10">
        <f>IF(E554="USD",CONFIG!$B$5,1)</f>
        <v/>
      </c>
      <c r="R554">
        <f>IF(AND(A554&lt;&gt;"",ISNUMBER(A554),B554&lt;&gt;"",C554&lt;&gt;"",OR(E554="USD",E554="CRC"),F554&gt;0,ISNUMBER(Q554),Q554&gt;0),"✓ OK","✗ ERROR: Revisa datos")</f>
        <v/>
      </c>
    </row>
    <row r="555">
      <c r="A555" s="19" t="n"/>
      <c r="F555" s="20" t="n"/>
      <c r="Q555" s="10">
        <f>IF(E555="USD",CONFIG!$B$5,1)</f>
        <v/>
      </c>
      <c r="R555">
        <f>IF(AND(A555&lt;&gt;"",ISNUMBER(A555),B555&lt;&gt;"",C555&lt;&gt;"",OR(E555="USD",E555="CRC"),F555&gt;0,ISNUMBER(Q555),Q555&gt;0),"✓ OK","✗ ERROR: Revisa datos")</f>
        <v/>
      </c>
    </row>
    <row r="556">
      <c r="A556" s="19" t="n"/>
      <c r="F556" s="20" t="n"/>
      <c r="Q556" s="10">
        <f>IF(E556="USD",CONFIG!$B$5,1)</f>
        <v/>
      </c>
      <c r="R556">
        <f>IF(AND(A556&lt;&gt;"",ISNUMBER(A556),B556&lt;&gt;"",C556&lt;&gt;"",OR(E556="USD",E556="CRC"),F556&gt;0,ISNUMBER(Q556),Q556&gt;0),"✓ OK","✗ ERROR: Revisa datos")</f>
        <v/>
      </c>
    </row>
    <row r="557">
      <c r="A557" s="19" t="n"/>
      <c r="F557" s="20" t="n"/>
      <c r="Q557" s="10">
        <f>IF(E557="USD",CONFIG!$B$5,1)</f>
        <v/>
      </c>
      <c r="R557">
        <f>IF(AND(A557&lt;&gt;"",ISNUMBER(A557),B557&lt;&gt;"",C557&lt;&gt;"",OR(E557="USD",E557="CRC"),F557&gt;0,ISNUMBER(Q557),Q557&gt;0),"✓ OK","✗ ERROR: Revisa datos")</f>
        <v/>
      </c>
    </row>
    <row r="558">
      <c r="A558" s="19" t="n"/>
      <c r="F558" s="20" t="n"/>
      <c r="Q558" s="10">
        <f>IF(E558="USD",CONFIG!$B$5,1)</f>
        <v/>
      </c>
      <c r="R558">
        <f>IF(AND(A558&lt;&gt;"",ISNUMBER(A558),B558&lt;&gt;"",C558&lt;&gt;"",OR(E558="USD",E558="CRC"),F558&gt;0,ISNUMBER(Q558),Q558&gt;0),"✓ OK","✗ ERROR: Revisa datos")</f>
        <v/>
      </c>
    </row>
    <row r="559">
      <c r="A559" s="19" t="n"/>
      <c r="F559" s="20" t="n"/>
      <c r="Q559" s="10">
        <f>IF(E559="USD",CONFIG!$B$5,1)</f>
        <v/>
      </c>
      <c r="R559">
        <f>IF(AND(A559&lt;&gt;"",ISNUMBER(A559),B559&lt;&gt;"",C559&lt;&gt;"",OR(E559="USD",E559="CRC"),F559&gt;0,ISNUMBER(Q559),Q559&gt;0),"✓ OK","✗ ERROR: Revisa datos")</f>
        <v/>
      </c>
    </row>
    <row r="560">
      <c r="A560" s="19" t="n"/>
      <c r="F560" s="20" t="n"/>
      <c r="Q560" s="10">
        <f>IF(E560="USD",CONFIG!$B$5,1)</f>
        <v/>
      </c>
      <c r="R560">
        <f>IF(AND(A560&lt;&gt;"",ISNUMBER(A560),B560&lt;&gt;"",C560&lt;&gt;"",OR(E560="USD",E560="CRC"),F560&gt;0,ISNUMBER(Q560),Q560&gt;0),"✓ OK","✗ ERROR: Revisa datos")</f>
        <v/>
      </c>
    </row>
    <row r="561">
      <c r="A561" s="19" t="n"/>
      <c r="F561" s="20" t="n"/>
      <c r="Q561" s="10">
        <f>IF(E561="USD",CONFIG!$B$5,1)</f>
        <v/>
      </c>
      <c r="R561">
        <f>IF(AND(A561&lt;&gt;"",ISNUMBER(A561),B561&lt;&gt;"",C561&lt;&gt;"",OR(E561="USD",E561="CRC"),F561&gt;0,ISNUMBER(Q561),Q561&gt;0),"✓ OK","✗ ERROR: Revisa datos")</f>
        <v/>
      </c>
    </row>
    <row r="562">
      <c r="A562" s="19" t="n"/>
      <c r="F562" s="20" t="n"/>
      <c r="Q562" s="10">
        <f>IF(E562="USD",CONFIG!$B$5,1)</f>
        <v/>
      </c>
      <c r="R562">
        <f>IF(AND(A562&lt;&gt;"",ISNUMBER(A562),B562&lt;&gt;"",C562&lt;&gt;"",OR(E562="USD",E562="CRC"),F562&gt;0,ISNUMBER(Q562),Q562&gt;0),"✓ OK","✗ ERROR: Revisa datos")</f>
        <v/>
      </c>
    </row>
    <row r="563">
      <c r="A563" s="19" t="n"/>
      <c r="F563" s="20" t="n"/>
      <c r="Q563" s="10">
        <f>IF(E563="USD",CONFIG!$B$5,1)</f>
        <v/>
      </c>
      <c r="R563">
        <f>IF(AND(A563&lt;&gt;"",ISNUMBER(A563),B563&lt;&gt;"",C563&lt;&gt;"",OR(E563="USD",E563="CRC"),F563&gt;0,ISNUMBER(Q563),Q563&gt;0),"✓ OK","✗ ERROR: Revisa datos")</f>
        <v/>
      </c>
    </row>
    <row r="564">
      <c r="A564" s="19" t="n"/>
      <c r="F564" s="20" t="n"/>
      <c r="Q564" s="10">
        <f>IF(E564="USD",CONFIG!$B$5,1)</f>
        <v/>
      </c>
      <c r="R564">
        <f>IF(AND(A564&lt;&gt;"",ISNUMBER(A564),B564&lt;&gt;"",C564&lt;&gt;"",OR(E564="USD",E564="CRC"),F564&gt;0,ISNUMBER(Q564),Q564&gt;0),"✓ OK","✗ ERROR: Revisa datos")</f>
        <v/>
      </c>
    </row>
    <row r="565">
      <c r="A565" s="19" t="n"/>
      <c r="F565" s="20" t="n"/>
      <c r="Q565" s="10">
        <f>IF(E565="USD",CONFIG!$B$5,1)</f>
        <v/>
      </c>
      <c r="R565">
        <f>IF(AND(A565&lt;&gt;"",ISNUMBER(A565),B565&lt;&gt;"",C565&lt;&gt;"",OR(E565="USD",E565="CRC"),F565&gt;0,ISNUMBER(Q565),Q565&gt;0),"✓ OK","✗ ERROR: Revisa datos")</f>
        <v/>
      </c>
    </row>
    <row r="566">
      <c r="A566" s="19" t="n"/>
      <c r="F566" s="20" t="n"/>
      <c r="Q566" s="10">
        <f>IF(E566="USD",CONFIG!$B$5,1)</f>
        <v/>
      </c>
      <c r="R566">
        <f>IF(AND(A566&lt;&gt;"",ISNUMBER(A566),B566&lt;&gt;"",C566&lt;&gt;"",OR(E566="USD",E566="CRC"),F566&gt;0,ISNUMBER(Q566),Q566&gt;0),"✓ OK","✗ ERROR: Revisa datos")</f>
        <v/>
      </c>
    </row>
    <row r="567">
      <c r="A567" s="19" t="n"/>
      <c r="F567" s="20" t="n"/>
      <c r="Q567" s="10">
        <f>IF(E567="USD",CONFIG!$B$5,1)</f>
        <v/>
      </c>
      <c r="R567">
        <f>IF(AND(A567&lt;&gt;"",ISNUMBER(A567),B567&lt;&gt;"",C567&lt;&gt;"",OR(E567="USD",E567="CRC"),F567&gt;0,ISNUMBER(Q567),Q567&gt;0),"✓ OK","✗ ERROR: Revisa datos")</f>
        <v/>
      </c>
    </row>
    <row r="568">
      <c r="A568" s="19" t="n"/>
      <c r="F568" s="20" t="n"/>
      <c r="Q568" s="10">
        <f>IF(E568="USD",CONFIG!$B$5,1)</f>
        <v/>
      </c>
      <c r="R568">
        <f>IF(AND(A568&lt;&gt;"",ISNUMBER(A568),B568&lt;&gt;"",C568&lt;&gt;"",OR(E568="USD",E568="CRC"),F568&gt;0,ISNUMBER(Q568),Q568&gt;0),"✓ OK","✗ ERROR: Revisa datos")</f>
        <v/>
      </c>
    </row>
    <row r="569">
      <c r="A569" s="19" t="n"/>
      <c r="F569" s="20" t="n"/>
      <c r="Q569" s="10">
        <f>IF(E569="USD",CONFIG!$B$5,1)</f>
        <v/>
      </c>
      <c r="R569">
        <f>IF(AND(A569&lt;&gt;"",ISNUMBER(A569),B569&lt;&gt;"",C569&lt;&gt;"",OR(E569="USD",E569="CRC"),F569&gt;0,ISNUMBER(Q569),Q569&gt;0),"✓ OK","✗ ERROR: Revisa datos")</f>
        <v/>
      </c>
    </row>
    <row r="570">
      <c r="A570" s="19" t="n"/>
      <c r="F570" s="20" t="n"/>
      <c r="Q570" s="10">
        <f>IF(E570="USD",CONFIG!$B$5,1)</f>
        <v/>
      </c>
      <c r="R570">
        <f>IF(AND(A570&lt;&gt;"",ISNUMBER(A570),B570&lt;&gt;"",C570&lt;&gt;"",OR(E570="USD",E570="CRC"),F570&gt;0,ISNUMBER(Q570),Q570&gt;0),"✓ OK","✗ ERROR: Revisa datos")</f>
        <v/>
      </c>
    </row>
    <row r="571">
      <c r="A571" s="19" t="n"/>
      <c r="F571" s="20" t="n"/>
      <c r="Q571" s="10">
        <f>IF(E571="USD",CONFIG!$B$5,1)</f>
        <v/>
      </c>
      <c r="R571">
        <f>IF(AND(A571&lt;&gt;"",ISNUMBER(A571),B571&lt;&gt;"",C571&lt;&gt;"",OR(E571="USD",E571="CRC"),F571&gt;0,ISNUMBER(Q571),Q571&gt;0),"✓ OK","✗ ERROR: Revisa datos")</f>
        <v/>
      </c>
    </row>
    <row r="572">
      <c r="A572" s="19" t="n"/>
      <c r="F572" s="20" t="n"/>
      <c r="Q572" s="10">
        <f>IF(E572="USD",CONFIG!$B$5,1)</f>
        <v/>
      </c>
      <c r="R572">
        <f>IF(AND(A572&lt;&gt;"",ISNUMBER(A572),B572&lt;&gt;"",C572&lt;&gt;"",OR(E572="USD",E572="CRC"),F572&gt;0,ISNUMBER(Q572),Q572&gt;0),"✓ OK","✗ ERROR: Revisa datos")</f>
        <v/>
      </c>
    </row>
    <row r="573">
      <c r="A573" s="19" t="n"/>
      <c r="F573" s="20" t="n"/>
      <c r="Q573" s="10">
        <f>IF(E573="USD",CONFIG!$B$5,1)</f>
        <v/>
      </c>
      <c r="R573">
        <f>IF(AND(A573&lt;&gt;"",ISNUMBER(A573),B573&lt;&gt;"",C573&lt;&gt;"",OR(E573="USD",E573="CRC"),F573&gt;0,ISNUMBER(Q573),Q573&gt;0),"✓ OK","✗ ERROR: Revisa datos")</f>
        <v/>
      </c>
    </row>
    <row r="574">
      <c r="A574" s="19" t="n"/>
      <c r="F574" s="20" t="n"/>
      <c r="Q574" s="10">
        <f>IF(E574="USD",CONFIG!$B$5,1)</f>
        <v/>
      </c>
      <c r="R574">
        <f>IF(AND(A574&lt;&gt;"",ISNUMBER(A574),B574&lt;&gt;"",C574&lt;&gt;"",OR(E574="USD",E574="CRC"),F574&gt;0,ISNUMBER(Q574),Q574&gt;0),"✓ OK","✗ ERROR: Revisa datos")</f>
        <v/>
      </c>
    </row>
    <row r="575">
      <c r="A575" s="19" t="n"/>
      <c r="F575" s="20" t="n"/>
      <c r="Q575" s="10">
        <f>IF(E575="USD",CONFIG!$B$5,1)</f>
        <v/>
      </c>
      <c r="R575">
        <f>IF(AND(A575&lt;&gt;"",ISNUMBER(A575),B575&lt;&gt;"",C575&lt;&gt;"",OR(E575="USD",E575="CRC"),F575&gt;0,ISNUMBER(Q575),Q575&gt;0),"✓ OK","✗ ERROR: Revisa datos")</f>
        <v/>
      </c>
    </row>
    <row r="576">
      <c r="A576" s="19" t="n"/>
      <c r="F576" s="20" t="n"/>
      <c r="Q576" s="10">
        <f>IF(E576="USD",CONFIG!$B$5,1)</f>
        <v/>
      </c>
      <c r="R576">
        <f>IF(AND(A576&lt;&gt;"",ISNUMBER(A576),B576&lt;&gt;"",C576&lt;&gt;"",OR(E576="USD",E576="CRC"),F576&gt;0,ISNUMBER(Q576),Q576&gt;0),"✓ OK","✗ ERROR: Revisa datos")</f>
        <v/>
      </c>
    </row>
    <row r="577">
      <c r="A577" s="19" t="n"/>
      <c r="F577" s="20" t="n"/>
      <c r="Q577" s="10">
        <f>IF(E577="USD",CONFIG!$B$5,1)</f>
        <v/>
      </c>
      <c r="R577">
        <f>IF(AND(A577&lt;&gt;"",ISNUMBER(A577),B577&lt;&gt;"",C577&lt;&gt;"",OR(E577="USD",E577="CRC"),F577&gt;0,ISNUMBER(Q577),Q577&gt;0),"✓ OK","✗ ERROR: Revisa datos")</f>
        <v/>
      </c>
    </row>
    <row r="578">
      <c r="A578" s="19" t="n"/>
      <c r="F578" s="20" t="n"/>
      <c r="Q578" s="10">
        <f>IF(E578="USD",CONFIG!$B$5,1)</f>
        <v/>
      </c>
      <c r="R578">
        <f>IF(AND(A578&lt;&gt;"",ISNUMBER(A578),B578&lt;&gt;"",C578&lt;&gt;"",OR(E578="USD",E578="CRC"),F578&gt;0,ISNUMBER(Q578),Q578&gt;0),"✓ OK","✗ ERROR: Revisa datos")</f>
        <v/>
      </c>
    </row>
    <row r="579">
      <c r="A579" s="19" t="n"/>
      <c r="F579" s="20" t="n"/>
      <c r="Q579" s="10">
        <f>IF(E579="USD",CONFIG!$B$5,1)</f>
        <v/>
      </c>
      <c r="R579">
        <f>IF(AND(A579&lt;&gt;"",ISNUMBER(A579),B579&lt;&gt;"",C579&lt;&gt;"",OR(E579="USD",E579="CRC"),F579&gt;0,ISNUMBER(Q579),Q579&gt;0),"✓ OK","✗ ERROR: Revisa datos")</f>
        <v/>
      </c>
    </row>
    <row r="580">
      <c r="A580" s="19" t="n"/>
      <c r="F580" s="20" t="n"/>
      <c r="Q580" s="10">
        <f>IF(E580="USD",CONFIG!$B$5,1)</f>
        <v/>
      </c>
      <c r="R580">
        <f>IF(AND(A580&lt;&gt;"",ISNUMBER(A580),B580&lt;&gt;"",C580&lt;&gt;"",OR(E580="USD",E580="CRC"),F580&gt;0,ISNUMBER(Q580),Q580&gt;0),"✓ OK","✗ ERROR: Revisa datos")</f>
        <v/>
      </c>
    </row>
    <row r="581">
      <c r="A581" s="19" t="n"/>
      <c r="F581" s="20" t="n"/>
      <c r="Q581" s="10">
        <f>IF(E581="USD",CONFIG!$B$5,1)</f>
        <v/>
      </c>
      <c r="R581">
        <f>IF(AND(A581&lt;&gt;"",ISNUMBER(A581),B581&lt;&gt;"",C581&lt;&gt;"",OR(E581="USD",E581="CRC"),F581&gt;0,ISNUMBER(Q581),Q581&gt;0),"✓ OK","✗ ERROR: Revisa datos")</f>
        <v/>
      </c>
    </row>
    <row r="582">
      <c r="A582" s="19" t="n"/>
      <c r="F582" s="20" t="n"/>
      <c r="Q582" s="10">
        <f>IF(E582="USD",CONFIG!$B$5,1)</f>
        <v/>
      </c>
      <c r="R582">
        <f>IF(AND(A582&lt;&gt;"",ISNUMBER(A582),B582&lt;&gt;"",C582&lt;&gt;"",OR(E582="USD",E582="CRC"),F582&gt;0,ISNUMBER(Q582),Q582&gt;0),"✓ OK","✗ ERROR: Revisa datos")</f>
        <v/>
      </c>
    </row>
    <row r="583">
      <c r="A583" s="19" t="n"/>
      <c r="F583" s="20" t="n"/>
      <c r="Q583" s="10">
        <f>IF(E583="USD",CONFIG!$B$5,1)</f>
        <v/>
      </c>
      <c r="R583">
        <f>IF(AND(A583&lt;&gt;"",ISNUMBER(A583),B583&lt;&gt;"",C583&lt;&gt;"",OR(E583="USD",E583="CRC"),F583&gt;0,ISNUMBER(Q583),Q583&gt;0),"✓ OK","✗ ERROR: Revisa datos")</f>
        <v/>
      </c>
    </row>
    <row r="584">
      <c r="A584" s="19" t="n"/>
      <c r="F584" s="20" t="n"/>
      <c r="Q584" s="10">
        <f>IF(E584="USD",CONFIG!$B$5,1)</f>
        <v/>
      </c>
      <c r="R584">
        <f>IF(AND(A584&lt;&gt;"",ISNUMBER(A584),B584&lt;&gt;"",C584&lt;&gt;"",OR(E584="USD",E584="CRC"),F584&gt;0,ISNUMBER(Q584),Q584&gt;0),"✓ OK","✗ ERROR: Revisa datos")</f>
        <v/>
      </c>
    </row>
    <row r="585">
      <c r="A585" s="19" t="n"/>
      <c r="F585" s="20" t="n"/>
      <c r="Q585" s="10">
        <f>IF(E585="USD",CONFIG!$B$5,1)</f>
        <v/>
      </c>
      <c r="R585">
        <f>IF(AND(A585&lt;&gt;"",ISNUMBER(A585),B585&lt;&gt;"",C585&lt;&gt;"",OR(E585="USD",E585="CRC"),F585&gt;0,ISNUMBER(Q585),Q585&gt;0),"✓ OK","✗ ERROR: Revisa datos")</f>
        <v/>
      </c>
    </row>
    <row r="586">
      <c r="A586" s="19" t="n"/>
      <c r="F586" s="20" t="n"/>
      <c r="Q586" s="10">
        <f>IF(E586="USD",CONFIG!$B$5,1)</f>
        <v/>
      </c>
      <c r="R586">
        <f>IF(AND(A586&lt;&gt;"",ISNUMBER(A586),B586&lt;&gt;"",C586&lt;&gt;"",OR(E586="USD",E586="CRC"),F586&gt;0,ISNUMBER(Q586),Q586&gt;0),"✓ OK","✗ ERROR: Revisa datos")</f>
        <v/>
      </c>
    </row>
    <row r="587">
      <c r="A587" s="19" t="n"/>
      <c r="F587" s="20" t="n"/>
      <c r="Q587" s="10">
        <f>IF(E587="USD",CONFIG!$B$5,1)</f>
        <v/>
      </c>
      <c r="R587">
        <f>IF(AND(A587&lt;&gt;"",ISNUMBER(A587),B587&lt;&gt;"",C587&lt;&gt;"",OR(E587="USD",E587="CRC"),F587&gt;0,ISNUMBER(Q587),Q587&gt;0),"✓ OK","✗ ERROR: Revisa datos")</f>
        <v/>
      </c>
    </row>
    <row r="588">
      <c r="A588" s="19" t="n"/>
      <c r="F588" s="20" t="n"/>
      <c r="Q588" s="10">
        <f>IF(E588="USD",CONFIG!$B$5,1)</f>
        <v/>
      </c>
      <c r="R588">
        <f>IF(AND(A588&lt;&gt;"",ISNUMBER(A588),B588&lt;&gt;"",C588&lt;&gt;"",OR(E588="USD",E588="CRC"),F588&gt;0,ISNUMBER(Q588),Q588&gt;0),"✓ OK","✗ ERROR: Revisa datos")</f>
        <v/>
      </c>
    </row>
    <row r="589">
      <c r="A589" s="19" t="n"/>
      <c r="F589" s="20" t="n"/>
      <c r="Q589" s="10">
        <f>IF(E589="USD",CONFIG!$B$5,1)</f>
        <v/>
      </c>
      <c r="R589">
        <f>IF(AND(A589&lt;&gt;"",ISNUMBER(A589),B589&lt;&gt;"",C589&lt;&gt;"",OR(E589="USD",E589="CRC"),F589&gt;0,ISNUMBER(Q589),Q589&gt;0),"✓ OK","✗ ERROR: Revisa datos")</f>
        <v/>
      </c>
    </row>
    <row r="590">
      <c r="A590" s="19" t="n"/>
      <c r="F590" s="20" t="n"/>
      <c r="Q590" s="10">
        <f>IF(E590="USD",CONFIG!$B$5,1)</f>
        <v/>
      </c>
      <c r="R590">
        <f>IF(AND(A590&lt;&gt;"",ISNUMBER(A590),B590&lt;&gt;"",C590&lt;&gt;"",OR(E590="USD",E590="CRC"),F590&gt;0,ISNUMBER(Q590),Q590&gt;0),"✓ OK","✗ ERROR: Revisa datos")</f>
        <v/>
      </c>
    </row>
    <row r="591">
      <c r="A591" s="19" t="n"/>
      <c r="F591" s="20" t="n"/>
      <c r="Q591" s="10">
        <f>IF(E591="USD",CONFIG!$B$5,1)</f>
        <v/>
      </c>
      <c r="R591">
        <f>IF(AND(A591&lt;&gt;"",ISNUMBER(A591),B591&lt;&gt;"",C591&lt;&gt;"",OR(E591="USD",E591="CRC"),F591&gt;0,ISNUMBER(Q591),Q591&gt;0),"✓ OK","✗ ERROR: Revisa datos")</f>
        <v/>
      </c>
    </row>
    <row r="592">
      <c r="A592" s="19" t="n"/>
      <c r="F592" s="20" t="n"/>
      <c r="Q592" s="10">
        <f>IF(E592="USD",CONFIG!$B$5,1)</f>
        <v/>
      </c>
      <c r="R592">
        <f>IF(AND(A592&lt;&gt;"",ISNUMBER(A592),B592&lt;&gt;"",C592&lt;&gt;"",OR(E592="USD",E592="CRC"),F592&gt;0,ISNUMBER(Q592),Q592&gt;0),"✓ OK","✗ ERROR: Revisa datos")</f>
        <v/>
      </c>
    </row>
    <row r="593">
      <c r="A593" s="19" t="n"/>
      <c r="F593" s="20" t="n"/>
      <c r="Q593" s="10">
        <f>IF(E593="USD",CONFIG!$B$5,1)</f>
        <v/>
      </c>
      <c r="R593">
        <f>IF(AND(A593&lt;&gt;"",ISNUMBER(A593),B593&lt;&gt;"",C593&lt;&gt;"",OR(E593="USD",E593="CRC"),F593&gt;0,ISNUMBER(Q593),Q593&gt;0),"✓ OK","✗ ERROR: Revisa datos")</f>
        <v/>
      </c>
    </row>
    <row r="594">
      <c r="A594" s="19" t="n"/>
      <c r="F594" s="20" t="n"/>
      <c r="Q594" s="10">
        <f>IF(E594="USD",CONFIG!$B$5,1)</f>
        <v/>
      </c>
      <c r="R594">
        <f>IF(AND(A594&lt;&gt;"",ISNUMBER(A594),B594&lt;&gt;"",C594&lt;&gt;"",OR(E594="USD",E594="CRC"),F594&gt;0,ISNUMBER(Q594),Q594&gt;0),"✓ OK","✗ ERROR: Revisa datos")</f>
        <v/>
      </c>
    </row>
    <row r="595">
      <c r="A595" s="19" t="n"/>
      <c r="F595" s="20" t="n"/>
      <c r="Q595" s="10">
        <f>IF(E595="USD",CONFIG!$B$5,1)</f>
        <v/>
      </c>
      <c r="R595">
        <f>IF(AND(A595&lt;&gt;"",ISNUMBER(A595),B595&lt;&gt;"",C595&lt;&gt;"",OR(E595="USD",E595="CRC"),F595&gt;0,ISNUMBER(Q595),Q595&gt;0),"✓ OK","✗ ERROR: Revisa datos")</f>
        <v/>
      </c>
    </row>
    <row r="596">
      <c r="A596" s="19" t="n"/>
      <c r="F596" s="20" t="n"/>
      <c r="Q596" s="10">
        <f>IF(E596="USD",CONFIG!$B$5,1)</f>
        <v/>
      </c>
      <c r="R596">
        <f>IF(AND(A596&lt;&gt;"",ISNUMBER(A596),B596&lt;&gt;"",C596&lt;&gt;"",OR(E596="USD",E596="CRC"),F596&gt;0,ISNUMBER(Q596),Q596&gt;0),"✓ OK","✗ ERROR: Revisa datos")</f>
        <v/>
      </c>
    </row>
    <row r="597">
      <c r="A597" s="19" t="n"/>
      <c r="F597" s="20" t="n"/>
      <c r="Q597" s="10">
        <f>IF(E597="USD",CONFIG!$B$5,1)</f>
        <v/>
      </c>
      <c r="R597">
        <f>IF(AND(A597&lt;&gt;"",ISNUMBER(A597),B597&lt;&gt;"",C597&lt;&gt;"",OR(E597="USD",E597="CRC"),F597&gt;0,ISNUMBER(Q597),Q597&gt;0),"✓ OK","✗ ERROR: Revisa datos")</f>
        <v/>
      </c>
    </row>
    <row r="598">
      <c r="A598" s="19" t="n"/>
      <c r="F598" s="20" t="n"/>
      <c r="Q598" s="10">
        <f>IF(E598="USD",CONFIG!$B$5,1)</f>
        <v/>
      </c>
      <c r="R598">
        <f>IF(AND(A598&lt;&gt;"",ISNUMBER(A598),B598&lt;&gt;"",C598&lt;&gt;"",OR(E598="USD",E598="CRC"),F598&gt;0,ISNUMBER(Q598),Q598&gt;0),"✓ OK","✗ ERROR: Revisa datos")</f>
        <v/>
      </c>
    </row>
    <row r="599">
      <c r="A599" s="19" t="n"/>
      <c r="F599" s="20" t="n"/>
      <c r="Q599" s="10">
        <f>IF(E599="USD",CONFIG!$B$5,1)</f>
        <v/>
      </c>
      <c r="R599">
        <f>IF(AND(A599&lt;&gt;"",ISNUMBER(A599),B599&lt;&gt;"",C599&lt;&gt;"",OR(E599="USD",E599="CRC"),F599&gt;0,ISNUMBER(Q599),Q599&gt;0),"✓ OK","✗ ERROR: Revisa datos")</f>
        <v/>
      </c>
    </row>
    <row r="600">
      <c r="A600" s="19" t="n"/>
      <c r="F600" s="20" t="n"/>
      <c r="Q600" s="10">
        <f>IF(E600="USD",CONFIG!$B$5,1)</f>
        <v/>
      </c>
      <c r="R600">
        <f>IF(AND(A600&lt;&gt;"",ISNUMBER(A600),B600&lt;&gt;"",C600&lt;&gt;"",OR(E600="USD",E600="CRC"),F600&gt;0,ISNUMBER(Q600),Q600&gt;0),"✓ OK","✗ ERROR: Revisa datos")</f>
        <v/>
      </c>
    </row>
    <row r="601">
      <c r="A601" s="19" t="n"/>
      <c r="F601" s="20" t="n"/>
      <c r="Q601" s="10">
        <f>IF(E601="USD",CONFIG!$B$5,1)</f>
        <v/>
      </c>
      <c r="R601">
        <f>IF(AND(A601&lt;&gt;"",ISNUMBER(A601),B601&lt;&gt;"",C601&lt;&gt;"",OR(E601="USD",E601="CRC"),F601&gt;0,ISNUMBER(Q601),Q601&gt;0),"✓ OK","✗ ERROR: Revisa datos")</f>
        <v/>
      </c>
    </row>
    <row r="602">
      <c r="A602" s="19" t="n"/>
      <c r="F602" s="20" t="n"/>
      <c r="Q602" s="10">
        <f>IF(E602="USD",CONFIG!$B$5,1)</f>
        <v/>
      </c>
      <c r="R602">
        <f>IF(AND(A602&lt;&gt;"",ISNUMBER(A602),B602&lt;&gt;"",C602&lt;&gt;"",OR(E602="USD",E602="CRC"),F602&gt;0,ISNUMBER(Q602),Q602&gt;0),"✓ OK","✗ ERROR: Revisa datos")</f>
        <v/>
      </c>
    </row>
    <row r="603">
      <c r="A603" s="19" t="n"/>
      <c r="F603" s="20" t="n"/>
      <c r="Q603" s="10">
        <f>IF(E603="USD",CONFIG!$B$5,1)</f>
        <v/>
      </c>
      <c r="R603">
        <f>IF(AND(A603&lt;&gt;"",ISNUMBER(A603),B603&lt;&gt;"",C603&lt;&gt;"",OR(E603="USD",E603="CRC"),F603&gt;0,ISNUMBER(Q603),Q603&gt;0),"✓ OK","✗ ERROR: Revisa datos")</f>
        <v/>
      </c>
    </row>
    <row r="604">
      <c r="A604" s="19" t="n"/>
      <c r="F604" s="20" t="n"/>
      <c r="Q604" s="10">
        <f>IF(E604="USD",CONFIG!$B$5,1)</f>
        <v/>
      </c>
      <c r="R604">
        <f>IF(AND(A604&lt;&gt;"",ISNUMBER(A604),B604&lt;&gt;"",C604&lt;&gt;"",OR(E604="USD",E604="CRC"),F604&gt;0,ISNUMBER(Q604),Q604&gt;0),"✓ OK","✗ ERROR: Revisa datos")</f>
        <v/>
      </c>
    </row>
    <row r="605">
      <c r="A605" s="19" t="n"/>
      <c r="F605" s="20" t="n"/>
      <c r="Q605" s="10">
        <f>IF(E605="USD",CONFIG!$B$5,1)</f>
        <v/>
      </c>
      <c r="R605">
        <f>IF(AND(A605&lt;&gt;"",ISNUMBER(A605),B605&lt;&gt;"",C605&lt;&gt;"",OR(E605="USD",E605="CRC"),F605&gt;0,ISNUMBER(Q605),Q605&gt;0),"✓ OK","✗ ERROR: Revisa datos")</f>
        <v/>
      </c>
    </row>
    <row r="606">
      <c r="A606" s="19" t="n"/>
      <c r="F606" s="20" t="n"/>
      <c r="Q606" s="10">
        <f>IF(E606="USD",CONFIG!$B$5,1)</f>
        <v/>
      </c>
      <c r="R606">
        <f>IF(AND(A606&lt;&gt;"",ISNUMBER(A606),B606&lt;&gt;"",C606&lt;&gt;"",OR(E606="USD",E606="CRC"),F606&gt;0,ISNUMBER(Q606),Q606&gt;0),"✓ OK","✗ ERROR: Revisa datos")</f>
        <v/>
      </c>
    </row>
    <row r="607">
      <c r="A607" s="19" t="n"/>
      <c r="F607" s="20" t="n"/>
      <c r="Q607" s="10">
        <f>IF(E607="USD",CONFIG!$B$5,1)</f>
        <v/>
      </c>
      <c r="R607">
        <f>IF(AND(A607&lt;&gt;"",ISNUMBER(A607),B607&lt;&gt;"",C607&lt;&gt;"",OR(E607="USD",E607="CRC"),F607&gt;0,ISNUMBER(Q607),Q607&gt;0),"✓ OK","✗ ERROR: Revisa datos")</f>
        <v/>
      </c>
    </row>
    <row r="608">
      <c r="A608" s="19" t="n"/>
      <c r="F608" s="20" t="n"/>
      <c r="Q608" s="10">
        <f>IF(E608="USD",CONFIG!$B$5,1)</f>
        <v/>
      </c>
      <c r="R608">
        <f>IF(AND(A608&lt;&gt;"",ISNUMBER(A608),B608&lt;&gt;"",C608&lt;&gt;"",OR(E608="USD",E608="CRC"),F608&gt;0,ISNUMBER(Q608),Q608&gt;0),"✓ OK","✗ ERROR: Revisa datos")</f>
        <v/>
      </c>
    </row>
    <row r="609">
      <c r="A609" s="19" t="n"/>
      <c r="F609" s="20" t="n"/>
      <c r="Q609" s="10">
        <f>IF(E609="USD",CONFIG!$B$5,1)</f>
        <v/>
      </c>
      <c r="R609">
        <f>IF(AND(A609&lt;&gt;"",ISNUMBER(A609),B609&lt;&gt;"",C609&lt;&gt;"",OR(E609="USD",E609="CRC"),F609&gt;0,ISNUMBER(Q609),Q609&gt;0),"✓ OK","✗ ERROR: Revisa datos")</f>
        <v/>
      </c>
    </row>
    <row r="610">
      <c r="A610" s="19" t="n"/>
      <c r="F610" s="20" t="n"/>
      <c r="Q610" s="10">
        <f>IF(E610="USD",CONFIG!$B$5,1)</f>
        <v/>
      </c>
      <c r="R610">
        <f>IF(AND(A610&lt;&gt;"",ISNUMBER(A610),B610&lt;&gt;"",C610&lt;&gt;"",OR(E610="USD",E610="CRC"),F610&gt;0,ISNUMBER(Q610),Q610&gt;0),"✓ OK","✗ ERROR: Revisa datos")</f>
        <v/>
      </c>
    </row>
    <row r="611">
      <c r="A611" s="19" t="n"/>
      <c r="F611" s="20" t="n"/>
      <c r="Q611" s="10">
        <f>IF(E611="USD",CONFIG!$B$5,1)</f>
        <v/>
      </c>
      <c r="R611">
        <f>IF(AND(A611&lt;&gt;"",ISNUMBER(A611),B611&lt;&gt;"",C611&lt;&gt;"",OR(E611="USD",E611="CRC"),F611&gt;0,ISNUMBER(Q611),Q611&gt;0),"✓ OK","✗ ERROR: Revisa datos")</f>
        <v/>
      </c>
    </row>
    <row r="612">
      <c r="A612" s="19" t="n"/>
      <c r="F612" s="20" t="n"/>
      <c r="Q612" s="10">
        <f>IF(E612="USD",CONFIG!$B$5,1)</f>
        <v/>
      </c>
      <c r="R612">
        <f>IF(AND(A612&lt;&gt;"",ISNUMBER(A612),B612&lt;&gt;"",C612&lt;&gt;"",OR(E612="USD",E612="CRC"),F612&gt;0,ISNUMBER(Q612),Q612&gt;0),"✓ OK","✗ ERROR: Revisa datos")</f>
        <v/>
      </c>
    </row>
    <row r="613">
      <c r="A613" s="19" t="n"/>
      <c r="F613" s="20" t="n"/>
      <c r="Q613" s="10">
        <f>IF(E613="USD",CONFIG!$B$5,1)</f>
        <v/>
      </c>
      <c r="R613">
        <f>IF(AND(A613&lt;&gt;"",ISNUMBER(A613),B613&lt;&gt;"",C613&lt;&gt;"",OR(E613="USD",E613="CRC"),F613&gt;0,ISNUMBER(Q613),Q613&gt;0),"✓ OK","✗ ERROR: Revisa datos")</f>
        <v/>
      </c>
    </row>
    <row r="614">
      <c r="A614" s="19" t="n"/>
      <c r="F614" s="20" t="n"/>
      <c r="Q614" s="10">
        <f>IF(E614="USD",CONFIG!$B$5,1)</f>
        <v/>
      </c>
      <c r="R614">
        <f>IF(AND(A614&lt;&gt;"",ISNUMBER(A614),B614&lt;&gt;"",C614&lt;&gt;"",OR(E614="USD",E614="CRC"),F614&gt;0,ISNUMBER(Q614),Q614&gt;0),"✓ OK","✗ ERROR: Revisa datos")</f>
        <v/>
      </c>
    </row>
    <row r="615">
      <c r="A615" s="19" t="n"/>
      <c r="F615" s="20" t="n"/>
      <c r="Q615" s="10">
        <f>IF(E615="USD",CONFIG!$B$5,1)</f>
        <v/>
      </c>
      <c r="R615">
        <f>IF(AND(A615&lt;&gt;"",ISNUMBER(A615),B615&lt;&gt;"",C615&lt;&gt;"",OR(E615="USD",E615="CRC"),F615&gt;0,ISNUMBER(Q615),Q615&gt;0),"✓ OK","✗ ERROR: Revisa datos")</f>
        <v/>
      </c>
    </row>
    <row r="616">
      <c r="A616" s="19" t="n"/>
      <c r="F616" s="20" t="n"/>
      <c r="Q616" s="10">
        <f>IF(E616="USD",CONFIG!$B$5,1)</f>
        <v/>
      </c>
      <c r="R616">
        <f>IF(AND(A616&lt;&gt;"",ISNUMBER(A616),B616&lt;&gt;"",C616&lt;&gt;"",OR(E616="USD",E616="CRC"),F616&gt;0,ISNUMBER(Q616),Q616&gt;0),"✓ OK","✗ ERROR: Revisa datos")</f>
        <v/>
      </c>
    </row>
    <row r="617">
      <c r="A617" s="19" t="n"/>
      <c r="F617" s="20" t="n"/>
      <c r="Q617" s="10">
        <f>IF(E617="USD",CONFIG!$B$5,1)</f>
        <v/>
      </c>
      <c r="R617">
        <f>IF(AND(A617&lt;&gt;"",ISNUMBER(A617),B617&lt;&gt;"",C617&lt;&gt;"",OR(E617="USD",E617="CRC"),F617&gt;0,ISNUMBER(Q617),Q617&gt;0),"✓ OK","✗ ERROR: Revisa datos")</f>
        <v/>
      </c>
    </row>
    <row r="618">
      <c r="A618" s="19" t="n"/>
      <c r="F618" s="20" t="n"/>
      <c r="Q618" s="10">
        <f>IF(E618="USD",CONFIG!$B$5,1)</f>
        <v/>
      </c>
      <c r="R618">
        <f>IF(AND(A618&lt;&gt;"",ISNUMBER(A618),B618&lt;&gt;"",C618&lt;&gt;"",OR(E618="USD",E618="CRC"),F618&gt;0,ISNUMBER(Q618),Q618&gt;0),"✓ OK","✗ ERROR: Revisa datos")</f>
        <v/>
      </c>
    </row>
    <row r="619">
      <c r="A619" s="19" t="n"/>
      <c r="F619" s="20" t="n"/>
      <c r="Q619" s="10">
        <f>IF(E619="USD",CONFIG!$B$5,1)</f>
        <v/>
      </c>
      <c r="R619">
        <f>IF(AND(A619&lt;&gt;"",ISNUMBER(A619),B619&lt;&gt;"",C619&lt;&gt;"",OR(E619="USD",E619="CRC"),F619&gt;0,ISNUMBER(Q619),Q619&gt;0),"✓ OK","✗ ERROR: Revisa datos")</f>
        <v/>
      </c>
    </row>
    <row r="620">
      <c r="A620" s="19" t="n"/>
      <c r="F620" s="20" t="n"/>
      <c r="Q620" s="10">
        <f>IF(E620="USD",CONFIG!$B$5,1)</f>
        <v/>
      </c>
      <c r="R620">
        <f>IF(AND(A620&lt;&gt;"",ISNUMBER(A620),B620&lt;&gt;"",C620&lt;&gt;"",OR(E620="USD",E620="CRC"),F620&gt;0,ISNUMBER(Q620),Q620&gt;0),"✓ OK","✗ ERROR: Revisa datos")</f>
        <v/>
      </c>
    </row>
    <row r="621">
      <c r="A621" s="19" t="n"/>
      <c r="F621" s="20" t="n"/>
      <c r="Q621" s="10">
        <f>IF(E621="USD",CONFIG!$B$5,1)</f>
        <v/>
      </c>
      <c r="R621">
        <f>IF(AND(A621&lt;&gt;"",ISNUMBER(A621),B621&lt;&gt;"",C621&lt;&gt;"",OR(E621="USD",E621="CRC"),F621&gt;0,ISNUMBER(Q621),Q621&gt;0),"✓ OK","✗ ERROR: Revisa datos")</f>
        <v/>
      </c>
    </row>
    <row r="622">
      <c r="A622" s="19" t="n"/>
      <c r="F622" s="20" t="n"/>
      <c r="Q622" s="10">
        <f>IF(E622="USD",CONFIG!$B$5,1)</f>
        <v/>
      </c>
      <c r="R622">
        <f>IF(AND(A622&lt;&gt;"",ISNUMBER(A622),B622&lt;&gt;"",C622&lt;&gt;"",OR(E622="USD",E622="CRC"),F622&gt;0,ISNUMBER(Q622),Q622&gt;0),"✓ OK","✗ ERROR: Revisa datos")</f>
        <v/>
      </c>
    </row>
    <row r="623">
      <c r="A623" s="19" t="n"/>
      <c r="F623" s="20" t="n"/>
      <c r="Q623" s="10">
        <f>IF(E623="USD",CONFIG!$B$5,1)</f>
        <v/>
      </c>
      <c r="R623">
        <f>IF(AND(A623&lt;&gt;"",ISNUMBER(A623),B623&lt;&gt;"",C623&lt;&gt;"",OR(E623="USD",E623="CRC"),F623&gt;0,ISNUMBER(Q623),Q623&gt;0),"✓ OK","✗ ERROR: Revisa datos")</f>
        <v/>
      </c>
    </row>
    <row r="624">
      <c r="A624" s="19" t="n"/>
      <c r="F624" s="20" t="n"/>
      <c r="Q624" s="10">
        <f>IF(E624="USD",CONFIG!$B$5,1)</f>
        <v/>
      </c>
      <c r="R624">
        <f>IF(AND(A624&lt;&gt;"",ISNUMBER(A624),B624&lt;&gt;"",C624&lt;&gt;"",OR(E624="USD",E624="CRC"),F624&gt;0,ISNUMBER(Q624),Q624&gt;0),"✓ OK","✗ ERROR: Revisa datos")</f>
        <v/>
      </c>
    </row>
    <row r="625">
      <c r="A625" s="19" t="n"/>
      <c r="F625" s="20" t="n"/>
      <c r="Q625" s="10">
        <f>IF(E625="USD",CONFIG!$B$5,1)</f>
        <v/>
      </c>
      <c r="R625">
        <f>IF(AND(A625&lt;&gt;"",ISNUMBER(A625),B625&lt;&gt;"",C625&lt;&gt;"",OR(E625="USD",E625="CRC"),F625&gt;0,ISNUMBER(Q625),Q625&gt;0),"✓ OK","✗ ERROR: Revisa datos")</f>
        <v/>
      </c>
    </row>
    <row r="626">
      <c r="A626" s="19" t="n"/>
      <c r="F626" s="20" t="n"/>
      <c r="Q626" s="10">
        <f>IF(E626="USD",CONFIG!$B$5,1)</f>
        <v/>
      </c>
      <c r="R626">
        <f>IF(AND(A626&lt;&gt;"",ISNUMBER(A626),B626&lt;&gt;"",C626&lt;&gt;"",OR(E626="USD",E626="CRC"),F626&gt;0,ISNUMBER(Q626),Q626&gt;0),"✓ OK","✗ ERROR: Revisa datos")</f>
        <v/>
      </c>
    </row>
    <row r="627">
      <c r="A627" s="19" t="n"/>
      <c r="F627" s="20" t="n"/>
      <c r="Q627" s="10">
        <f>IF(E627="USD",CONFIG!$B$5,1)</f>
        <v/>
      </c>
      <c r="R627">
        <f>IF(AND(A627&lt;&gt;"",ISNUMBER(A627),B627&lt;&gt;"",C627&lt;&gt;"",OR(E627="USD",E627="CRC"),F627&gt;0,ISNUMBER(Q627),Q627&gt;0),"✓ OK","✗ ERROR: Revisa datos")</f>
        <v/>
      </c>
    </row>
    <row r="628">
      <c r="A628" s="19" t="n"/>
      <c r="F628" s="20" t="n"/>
      <c r="Q628" s="10">
        <f>IF(E628="USD",CONFIG!$B$5,1)</f>
        <v/>
      </c>
      <c r="R628">
        <f>IF(AND(A628&lt;&gt;"",ISNUMBER(A628),B628&lt;&gt;"",C628&lt;&gt;"",OR(E628="USD",E628="CRC"),F628&gt;0,ISNUMBER(Q628),Q628&gt;0),"✓ OK","✗ ERROR: Revisa datos")</f>
        <v/>
      </c>
    </row>
    <row r="629">
      <c r="A629" s="19" t="n"/>
      <c r="F629" s="20" t="n"/>
      <c r="Q629" s="10">
        <f>IF(E629="USD",CONFIG!$B$5,1)</f>
        <v/>
      </c>
      <c r="R629">
        <f>IF(AND(A629&lt;&gt;"",ISNUMBER(A629),B629&lt;&gt;"",C629&lt;&gt;"",OR(E629="USD",E629="CRC"),F629&gt;0,ISNUMBER(Q629),Q629&gt;0),"✓ OK","✗ ERROR: Revisa datos")</f>
        <v/>
      </c>
    </row>
    <row r="630">
      <c r="A630" s="19" t="n"/>
      <c r="F630" s="20" t="n"/>
      <c r="Q630" s="10">
        <f>IF(E630="USD",CONFIG!$B$5,1)</f>
        <v/>
      </c>
      <c r="R630">
        <f>IF(AND(A630&lt;&gt;"",ISNUMBER(A630),B630&lt;&gt;"",C630&lt;&gt;"",OR(E630="USD",E630="CRC"),F630&gt;0,ISNUMBER(Q630),Q630&gt;0),"✓ OK","✗ ERROR: Revisa datos")</f>
        <v/>
      </c>
    </row>
    <row r="631">
      <c r="A631" s="19" t="n"/>
      <c r="F631" s="20" t="n"/>
      <c r="Q631" s="10">
        <f>IF(E631="USD",CONFIG!$B$5,1)</f>
        <v/>
      </c>
      <c r="R631">
        <f>IF(AND(A631&lt;&gt;"",ISNUMBER(A631),B631&lt;&gt;"",C631&lt;&gt;"",OR(E631="USD",E631="CRC"),F631&gt;0,ISNUMBER(Q631),Q631&gt;0),"✓ OK","✗ ERROR: Revisa datos")</f>
        <v/>
      </c>
    </row>
    <row r="632">
      <c r="A632" s="19" t="n"/>
      <c r="F632" s="20" t="n"/>
      <c r="Q632" s="10">
        <f>IF(E632="USD",CONFIG!$B$5,1)</f>
        <v/>
      </c>
      <c r="R632">
        <f>IF(AND(A632&lt;&gt;"",ISNUMBER(A632),B632&lt;&gt;"",C632&lt;&gt;"",OR(E632="USD",E632="CRC"),F632&gt;0,ISNUMBER(Q632),Q632&gt;0),"✓ OK","✗ ERROR: Revisa datos")</f>
        <v/>
      </c>
    </row>
    <row r="633">
      <c r="A633" s="19" t="n"/>
      <c r="F633" s="20" t="n"/>
      <c r="Q633" s="10">
        <f>IF(E633="USD",CONFIG!$B$5,1)</f>
        <v/>
      </c>
      <c r="R633">
        <f>IF(AND(A633&lt;&gt;"",ISNUMBER(A633),B633&lt;&gt;"",C633&lt;&gt;"",OR(E633="USD",E633="CRC"),F633&gt;0,ISNUMBER(Q633),Q633&gt;0),"✓ OK","✗ ERROR: Revisa datos")</f>
        <v/>
      </c>
    </row>
    <row r="634">
      <c r="A634" s="19" t="n"/>
      <c r="F634" s="20" t="n"/>
      <c r="Q634" s="10">
        <f>IF(E634="USD",CONFIG!$B$5,1)</f>
        <v/>
      </c>
      <c r="R634">
        <f>IF(AND(A634&lt;&gt;"",ISNUMBER(A634),B634&lt;&gt;"",C634&lt;&gt;"",OR(E634="USD",E634="CRC"),F634&gt;0,ISNUMBER(Q634),Q634&gt;0),"✓ OK","✗ ERROR: Revisa datos")</f>
        <v/>
      </c>
    </row>
    <row r="635">
      <c r="A635" s="19" t="n"/>
      <c r="F635" s="20" t="n"/>
      <c r="Q635" s="10">
        <f>IF(E635="USD",CONFIG!$B$5,1)</f>
        <v/>
      </c>
      <c r="R635">
        <f>IF(AND(A635&lt;&gt;"",ISNUMBER(A635),B635&lt;&gt;"",C635&lt;&gt;"",OR(E635="USD",E635="CRC"),F635&gt;0,ISNUMBER(Q635),Q635&gt;0),"✓ OK","✗ ERROR: Revisa datos")</f>
        <v/>
      </c>
    </row>
    <row r="636">
      <c r="A636" s="19" t="n"/>
      <c r="F636" s="20" t="n"/>
      <c r="Q636" s="10">
        <f>IF(E636="USD",CONFIG!$B$5,1)</f>
        <v/>
      </c>
      <c r="R636">
        <f>IF(AND(A636&lt;&gt;"",ISNUMBER(A636),B636&lt;&gt;"",C636&lt;&gt;"",OR(E636="USD",E636="CRC"),F636&gt;0,ISNUMBER(Q636),Q636&gt;0),"✓ OK","✗ ERROR: Revisa datos")</f>
        <v/>
      </c>
    </row>
    <row r="637">
      <c r="A637" s="19" t="n"/>
      <c r="F637" s="20" t="n"/>
      <c r="Q637" s="10">
        <f>IF(E637="USD",CONFIG!$B$5,1)</f>
        <v/>
      </c>
      <c r="R637">
        <f>IF(AND(A637&lt;&gt;"",ISNUMBER(A637),B637&lt;&gt;"",C637&lt;&gt;"",OR(E637="USD",E637="CRC"),F637&gt;0,ISNUMBER(Q637),Q637&gt;0),"✓ OK","✗ ERROR: Revisa datos")</f>
        <v/>
      </c>
    </row>
    <row r="638">
      <c r="A638" s="19" t="n"/>
      <c r="F638" s="20" t="n"/>
      <c r="Q638" s="10">
        <f>IF(E638="USD",CONFIG!$B$5,1)</f>
        <v/>
      </c>
      <c r="R638">
        <f>IF(AND(A638&lt;&gt;"",ISNUMBER(A638),B638&lt;&gt;"",C638&lt;&gt;"",OR(E638="USD",E638="CRC"),F638&gt;0,ISNUMBER(Q638),Q638&gt;0),"✓ OK","✗ ERROR: Revisa datos")</f>
        <v/>
      </c>
    </row>
    <row r="639">
      <c r="A639" s="19" t="n"/>
      <c r="F639" s="20" t="n"/>
      <c r="Q639" s="10">
        <f>IF(E639="USD",CONFIG!$B$5,1)</f>
        <v/>
      </c>
      <c r="R639">
        <f>IF(AND(A639&lt;&gt;"",ISNUMBER(A639),B639&lt;&gt;"",C639&lt;&gt;"",OR(E639="USD",E639="CRC"),F639&gt;0,ISNUMBER(Q639),Q639&gt;0),"✓ OK","✗ ERROR: Revisa datos")</f>
        <v/>
      </c>
    </row>
    <row r="640">
      <c r="A640" s="19" t="n"/>
      <c r="F640" s="20" t="n"/>
      <c r="Q640" s="10">
        <f>IF(E640="USD",CONFIG!$B$5,1)</f>
        <v/>
      </c>
      <c r="R640">
        <f>IF(AND(A640&lt;&gt;"",ISNUMBER(A640),B640&lt;&gt;"",C640&lt;&gt;"",OR(E640="USD",E640="CRC"),F640&gt;0,ISNUMBER(Q640),Q640&gt;0),"✓ OK","✗ ERROR: Revisa datos")</f>
        <v/>
      </c>
    </row>
    <row r="641">
      <c r="A641" s="19" t="n"/>
      <c r="F641" s="20" t="n"/>
      <c r="Q641" s="10">
        <f>IF(E641="USD",CONFIG!$B$5,1)</f>
        <v/>
      </c>
      <c r="R641">
        <f>IF(AND(A641&lt;&gt;"",ISNUMBER(A641),B641&lt;&gt;"",C641&lt;&gt;"",OR(E641="USD",E641="CRC"),F641&gt;0,ISNUMBER(Q641),Q641&gt;0),"✓ OK","✗ ERROR: Revisa datos")</f>
        <v/>
      </c>
    </row>
    <row r="642">
      <c r="A642" s="19" t="n"/>
      <c r="F642" s="20" t="n"/>
      <c r="Q642" s="10">
        <f>IF(E642="USD",CONFIG!$B$5,1)</f>
        <v/>
      </c>
      <c r="R642">
        <f>IF(AND(A642&lt;&gt;"",ISNUMBER(A642),B642&lt;&gt;"",C642&lt;&gt;"",OR(E642="USD",E642="CRC"),F642&gt;0,ISNUMBER(Q642),Q642&gt;0),"✓ OK","✗ ERROR: Revisa datos")</f>
        <v/>
      </c>
    </row>
    <row r="643">
      <c r="A643" s="19" t="n"/>
      <c r="F643" s="20" t="n"/>
      <c r="Q643" s="10">
        <f>IF(E643="USD",CONFIG!$B$5,1)</f>
        <v/>
      </c>
      <c r="R643">
        <f>IF(AND(A643&lt;&gt;"",ISNUMBER(A643),B643&lt;&gt;"",C643&lt;&gt;"",OR(E643="USD",E643="CRC"),F643&gt;0,ISNUMBER(Q643),Q643&gt;0),"✓ OK","✗ ERROR: Revisa datos")</f>
        <v/>
      </c>
    </row>
    <row r="644">
      <c r="A644" s="19" t="n"/>
      <c r="F644" s="20" t="n"/>
      <c r="Q644" s="10">
        <f>IF(E644="USD",CONFIG!$B$5,1)</f>
        <v/>
      </c>
      <c r="R644">
        <f>IF(AND(A644&lt;&gt;"",ISNUMBER(A644),B644&lt;&gt;"",C644&lt;&gt;"",OR(E644="USD",E644="CRC"),F644&gt;0,ISNUMBER(Q644),Q644&gt;0),"✓ OK","✗ ERROR: Revisa datos")</f>
        <v/>
      </c>
    </row>
    <row r="645">
      <c r="A645" s="19" t="n"/>
      <c r="F645" s="20" t="n"/>
      <c r="Q645" s="10">
        <f>IF(E645="USD",CONFIG!$B$5,1)</f>
        <v/>
      </c>
      <c r="R645">
        <f>IF(AND(A645&lt;&gt;"",ISNUMBER(A645),B645&lt;&gt;"",C645&lt;&gt;"",OR(E645="USD",E645="CRC"),F645&gt;0,ISNUMBER(Q645),Q645&gt;0),"✓ OK","✗ ERROR: Revisa datos")</f>
        <v/>
      </c>
    </row>
    <row r="646">
      <c r="A646" s="19" t="n"/>
      <c r="F646" s="20" t="n"/>
      <c r="Q646" s="10">
        <f>IF(E646="USD",CONFIG!$B$5,1)</f>
        <v/>
      </c>
      <c r="R646">
        <f>IF(AND(A646&lt;&gt;"",ISNUMBER(A646),B646&lt;&gt;"",C646&lt;&gt;"",OR(E646="USD",E646="CRC"),F646&gt;0,ISNUMBER(Q646),Q646&gt;0),"✓ OK","✗ ERROR: Revisa datos")</f>
        <v/>
      </c>
    </row>
    <row r="647">
      <c r="A647" s="19" t="n"/>
      <c r="F647" s="20" t="n"/>
      <c r="Q647" s="10">
        <f>IF(E647="USD",CONFIG!$B$5,1)</f>
        <v/>
      </c>
      <c r="R647">
        <f>IF(AND(A647&lt;&gt;"",ISNUMBER(A647),B647&lt;&gt;"",C647&lt;&gt;"",OR(E647="USD",E647="CRC"),F647&gt;0,ISNUMBER(Q647),Q647&gt;0),"✓ OK","✗ ERROR: Revisa datos")</f>
        <v/>
      </c>
    </row>
    <row r="648">
      <c r="A648" s="19" t="n"/>
      <c r="F648" s="20" t="n"/>
      <c r="Q648" s="10">
        <f>IF(E648="USD",CONFIG!$B$5,1)</f>
        <v/>
      </c>
      <c r="R648">
        <f>IF(AND(A648&lt;&gt;"",ISNUMBER(A648),B648&lt;&gt;"",C648&lt;&gt;"",OR(E648="USD",E648="CRC"),F648&gt;0,ISNUMBER(Q648),Q648&gt;0),"✓ OK","✗ ERROR: Revisa datos")</f>
        <v/>
      </c>
    </row>
    <row r="649">
      <c r="A649" s="19" t="n"/>
      <c r="F649" s="20" t="n"/>
      <c r="Q649" s="10">
        <f>IF(E649="USD",CONFIG!$B$5,1)</f>
        <v/>
      </c>
      <c r="R649">
        <f>IF(AND(A649&lt;&gt;"",ISNUMBER(A649),B649&lt;&gt;"",C649&lt;&gt;"",OR(E649="USD",E649="CRC"),F649&gt;0,ISNUMBER(Q649),Q649&gt;0),"✓ OK","✗ ERROR: Revisa datos")</f>
        <v/>
      </c>
    </row>
    <row r="650">
      <c r="A650" s="19" t="n"/>
      <c r="F650" s="20" t="n"/>
      <c r="Q650" s="10">
        <f>IF(E650="USD",CONFIG!$B$5,1)</f>
        <v/>
      </c>
      <c r="R650">
        <f>IF(AND(A650&lt;&gt;"",ISNUMBER(A650),B650&lt;&gt;"",C650&lt;&gt;"",OR(E650="USD",E650="CRC"),F650&gt;0,ISNUMBER(Q650),Q650&gt;0),"✓ OK","✗ ERROR: Revisa datos")</f>
        <v/>
      </c>
    </row>
    <row r="651">
      <c r="A651" s="19" t="n"/>
      <c r="F651" s="20" t="n"/>
      <c r="Q651" s="10">
        <f>IF(E651="USD",CONFIG!$B$5,1)</f>
        <v/>
      </c>
      <c r="R651">
        <f>IF(AND(A651&lt;&gt;"",ISNUMBER(A651),B651&lt;&gt;"",C651&lt;&gt;"",OR(E651="USD",E651="CRC"),F651&gt;0,ISNUMBER(Q651),Q651&gt;0),"✓ OK","✗ ERROR: Revisa datos")</f>
        <v/>
      </c>
    </row>
    <row r="652">
      <c r="A652" s="19" t="n"/>
      <c r="F652" s="20" t="n"/>
      <c r="Q652" s="10">
        <f>IF(E652="USD",CONFIG!$B$5,1)</f>
        <v/>
      </c>
      <c r="R652">
        <f>IF(AND(A652&lt;&gt;"",ISNUMBER(A652),B652&lt;&gt;"",C652&lt;&gt;"",OR(E652="USD",E652="CRC"),F652&gt;0,ISNUMBER(Q652),Q652&gt;0),"✓ OK","✗ ERROR: Revisa datos")</f>
        <v/>
      </c>
    </row>
    <row r="653">
      <c r="A653" s="19" t="n"/>
      <c r="F653" s="20" t="n"/>
      <c r="Q653" s="10">
        <f>IF(E653="USD",CONFIG!$B$5,1)</f>
        <v/>
      </c>
      <c r="R653">
        <f>IF(AND(A653&lt;&gt;"",ISNUMBER(A653),B653&lt;&gt;"",C653&lt;&gt;"",OR(E653="USD",E653="CRC"),F653&gt;0,ISNUMBER(Q653),Q653&gt;0),"✓ OK","✗ ERROR: Revisa datos")</f>
        <v/>
      </c>
    </row>
    <row r="654">
      <c r="A654" s="19" t="n"/>
      <c r="F654" s="20" t="n"/>
      <c r="Q654" s="10">
        <f>IF(E654="USD",CONFIG!$B$5,1)</f>
        <v/>
      </c>
      <c r="R654">
        <f>IF(AND(A654&lt;&gt;"",ISNUMBER(A654),B654&lt;&gt;"",C654&lt;&gt;"",OR(E654="USD",E654="CRC"),F654&gt;0,ISNUMBER(Q654),Q654&gt;0),"✓ OK","✗ ERROR: Revisa datos")</f>
        <v/>
      </c>
    </row>
    <row r="655">
      <c r="A655" s="19" t="n"/>
      <c r="F655" s="20" t="n"/>
      <c r="Q655" s="10">
        <f>IF(E655="USD",CONFIG!$B$5,1)</f>
        <v/>
      </c>
      <c r="R655">
        <f>IF(AND(A655&lt;&gt;"",ISNUMBER(A655),B655&lt;&gt;"",C655&lt;&gt;"",OR(E655="USD",E655="CRC"),F655&gt;0,ISNUMBER(Q655),Q655&gt;0),"✓ OK","✗ ERROR: Revisa datos")</f>
        <v/>
      </c>
    </row>
    <row r="656">
      <c r="A656" s="19" t="n"/>
      <c r="F656" s="20" t="n"/>
      <c r="Q656" s="10">
        <f>IF(E656="USD",CONFIG!$B$5,1)</f>
        <v/>
      </c>
      <c r="R656">
        <f>IF(AND(A656&lt;&gt;"",ISNUMBER(A656),B656&lt;&gt;"",C656&lt;&gt;"",OR(E656="USD",E656="CRC"),F656&gt;0,ISNUMBER(Q656),Q656&gt;0),"✓ OK","✗ ERROR: Revisa datos")</f>
        <v/>
      </c>
    </row>
    <row r="657">
      <c r="A657" s="19" t="n"/>
      <c r="F657" s="20" t="n"/>
      <c r="Q657" s="10">
        <f>IF(E657="USD",CONFIG!$B$5,1)</f>
        <v/>
      </c>
      <c r="R657">
        <f>IF(AND(A657&lt;&gt;"",ISNUMBER(A657),B657&lt;&gt;"",C657&lt;&gt;"",OR(E657="USD",E657="CRC"),F657&gt;0,ISNUMBER(Q657),Q657&gt;0),"✓ OK","✗ ERROR: Revisa datos")</f>
        <v/>
      </c>
    </row>
    <row r="658">
      <c r="A658" s="19" t="n"/>
      <c r="F658" s="20" t="n"/>
      <c r="Q658" s="10">
        <f>IF(E658="USD",CONFIG!$B$5,1)</f>
        <v/>
      </c>
      <c r="R658">
        <f>IF(AND(A658&lt;&gt;"",ISNUMBER(A658),B658&lt;&gt;"",C658&lt;&gt;"",OR(E658="USD",E658="CRC"),F658&gt;0,ISNUMBER(Q658),Q658&gt;0),"✓ OK","✗ ERROR: Revisa datos")</f>
        <v/>
      </c>
    </row>
    <row r="659">
      <c r="A659" s="19" t="n"/>
      <c r="F659" s="20" t="n"/>
      <c r="Q659" s="10">
        <f>IF(E659="USD",CONFIG!$B$5,1)</f>
        <v/>
      </c>
      <c r="R659">
        <f>IF(AND(A659&lt;&gt;"",ISNUMBER(A659),B659&lt;&gt;"",C659&lt;&gt;"",OR(E659="USD",E659="CRC"),F659&gt;0,ISNUMBER(Q659),Q659&gt;0),"✓ OK","✗ ERROR: Revisa datos")</f>
        <v/>
      </c>
    </row>
    <row r="660">
      <c r="A660" s="19" t="n"/>
      <c r="F660" s="20" t="n"/>
      <c r="Q660" s="10">
        <f>IF(E660="USD",CONFIG!$B$5,1)</f>
        <v/>
      </c>
      <c r="R660">
        <f>IF(AND(A660&lt;&gt;"",ISNUMBER(A660),B660&lt;&gt;"",C660&lt;&gt;"",OR(E660="USD",E660="CRC"),F660&gt;0,ISNUMBER(Q660),Q660&gt;0),"✓ OK","✗ ERROR: Revisa datos")</f>
        <v/>
      </c>
    </row>
    <row r="661">
      <c r="A661" s="19" t="n"/>
      <c r="F661" s="20" t="n"/>
      <c r="Q661" s="10">
        <f>IF(E661="USD",CONFIG!$B$5,1)</f>
        <v/>
      </c>
      <c r="R661">
        <f>IF(AND(A661&lt;&gt;"",ISNUMBER(A661),B661&lt;&gt;"",C661&lt;&gt;"",OR(E661="USD",E661="CRC"),F661&gt;0,ISNUMBER(Q661),Q661&gt;0),"✓ OK","✗ ERROR: Revisa datos")</f>
        <v/>
      </c>
    </row>
    <row r="662">
      <c r="A662" s="19" t="n"/>
      <c r="F662" s="20" t="n"/>
      <c r="Q662" s="10">
        <f>IF(E662="USD",CONFIG!$B$5,1)</f>
        <v/>
      </c>
      <c r="R662">
        <f>IF(AND(A662&lt;&gt;"",ISNUMBER(A662),B662&lt;&gt;"",C662&lt;&gt;"",OR(E662="USD",E662="CRC"),F662&gt;0,ISNUMBER(Q662),Q662&gt;0),"✓ OK","✗ ERROR: Revisa datos")</f>
        <v/>
      </c>
    </row>
    <row r="663">
      <c r="A663" s="19" t="n"/>
      <c r="F663" s="20" t="n"/>
      <c r="Q663" s="10">
        <f>IF(E663="USD",CONFIG!$B$5,1)</f>
        <v/>
      </c>
      <c r="R663">
        <f>IF(AND(A663&lt;&gt;"",ISNUMBER(A663),B663&lt;&gt;"",C663&lt;&gt;"",OR(E663="USD",E663="CRC"),F663&gt;0,ISNUMBER(Q663),Q663&gt;0),"✓ OK","✗ ERROR: Revisa datos")</f>
        <v/>
      </c>
    </row>
    <row r="664">
      <c r="A664" s="19" t="n"/>
      <c r="F664" s="20" t="n"/>
      <c r="Q664" s="10">
        <f>IF(E664="USD",CONFIG!$B$5,1)</f>
        <v/>
      </c>
      <c r="R664">
        <f>IF(AND(A664&lt;&gt;"",ISNUMBER(A664),B664&lt;&gt;"",C664&lt;&gt;"",OR(E664="USD",E664="CRC"),F664&gt;0,ISNUMBER(Q664),Q664&gt;0),"✓ OK","✗ ERROR: Revisa datos")</f>
        <v/>
      </c>
    </row>
    <row r="665">
      <c r="A665" s="19" t="n"/>
      <c r="F665" s="20" t="n"/>
      <c r="Q665" s="10">
        <f>IF(E665="USD",CONFIG!$B$5,1)</f>
        <v/>
      </c>
      <c r="R665">
        <f>IF(AND(A665&lt;&gt;"",ISNUMBER(A665),B665&lt;&gt;"",C665&lt;&gt;"",OR(E665="USD",E665="CRC"),F665&gt;0,ISNUMBER(Q665),Q665&gt;0),"✓ OK","✗ ERROR: Revisa datos")</f>
        <v/>
      </c>
    </row>
    <row r="666">
      <c r="A666" s="19" t="n"/>
      <c r="F666" s="20" t="n"/>
      <c r="Q666" s="10">
        <f>IF(E666="USD",CONFIG!$B$5,1)</f>
        <v/>
      </c>
      <c r="R666">
        <f>IF(AND(A666&lt;&gt;"",ISNUMBER(A666),B666&lt;&gt;"",C666&lt;&gt;"",OR(E666="USD",E666="CRC"),F666&gt;0,ISNUMBER(Q666),Q666&gt;0),"✓ OK","✗ ERROR: Revisa datos")</f>
        <v/>
      </c>
    </row>
    <row r="667">
      <c r="A667" s="19" t="n"/>
      <c r="F667" s="20" t="n"/>
      <c r="Q667" s="10">
        <f>IF(E667="USD",CONFIG!$B$5,1)</f>
        <v/>
      </c>
      <c r="R667">
        <f>IF(AND(A667&lt;&gt;"",ISNUMBER(A667),B667&lt;&gt;"",C667&lt;&gt;"",OR(E667="USD",E667="CRC"),F667&gt;0,ISNUMBER(Q667),Q667&gt;0),"✓ OK","✗ ERROR: Revisa datos")</f>
        <v/>
      </c>
    </row>
    <row r="668">
      <c r="A668" s="19" t="n"/>
      <c r="F668" s="20" t="n"/>
      <c r="Q668" s="10">
        <f>IF(E668="USD",CONFIG!$B$5,1)</f>
        <v/>
      </c>
      <c r="R668">
        <f>IF(AND(A668&lt;&gt;"",ISNUMBER(A668),B668&lt;&gt;"",C668&lt;&gt;"",OR(E668="USD",E668="CRC"),F668&gt;0,ISNUMBER(Q668),Q668&gt;0),"✓ OK","✗ ERROR: Revisa datos")</f>
        <v/>
      </c>
    </row>
    <row r="669">
      <c r="A669" s="19" t="n"/>
      <c r="F669" s="20" t="n"/>
      <c r="Q669" s="10">
        <f>IF(E669="USD",CONFIG!$B$5,1)</f>
        <v/>
      </c>
      <c r="R669">
        <f>IF(AND(A669&lt;&gt;"",ISNUMBER(A669),B669&lt;&gt;"",C669&lt;&gt;"",OR(E669="USD",E669="CRC"),F669&gt;0,ISNUMBER(Q669),Q669&gt;0),"✓ OK","✗ ERROR: Revisa datos")</f>
        <v/>
      </c>
    </row>
    <row r="670">
      <c r="A670" s="19" t="n"/>
      <c r="F670" s="20" t="n"/>
      <c r="Q670" s="10">
        <f>IF(E670="USD",CONFIG!$B$5,1)</f>
        <v/>
      </c>
      <c r="R670">
        <f>IF(AND(A670&lt;&gt;"",ISNUMBER(A670),B670&lt;&gt;"",C670&lt;&gt;"",OR(E670="USD",E670="CRC"),F670&gt;0,ISNUMBER(Q670),Q670&gt;0),"✓ OK","✗ ERROR: Revisa datos")</f>
        <v/>
      </c>
    </row>
    <row r="671">
      <c r="A671" s="19" t="n"/>
      <c r="F671" s="20" t="n"/>
      <c r="Q671" s="10">
        <f>IF(E671="USD",CONFIG!$B$5,1)</f>
        <v/>
      </c>
      <c r="R671">
        <f>IF(AND(A671&lt;&gt;"",ISNUMBER(A671),B671&lt;&gt;"",C671&lt;&gt;"",OR(E671="USD",E671="CRC"),F671&gt;0,ISNUMBER(Q671),Q671&gt;0),"✓ OK","✗ ERROR: Revisa datos")</f>
        <v/>
      </c>
    </row>
    <row r="672">
      <c r="A672" s="19" t="n"/>
      <c r="F672" s="20" t="n"/>
      <c r="Q672" s="10">
        <f>IF(E672="USD",CONFIG!$B$5,1)</f>
        <v/>
      </c>
      <c r="R672">
        <f>IF(AND(A672&lt;&gt;"",ISNUMBER(A672),B672&lt;&gt;"",C672&lt;&gt;"",OR(E672="USD",E672="CRC"),F672&gt;0,ISNUMBER(Q672),Q672&gt;0),"✓ OK","✗ ERROR: Revisa datos")</f>
        <v/>
      </c>
    </row>
    <row r="673">
      <c r="A673" s="19" t="n"/>
      <c r="F673" s="20" t="n"/>
      <c r="Q673" s="10">
        <f>IF(E673="USD",CONFIG!$B$5,1)</f>
        <v/>
      </c>
      <c r="R673">
        <f>IF(AND(A673&lt;&gt;"",ISNUMBER(A673),B673&lt;&gt;"",C673&lt;&gt;"",OR(E673="USD",E673="CRC"),F673&gt;0,ISNUMBER(Q673),Q673&gt;0),"✓ OK","✗ ERROR: Revisa datos")</f>
        <v/>
      </c>
    </row>
    <row r="674">
      <c r="A674" s="19" t="n"/>
      <c r="F674" s="20" t="n"/>
      <c r="Q674" s="10">
        <f>IF(E674="USD",CONFIG!$B$5,1)</f>
        <v/>
      </c>
      <c r="R674">
        <f>IF(AND(A674&lt;&gt;"",ISNUMBER(A674),B674&lt;&gt;"",C674&lt;&gt;"",OR(E674="USD",E674="CRC"),F674&gt;0,ISNUMBER(Q674),Q674&gt;0),"✓ OK","✗ ERROR: Revisa datos")</f>
        <v/>
      </c>
    </row>
    <row r="675">
      <c r="A675" s="19" t="n"/>
      <c r="F675" s="20" t="n"/>
      <c r="Q675" s="10">
        <f>IF(E675="USD",CONFIG!$B$5,1)</f>
        <v/>
      </c>
      <c r="R675">
        <f>IF(AND(A675&lt;&gt;"",ISNUMBER(A675),B675&lt;&gt;"",C675&lt;&gt;"",OR(E675="USD",E675="CRC"),F675&gt;0,ISNUMBER(Q675),Q675&gt;0),"✓ OK","✗ ERROR: Revisa datos")</f>
        <v/>
      </c>
    </row>
    <row r="676">
      <c r="A676" s="19" t="n"/>
      <c r="F676" s="20" t="n"/>
      <c r="Q676" s="10">
        <f>IF(E676="USD",CONFIG!$B$5,1)</f>
        <v/>
      </c>
      <c r="R676">
        <f>IF(AND(A676&lt;&gt;"",ISNUMBER(A676),B676&lt;&gt;"",C676&lt;&gt;"",OR(E676="USD",E676="CRC"),F676&gt;0,ISNUMBER(Q676),Q676&gt;0),"✓ OK","✗ ERROR: Revisa datos")</f>
        <v/>
      </c>
    </row>
    <row r="677">
      <c r="A677" s="19" t="n"/>
      <c r="F677" s="20" t="n"/>
      <c r="Q677" s="10">
        <f>IF(E677="USD",CONFIG!$B$5,1)</f>
        <v/>
      </c>
      <c r="R677">
        <f>IF(AND(A677&lt;&gt;"",ISNUMBER(A677),B677&lt;&gt;"",C677&lt;&gt;"",OR(E677="USD",E677="CRC"),F677&gt;0,ISNUMBER(Q677),Q677&gt;0),"✓ OK","✗ ERROR: Revisa datos")</f>
        <v/>
      </c>
    </row>
    <row r="678">
      <c r="A678" s="19" t="n"/>
      <c r="F678" s="20" t="n"/>
      <c r="Q678" s="10">
        <f>IF(E678="USD",CONFIG!$B$5,1)</f>
        <v/>
      </c>
      <c r="R678">
        <f>IF(AND(A678&lt;&gt;"",ISNUMBER(A678),B678&lt;&gt;"",C678&lt;&gt;"",OR(E678="USD",E678="CRC"),F678&gt;0,ISNUMBER(Q678),Q678&gt;0),"✓ OK","✗ ERROR: Revisa datos")</f>
        <v/>
      </c>
    </row>
    <row r="679">
      <c r="A679" s="19" t="n"/>
      <c r="F679" s="20" t="n"/>
      <c r="Q679" s="10">
        <f>IF(E679="USD",CONFIG!$B$5,1)</f>
        <v/>
      </c>
      <c r="R679">
        <f>IF(AND(A679&lt;&gt;"",ISNUMBER(A679),B679&lt;&gt;"",C679&lt;&gt;"",OR(E679="USD",E679="CRC"),F679&gt;0,ISNUMBER(Q679),Q679&gt;0),"✓ OK","✗ ERROR: Revisa datos")</f>
        <v/>
      </c>
    </row>
    <row r="680">
      <c r="A680" s="19" t="n"/>
      <c r="F680" s="20" t="n"/>
      <c r="Q680" s="10">
        <f>IF(E680="USD",CONFIG!$B$5,1)</f>
        <v/>
      </c>
      <c r="R680">
        <f>IF(AND(A680&lt;&gt;"",ISNUMBER(A680),B680&lt;&gt;"",C680&lt;&gt;"",OR(E680="USD",E680="CRC"),F680&gt;0,ISNUMBER(Q680),Q680&gt;0),"✓ OK","✗ ERROR: Revisa datos")</f>
        <v/>
      </c>
    </row>
    <row r="681">
      <c r="A681" s="19" t="n"/>
      <c r="F681" s="20" t="n"/>
      <c r="Q681" s="10">
        <f>IF(E681="USD",CONFIG!$B$5,1)</f>
        <v/>
      </c>
      <c r="R681">
        <f>IF(AND(A681&lt;&gt;"",ISNUMBER(A681),B681&lt;&gt;"",C681&lt;&gt;"",OR(E681="USD",E681="CRC"),F681&gt;0,ISNUMBER(Q681),Q681&gt;0),"✓ OK","✗ ERROR: Revisa datos")</f>
        <v/>
      </c>
    </row>
    <row r="682">
      <c r="A682" s="19" t="n"/>
      <c r="F682" s="20" t="n"/>
      <c r="Q682" s="10">
        <f>IF(E682="USD",CONFIG!$B$5,1)</f>
        <v/>
      </c>
      <c r="R682">
        <f>IF(AND(A682&lt;&gt;"",ISNUMBER(A682),B682&lt;&gt;"",C682&lt;&gt;"",OR(E682="USD",E682="CRC"),F682&gt;0,ISNUMBER(Q682),Q682&gt;0),"✓ OK","✗ ERROR: Revisa datos")</f>
        <v/>
      </c>
    </row>
    <row r="683">
      <c r="A683" s="19" t="n"/>
      <c r="F683" s="20" t="n"/>
      <c r="Q683" s="10">
        <f>IF(E683="USD",CONFIG!$B$5,1)</f>
        <v/>
      </c>
      <c r="R683">
        <f>IF(AND(A683&lt;&gt;"",ISNUMBER(A683),B683&lt;&gt;"",C683&lt;&gt;"",OR(E683="USD",E683="CRC"),F683&gt;0,ISNUMBER(Q683),Q683&gt;0),"✓ OK","✗ ERROR: Revisa datos")</f>
        <v/>
      </c>
    </row>
    <row r="684">
      <c r="A684" s="19" t="n"/>
      <c r="F684" s="20" t="n"/>
      <c r="Q684" s="10">
        <f>IF(E684="USD",CONFIG!$B$5,1)</f>
        <v/>
      </c>
      <c r="R684">
        <f>IF(AND(A684&lt;&gt;"",ISNUMBER(A684),B684&lt;&gt;"",C684&lt;&gt;"",OR(E684="USD",E684="CRC"),F684&gt;0,ISNUMBER(Q684),Q684&gt;0),"✓ OK","✗ ERROR: Revisa datos")</f>
        <v/>
      </c>
    </row>
    <row r="685">
      <c r="A685" s="19" t="n"/>
      <c r="F685" s="20" t="n"/>
      <c r="Q685" s="10">
        <f>IF(E685="USD",CONFIG!$B$5,1)</f>
        <v/>
      </c>
      <c r="R685">
        <f>IF(AND(A685&lt;&gt;"",ISNUMBER(A685),B685&lt;&gt;"",C685&lt;&gt;"",OR(E685="USD",E685="CRC"),F685&gt;0,ISNUMBER(Q685),Q685&gt;0),"✓ OK","✗ ERROR: Revisa datos")</f>
        <v/>
      </c>
    </row>
    <row r="686">
      <c r="A686" s="19" t="n"/>
      <c r="F686" s="20" t="n"/>
      <c r="Q686" s="10">
        <f>IF(E686="USD",CONFIG!$B$5,1)</f>
        <v/>
      </c>
      <c r="R686">
        <f>IF(AND(A686&lt;&gt;"",ISNUMBER(A686),B686&lt;&gt;"",C686&lt;&gt;"",OR(E686="USD",E686="CRC"),F686&gt;0,ISNUMBER(Q686),Q686&gt;0),"✓ OK","✗ ERROR: Revisa datos")</f>
        <v/>
      </c>
    </row>
    <row r="687">
      <c r="A687" s="19" t="n"/>
      <c r="F687" s="20" t="n"/>
      <c r="Q687" s="10">
        <f>IF(E687="USD",CONFIG!$B$5,1)</f>
        <v/>
      </c>
      <c r="R687">
        <f>IF(AND(A687&lt;&gt;"",ISNUMBER(A687),B687&lt;&gt;"",C687&lt;&gt;"",OR(E687="USD",E687="CRC"),F687&gt;0,ISNUMBER(Q687),Q687&gt;0),"✓ OK","✗ ERROR: Revisa datos")</f>
        <v/>
      </c>
    </row>
    <row r="688">
      <c r="A688" s="19" t="n"/>
      <c r="F688" s="20" t="n"/>
      <c r="Q688" s="10">
        <f>IF(E688="USD",CONFIG!$B$5,1)</f>
        <v/>
      </c>
      <c r="R688">
        <f>IF(AND(A688&lt;&gt;"",ISNUMBER(A688),B688&lt;&gt;"",C688&lt;&gt;"",OR(E688="USD",E688="CRC"),F688&gt;0,ISNUMBER(Q688),Q688&gt;0),"✓ OK","✗ ERROR: Revisa datos")</f>
        <v/>
      </c>
    </row>
    <row r="689">
      <c r="A689" s="19" t="n"/>
      <c r="F689" s="20" t="n"/>
      <c r="Q689" s="10">
        <f>IF(E689="USD",CONFIG!$B$5,1)</f>
        <v/>
      </c>
      <c r="R689">
        <f>IF(AND(A689&lt;&gt;"",ISNUMBER(A689),B689&lt;&gt;"",C689&lt;&gt;"",OR(E689="USD",E689="CRC"),F689&gt;0,ISNUMBER(Q689),Q689&gt;0),"✓ OK","✗ ERROR: Revisa datos")</f>
        <v/>
      </c>
    </row>
    <row r="690">
      <c r="A690" s="19" t="n"/>
      <c r="F690" s="20" t="n"/>
      <c r="Q690" s="10">
        <f>IF(E690="USD",CONFIG!$B$5,1)</f>
        <v/>
      </c>
      <c r="R690">
        <f>IF(AND(A690&lt;&gt;"",ISNUMBER(A690),B690&lt;&gt;"",C690&lt;&gt;"",OR(E690="USD",E690="CRC"),F690&gt;0,ISNUMBER(Q690),Q690&gt;0),"✓ OK","✗ ERROR: Revisa datos")</f>
        <v/>
      </c>
    </row>
    <row r="691">
      <c r="A691" s="19" t="n"/>
      <c r="F691" s="20" t="n"/>
      <c r="Q691" s="10">
        <f>IF(E691="USD",CONFIG!$B$5,1)</f>
        <v/>
      </c>
      <c r="R691">
        <f>IF(AND(A691&lt;&gt;"",ISNUMBER(A691),B691&lt;&gt;"",C691&lt;&gt;"",OR(E691="USD",E691="CRC"),F691&gt;0,ISNUMBER(Q691),Q691&gt;0),"✓ OK","✗ ERROR: Revisa datos")</f>
        <v/>
      </c>
    </row>
    <row r="692">
      <c r="A692" s="19" t="n"/>
      <c r="F692" s="20" t="n"/>
      <c r="Q692" s="10">
        <f>IF(E692="USD",CONFIG!$B$5,1)</f>
        <v/>
      </c>
      <c r="R692">
        <f>IF(AND(A692&lt;&gt;"",ISNUMBER(A692),B692&lt;&gt;"",C692&lt;&gt;"",OR(E692="USD",E692="CRC"),F692&gt;0,ISNUMBER(Q692),Q692&gt;0),"✓ OK","✗ ERROR: Revisa datos")</f>
        <v/>
      </c>
    </row>
    <row r="693">
      <c r="A693" s="19" t="n"/>
      <c r="F693" s="20" t="n"/>
      <c r="Q693" s="10">
        <f>IF(E693="USD",CONFIG!$B$5,1)</f>
        <v/>
      </c>
      <c r="R693">
        <f>IF(AND(A693&lt;&gt;"",ISNUMBER(A693),B693&lt;&gt;"",C693&lt;&gt;"",OR(E693="USD",E693="CRC"),F693&gt;0,ISNUMBER(Q693),Q693&gt;0),"✓ OK","✗ ERROR: Revisa datos")</f>
        <v/>
      </c>
    </row>
    <row r="694">
      <c r="A694" s="19" t="n"/>
      <c r="F694" s="20" t="n"/>
      <c r="Q694" s="10">
        <f>IF(E694="USD",CONFIG!$B$5,1)</f>
        <v/>
      </c>
      <c r="R694">
        <f>IF(AND(A694&lt;&gt;"",ISNUMBER(A694),B694&lt;&gt;"",C694&lt;&gt;"",OR(E694="USD",E694="CRC"),F694&gt;0,ISNUMBER(Q694),Q694&gt;0),"✓ OK","✗ ERROR: Revisa datos")</f>
        <v/>
      </c>
    </row>
    <row r="695">
      <c r="A695" s="19" t="n"/>
      <c r="F695" s="20" t="n"/>
      <c r="Q695" s="10">
        <f>IF(E695="USD",CONFIG!$B$5,1)</f>
        <v/>
      </c>
      <c r="R695">
        <f>IF(AND(A695&lt;&gt;"",ISNUMBER(A695),B695&lt;&gt;"",C695&lt;&gt;"",OR(E695="USD",E695="CRC"),F695&gt;0,ISNUMBER(Q695),Q695&gt;0),"✓ OK","✗ ERROR: Revisa datos")</f>
        <v/>
      </c>
    </row>
    <row r="696">
      <c r="A696" s="19" t="n"/>
      <c r="F696" s="20" t="n"/>
      <c r="Q696" s="10">
        <f>IF(E696="USD",CONFIG!$B$5,1)</f>
        <v/>
      </c>
      <c r="R696">
        <f>IF(AND(A696&lt;&gt;"",ISNUMBER(A696),B696&lt;&gt;"",C696&lt;&gt;"",OR(E696="USD",E696="CRC"),F696&gt;0,ISNUMBER(Q696),Q696&gt;0),"✓ OK","✗ ERROR: Revisa datos")</f>
        <v/>
      </c>
    </row>
    <row r="697">
      <c r="A697" s="19" t="n"/>
      <c r="F697" s="20" t="n"/>
      <c r="Q697" s="10">
        <f>IF(E697="USD",CONFIG!$B$5,1)</f>
        <v/>
      </c>
      <c r="R697">
        <f>IF(AND(A697&lt;&gt;"",ISNUMBER(A697),B697&lt;&gt;"",C697&lt;&gt;"",OR(E697="USD",E697="CRC"),F697&gt;0,ISNUMBER(Q697),Q697&gt;0),"✓ OK","✗ ERROR: Revisa datos")</f>
        <v/>
      </c>
    </row>
    <row r="698">
      <c r="A698" s="19" t="n"/>
      <c r="F698" s="20" t="n"/>
      <c r="Q698" s="10">
        <f>IF(E698="USD",CONFIG!$B$5,1)</f>
        <v/>
      </c>
      <c r="R698">
        <f>IF(AND(A698&lt;&gt;"",ISNUMBER(A698),B698&lt;&gt;"",C698&lt;&gt;"",OR(E698="USD",E698="CRC"),F698&gt;0,ISNUMBER(Q698),Q698&gt;0),"✓ OK","✗ ERROR: Revisa datos")</f>
        <v/>
      </c>
    </row>
    <row r="699">
      <c r="A699" s="19" t="n"/>
      <c r="F699" s="20" t="n"/>
      <c r="Q699" s="10">
        <f>IF(E699="USD",CONFIG!$B$5,1)</f>
        <v/>
      </c>
      <c r="R699">
        <f>IF(AND(A699&lt;&gt;"",ISNUMBER(A699),B699&lt;&gt;"",C699&lt;&gt;"",OR(E699="USD",E699="CRC"),F699&gt;0,ISNUMBER(Q699),Q699&gt;0),"✓ OK","✗ ERROR: Revisa datos")</f>
        <v/>
      </c>
    </row>
    <row r="700">
      <c r="A700" s="19" t="n"/>
      <c r="F700" s="20" t="n"/>
      <c r="Q700" s="10">
        <f>IF(E700="USD",CONFIG!$B$5,1)</f>
        <v/>
      </c>
      <c r="R700">
        <f>IF(AND(A700&lt;&gt;"",ISNUMBER(A700),B700&lt;&gt;"",C700&lt;&gt;"",OR(E700="USD",E700="CRC"),F700&gt;0,ISNUMBER(Q700),Q700&gt;0),"✓ OK","✗ ERROR: Revisa datos")</f>
        <v/>
      </c>
    </row>
    <row r="701">
      <c r="A701" s="19" t="n"/>
      <c r="F701" s="20" t="n"/>
      <c r="Q701" s="10">
        <f>IF(E701="USD",CONFIG!$B$5,1)</f>
        <v/>
      </c>
      <c r="R701">
        <f>IF(AND(A701&lt;&gt;"",ISNUMBER(A701),B701&lt;&gt;"",C701&lt;&gt;"",OR(E701="USD",E701="CRC"),F701&gt;0,ISNUMBER(Q701),Q701&gt;0),"✓ OK","✗ ERROR: Revisa datos")</f>
        <v/>
      </c>
    </row>
    <row r="702">
      <c r="A702" s="19" t="n"/>
      <c r="F702" s="20" t="n"/>
      <c r="Q702" s="10">
        <f>IF(E702="USD",CONFIG!$B$5,1)</f>
        <v/>
      </c>
      <c r="R702">
        <f>IF(AND(A702&lt;&gt;"",ISNUMBER(A702),B702&lt;&gt;"",C702&lt;&gt;"",OR(E702="USD",E702="CRC"),F702&gt;0,ISNUMBER(Q702),Q702&gt;0),"✓ OK","✗ ERROR: Revisa datos")</f>
        <v/>
      </c>
    </row>
    <row r="703">
      <c r="A703" s="19" t="n"/>
      <c r="F703" s="20" t="n"/>
      <c r="Q703" s="10">
        <f>IF(E703="USD",CONFIG!$B$5,1)</f>
        <v/>
      </c>
      <c r="R703">
        <f>IF(AND(A703&lt;&gt;"",ISNUMBER(A703),B703&lt;&gt;"",C703&lt;&gt;"",OR(E703="USD",E703="CRC"),F703&gt;0,ISNUMBER(Q703),Q703&gt;0),"✓ OK","✗ ERROR: Revisa datos")</f>
        <v/>
      </c>
    </row>
    <row r="704">
      <c r="A704" s="19" t="n"/>
      <c r="F704" s="20" t="n"/>
      <c r="Q704" s="10">
        <f>IF(E704="USD",CONFIG!$B$5,1)</f>
        <v/>
      </c>
      <c r="R704">
        <f>IF(AND(A704&lt;&gt;"",ISNUMBER(A704),B704&lt;&gt;"",C704&lt;&gt;"",OR(E704="USD",E704="CRC"),F704&gt;0,ISNUMBER(Q704),Q704&gt;0),"✓ OK","✗ ERROR: Revisa datos")</f>
        <v/>
      </c>
    </row>
    <row r="705">
      <c r="A705" s="19" t="n"/>
      <c r="F705" s="20" t="n"/>
      <c r="Q705" s="10">
        <f>IF(E705="USD",CONFIG!$B$5,1)</f>
        <v/>
      </c>
      <c r="R705">
        <f>IF(AND(A705&lt;&gt;"",ISNUMBER(A705),B705&lt;&gt;"",C705&lt;&gt;"",OR(E705="USD",E705="CRC"),F705&gt;0,ISNUMBER(Q705),Q705&gt;0),"✓ OK","✗ ERROR: Revisa datos")</f>
        <v/>
      </c>
    </row>
    <row r="706">
      <c r="A706" s="19" t="n"/>
      <c r="F706" s="20" t="n"/>
      <c r="Q706" s="10">
        <f>IF(E706="USD",CONFIG!$B$5,1)</f>
        <v/>
      </c>
      <c r="R706">
        <f>IF(AND(A706&lt;&gt;"",ISNUMBER(A706),B706&lt;&gt;"",C706&lt;&gt;"",OR(E706="USD",E706="CRC"),F706&gt;0,ISNUMBER(Q706),Q706&gt;0),"✓ OK","✗ ERROR: Revisa datos")</f>
        <v/>
      </c>
    </row>
    <row r="707">
      <c r="A707" s="19" t="n"/>
      <c r="F707" s="20" t="n"/>
      <c r="Q707" s="10">
        <f>IF(E707="USD",CONFIG!$B$5,1)</f>
        <v/>
      </c>
      <c r="R707">
        <f>IF(AND(A707&lt;&gt;"",ISNUMBER(A707),B707&lt;&gt;"",C707&lt;&gt;"",OR(E707="USD",E707="CRC"),F707&gt;0,ISNUMBER(Q707),Q707&gt;0),"✓ OK","✗ ERROR: Revisa datos")</f>
        <v/>
      </c>
    </row>
    <row r="708">
      <c r="A708" s="19" t="n"/>
      <c r="F708" s="20" t="n"/>
      <c r="Q708" s="10">
        <f>IF(E708="USD",CONFIG!$B$5,1)</f>
        <v/>
      </c>
      <c r="R708">
        <f>IF(AND(A708&lt;&gt;"",ISNUMBER(A708),B708&lt;&gt;"",C708&lt;&gt;"",OR(E708="USD",E708="CRC"),F708&gt;0,ISNUMBER(Q708),Q708&gt;0),"✓ OK","✗ ERROR: Revisa datos")</f>
        <v/>
      </c>
    </row>
    <row r="709">
      <c r="A709" s="19" t="n"/>
      <c r="F709" s="20" t="n"/>
      <c r="Q709" s="10">
        <f>IF(E709="USD",CONFIG!$B$5,1)</f>
        <v/>
      </c>
      <c r="R709">
        <f>IF(AND(A709&lt;&gt;"",ISNUMBER(A709),B709&lt;&gt;"",C709&lt;&gt;"",OR(E709="USD",E709="CRC"),F709&gt;0,ISNUMBER(Q709),Q709&gt;0),"✓ OK","✗ ERROR: Revisa datos")</f>
        <v/>
      </c>
    </row>
    <row r="710">
      <c r="A710" s="19" t="n"/>
      <c r="F710" s="20" t="n"/>
      <c r="Q710" s="10">
        <f>IF(E710="USD",CONFIG!$B$5,1)</f>
        <v/>
      </c>
      <c r="R710">
        <f>IF(AND(A710&lt;&gt;"",ISNUMBER(A710),B710&lt;&gt;"",C710&lt;&gt;"",OR(E710="USD",E710="CRC"),F710&gt;0,ISNUMBER(Q710),Q710&gt;0),"✓ OK","✗ ERROR: Revisa datos")</f>
        <v/>
      </c>
    </row>
    <row r="711">
      <c r="A711" s="19" t="n"/>
      <c r="F711" s="20" t="n"/>
      <c r="Q711" s="10">
        <f>IF(E711="USD",CONFIG!$B$5,1)</f>
        <v/>
      </c>
      <c r="R711">
        <f>IF(AND(A711&lt;&gt;"",ISNUMBER(A711),B711&lt;&gt;"",C711&lt;&gt;"",OR(E711="USD",E711="CRC"),F711&gt;0,ISNUMBER(Q711),Q711&gt;0),"✓ OK","✗ ERROR: Revisa datos")</f>
        <v/>
      </c>
    </row>
    <row r="712">
      <c r="A712" s="19" t="n"/>
      <c r="F712" s="20" t="n"/>
      <c r="Q712" s="10">
        <f>IF(E712="USD",CONFIG!$B$5,1)</f>
        <v/>
      </c>
      <c r="R712">
        <f>IF(AND(A712&lt;&gt;"",ISNUMBER(A712),B712&lt;&gt;"",C712&lt;&gt;"",OR(E712="USD",E712="CRC"),F712&gt;0,ISNUMBER(Q712),Q712&gt;0),"✓ OK","✗ ERROR: Revisa datos")</f>
        <v/>
      </c>
    </row>
    <row r="713">
      <c r="A713" s="19" t="n"/>
      <c r="F713" s="20" t="n"/>
      <c r="Q713" s="10">
        <f>IF(E713="USD",CONFIG!$B$5,1)</f>
        <v/>
      </c>
      <c r="R713">
        <f>IF(AND(A713&lt;&gt;"",ISNUMBER(A713),B713&lt;&gt;"",C713&lt;&gt;"",OR(E713="USD",E713="CRC"),F713&gt;0,ISNUMBER(Q713),Q713&gt;0),"✓ OK","✗ ERROR: Revisa datos")</f>
        <v/>
      </c>
    </row>
    <row r="714">
      <c r="A714" s="19" t="n"/>
      <c r="F714" s="20" t="n"/>
      <c r="Q714" s="10">
        <f>IF(E714="USD",CONFIG!$B$5,1)</f>
        <v/>
      </c>
      <c r="R714">
        <f>IF(AND(A714&lt;&gt;"",ISNUMBER(A714),B714&lt;&gt;"",C714&lt;&gt;"",OR(E714="USD",E714="CRC"),F714&gt;0,ISNUMBER(Q714),Q714&gt;0),"✓ OK","✗ ERROR: Revisa datos")</f>
        <v/>
      </c>
    </row>
    <row r="715">
      <c r="A715" s="19" t="n"/>
      <c r="F715" s="20" t="n"/>
      <c r="Q715" s="10">
        <f>IF(E715="USD",CONFIG!$B$5,1)</f>
        <v/>
      </c>
      <c r="R715">
        <f>IF(AND(A715&lt;&gt;"",ISNUMBER(A715),B715&lt;&gt;"",C715&lt;&gt;"",OR(E715="USD",E715="CRC"),F715&gt;0,ISNUMBER(Q715),Q715&gt;0),"✓ OK","✗ ERROR: Revisa datos")</f>
        <v/>
      </c>
    </row>
    <row r="716">
      <c r="A716" s="19" t="n"/>
      <c r="F716" s="20" t="n"/>
      <c r="Q716" s="10">
        <f>IF(E716="USD",CONFIG!$B$5,1)</f>
        <v/>
      </c>
      <c r="R716">
        <f>IF(AND(A716&lt;&gt;"",ISNUMBER(A716),B716&lt;&gt;"",C716&lt;&gt;"",OR(E716="USD",E716="CRC"),F716&gt;0,ISNUMBER(Q716),Q716&gt;0),"✓ OK","✗ ERROR: Revisa datos")</f>
        <v/>
      </c>
    </row>
    <row r="717">
      <c r="A717" s="19" t="n"/>
      <c r="F717" s="20" t="n"/>
      <c r="Q717" s="10">
        <f>IF(E717="USD",CONFIG!$B$5,1)</f>
        <v/>
      </c>
      <c r="R717">
        <f>IF(AND(A717&lt;&gt;"",ISNUMBER(A717),B717&lt;&gt;"",C717&lt;&gt;"",OR(E717="USD",E717="CRC"),F717&gt;0,ISNUMBER(Q717),Q717&gt;0),"✓ OK","✗ ERROR: Revisa datos")</f>
        <v/>
      </c>
    </row>
    <row r="718">
      <c r="A718" s="19" t="n"/>
      <c r="F718" s="20" t="n"/>
      <c r="Q718" s="10">
        <f>IF(E718="USD",CONFIG!$B$5,1)</f>
        <v/>
      </c>
      <c r="R718">
        <f>IF(AND(A718&lt;&gt;"",ISNUMBER(A718),B718&lt;&gt;"",C718&lt;&gt;"",OR(E718="USD",E718="CRC"),F718&gt;0,ISNUMBER(Q718),Q718&gt;0),"✓ OK","✗ ERROR: Revisa datos")</f>
        <v/>
      </c>
    </row>
    <row r="719">
      <c r="A719" s="19" t="n"/>
      <c r="F719" s="20" t="n"/>
      <c r="Q719" s="10">
        <f>IF(E719="USD",CONFIG!$B$5,1)</f>
        <v/>
      </c>
      <c r="R719">
        <f>IF(AND(A719&lt;&gt;"",ISNUMBER(A719),B719&lt;&gt;"",C719&lt;&gt;"",OR(E719="USD",E719="CRC"),F719&gt;0,ISNUMBER(Q719),Q719&gt;0),"✓ OK","✗ ERROR: Revisa datos")</f>
        <v/>
      </c>
    </row>
    <row r="720">
      <c r="A720" s="19" t="n"/>
      <c r="F720" s="20" t="n"/>
      <c r="Q720" s="10">
        <f>IF(E720="USD",CONFIG!$B$5,1)</f>
        <v/>
      </c>
      <c r="R720">
        <f>IF(AND(A720&lt;&gt;"",ISNUMBER(A720),B720&lt;&gt;"",C720&lt;&gt;"",OR(E720="USD",E720="CRC"),F720&gt;0,ISNUMBER(Q720),Q720&gt;0),"✓ OK","✗ ERROR: Revisa datos")</f>
        <v/>
      </c>
    </row>
    <row r="721">
      <c r="A721" s="19" t="n"/>
      <c r="F721" s="20" t="n"/>
      <c r="Q721" s="10">
        <f>IF(E721="USD",CONFIG!$B$5,1)</f>
        <v/>
      </c>
      <c r="R721">
        <f>IF(AND(A721&lt;&gt;"",ISNUMBER(A721),B721&lt;&gt;"",C721&lt;&gt;"",OR(E721="USD",E721="CRC"),F721&gt;0,ISNUMBER(Q721),Q721&gt;0),"✓ OK","✗ ERROR: Revisa datos")</f>
        <v/>
      </c>
    </row>
    <row r="722">
      <c r="A722" s="19" t="n"/>
      <c r="F722" s="20" t="n"/>
      <c r="Q722" s="10">
        <f>IF(E722="USD",CONFIG!$B$5,1)</f>
        <v/>
      </c>
      <c r="R722">
        <f>IF(AND(A722&lt;&gt;"",ISNUMBER(A722),B722&lt;&gt;"",C722&lt;&gt;"",OR(E722="USD",E722="CRC"),F722&gt;0,ISNUMBER(Q722),Q722&gt;0),"✓ OK","✗ ERROR: Revisa datos")</f>
        <v/>
      </c>
    </row>
    <row r="723">
      <c r="A723" s="19" t="n"/>
      <c r="F723" s="20" t="n"/>
      <c r="Q723" s="10">
        <f>IF(E723="USD",CONFIG!$B$5,1)</f>
        <v/>
      </c>
      <c r="R723">
        <f>IF(AND(A723&lt;&gt;"",ISNUMBER(A723),B723&lt;&gt;"",C723&lt;&gt;"",OR(E723="USD",E723="CRC"),F723&gt;0,ISNUMBER(Q723),Q723&gt;0),"✓ OK","✗ ERROR: Revisa datos")</f>
        <v/>
      </c>
    </row>
    <row r="724">
      <c r="A724" s="19" t="n"/>
      <c r="F724" s="20" t="n"/>
      <c r="Q724" s="10">
        <f>IF(E724="USD",CONFIG!$B$5,1)</f>
        <v/>
      </c>
      <c r="R724">
        <f>IF(AND(A724&lt;&gt;"",ISNUMBER(A724),B724&lt;&gt;"",C724&lt;&gt;"",OR(E724="USD",E724="CRC"),F724&gt;0,ISNUMBER(Q724),Q724&gt;0),"✓ OK","✗ ERROR: Revisa datos")</f>
        <v/>
      </c>
    </row>
    <row r="725">
      <c r="A725" s="19" t="n"/>
      <c r="F725" s="20" t="n"/>
      <c r="Q725" s="10">
        <f>IF(E725="USD",CONFIG!$B$5,1)</f>
        <v/>
      </c>
      <c r="R725">
        <f>IF(AND(A725&lt;&gt;"",ISNUMBER(A725),B725&lt;&gt;"",C725&lt;&gt;"",OR(E725="USD",E725="CRC"),F725&gt;0,ISNUMBER(Q725),Q725&gt;0),"✓ OK","✗ ERROR: Revisa datos")</f>
        <v/>
      </c>
    </row>
    <row r="726">
      <c r="A726" s="19" t="n"/>
      <c r="F726" s="20" t="n"/>
      <c r="Q726" s="10">
        <f>IF(E726="USD",CONFIG!$B$5,1)</f>
        <v/>
      </c>
      <c r="R726">
        <f>IF(AND(A726&lt;&gt;"",ISNUMBER(A726),B726&lt;&gt;"",C726&lt;&gt;"",OR(E726="USD",E726="CRC"),F726&gt;0,ISNUMBER(Q726),Q726&gt;0),"✓ OK","✗ ERROR: Revisa datos")</f>
        <v/>
      </c>
    </row>
    <row r="727">
      <c r="A727" s="19" t="n"/>
      <c r="F727" s="20" t="n"/>
      <c r="Q727" s="10">
        <f>IF(E727="USD",CONFIG!$B$5,1)</f>
        <v/>
      </c>
      <c r="R727">
        <f>IF(AND(A727&lt;&gt;"",ISNUMBER(A727),B727&lt;&gt;"",C727&lt;&gt;"",OR(E727="USD",E727="CRC"),F727&gt;0,ISNUMBER(Q727),Q727&gt;0),"✓ OK","✗ ERROR: Revisa datos")</f>
        <v/>
      </c>
    </row>
    <row r="728">
      <c r="A728" s="19" t="n"/>
      <c r="F728" s="20" t="n"/>
      <c r="Q728" s="10">
        <f>IF(E728="USD",CONFIG!$B$5,1)</f>
        <v/>
      </c>
      <c r="R728">
        <f>IF(AND(A728&lt;&gt;"",ISNUMBER(A728),B728&lt;&gt;"",C728&lt;&gt;"",OR(E728="USD",E728="CRC"),F728&gt;0,ISNUMBER(Q728),Q728&gt;0),"✓ OK","✗ ERROR: Revisa datos")</f>
        <v/>
      </c>
    </row>
    <row r="729">
      <c r="A729" s="19" t="n"/>
      <c r="F729" s="20" t="n"/>
      <c r="Q729" s="10">
        <f>IF(E729="USD",CONFIG!$B$5,1)</f>
        <v/>
      </c>
      <c r="R729">
        <f>IF(AND(A729&lt;&gt;"",ISNUMBER(A729),B729&lt;&gt;"",C729&lt;&gt;"",OR(E729="USD",E729="CRC"),F729&gt;0,ISNUMBER(Q729),Q729&gt;0),"✓ OK","✗ ERROR: Revisa datos")</f>
        <v/>
      </c>
    </row>
    <row r="730">
      <c r="A730" s="19" t="n"/>
      <c r="F730" s="20" t="n"/>
      <c r="Q730" s="10">
        <f>IF(E730="USD",CONFIG!$B$5,1)</f>
        <v/>
      </c>
      <c r="R730">
        <f>IF(AND(A730&lt;&gt;"",ISNUMBER(A730),B730&lt;&gt;"",C730&lt;&gt;"",OR(E730="USD",E730="CRC"),F730&gt;0,ISNUMBER(Q730),Q730&gt;0),"✓ OK","✗ ERROR: Revisa datos")</f>
        <v/>
      </c>
    </row>
    <row r="731">
      <c r="A731" s="19" t="n"/>
      <c r="F731" s="20" t="n"/>
      <c r="Q731" s="10">
        <f>IF(E731="USD",CONFIG!$B$5,1)</f>
        <v/>
      </c>
      <c r="R731">
        <f>IF(AND(A731&lt;&gt;"",ISNUMBER(A731),B731&lt;&gt;"",C731&lt;&gt;"",OR(E731="USD",E731="CRC"),F731&gt;0,ISNUMBER(Q731),Q731&gt;0),"✓ OK","✗ ERROR: Revisa datos")</f>
        <v/>
      </c>
    </row>
    <row r="732">
      <c r="A732" s="19" t="n"/>
      <c r="F732" s="20" t="n"/>
      <c r="Q732" s="10">
        <f>IF(E732="USD",CONFIG!$B$5,1)</f>
        <v/>
      </c>
      <c r="R732">
        <f>IF(AND(A732&lt;&gt;"",ISNUMBER(A732),B732&lt;&gt;"",C732&lt;&gt;"",OR(E732="USD",E732="CRC"),F732&gt;0,ISNUMBER(Q732),Q732&gt;0),"✓ OK","✗ ERROR: Revisa datos")</f>
        <v/>
      </c>
    </row>
    <row r="733">
      <c r="A733" s="19" t="n"/>
      <c r="F733" s="20" t="n"/>
      <c r="Q733" s="10">
        <f>IF(E733="USD",CONFIG!$B$5,1)</f>
        <v/>
      </c>
      <c r="R733">
        <f>IF(AND(A733&lt;&gt;"",ISNUMBER(A733),B733&lt;&gt;"",C733&lt;&gt;"",OR(E733="USD",E733="CRC"),F733&gt;0,ISNUMBER(Q733),Q733&gt;0),"✓ OK","✗ ERROR: Revisa datos")</f>
        <v/>
      </c>
    </row>
    <row r="734">
      <c r="A734" s="19" t="n"/>
      <c r="F734" s="20" t="n"/>
      <c r="Q734" s="10">
        <f>IF(E734="USD",CONFIG!$B$5,1)</f>
        <v/>
      </c>
      <c r="R734">
        <f>IF(AND(A734&lt;&gt;"",ISNUMBER(A734),B734&lt;&gt;"",C734&lt;&gt;"",OR(E734="USD",E734="CRC"),F734&gt;0,ISNUMBER(Q734),Q734&gt;0),"✓ OK","✗ ERROR: Revisa datos")</f>
        <v/>
      </c>
    </row>
    <row r="735">
      <c r="A735" s="19" t="n"/>
      <c r="F735" s="20" t="n"/>
      <c r="Q735" s="10">
        <f>IF(E735="USD",CONFIG!$B$5,1)</f>
        <v/>
      </c>
      <c r="R735">
        <f>IF(AND(A735&lt;&gt;"",ISNUMBER(A735),B735&lt;&gt;"",C735&lt;&gt;"",OR(E735="USD",E735="CRC"),F735&gt;0,ISNUMBER(Q735),Q735&gt;0),"✓ OK","✗ ERROR: Revisa datos")</f>
        <v/>
      </c>
    </row>
    <row r="736">
      <c r="A736" s="19" t="n"/>
      <c r="F736" s="20" t="n"/>
      <c r="Q736" s="10">
        <f>IF(E736="USD",CONFIG!$B$5,1)</f>
        <v/>
      </c>
      <c r="R736">
        <f>IF(AND(A736&lt;&gt;"",ISNUMBER(A736),B736&lt;&gt;"",C736&lt;&gt;"",OR(E736="USD",E736="CRC"),F736&gt;0,ISNUMBER(Q736),Q736&gt;0),"✓ OK","✗ ERROR: Revisa datos")</f>
        <v/>
      </c>
    </row>
    <row r="737">
      <c r="A737" s="19" t="n"/>
      <c r="F737" s="20" t="n"/>
      <c r="Q737" s="10">
        <f>IF(E737="USD",CONFIG!$B$5,1)</f>
        <v/>
      </c>
      <c r="R737">
        <f>IF(AND(A737&lt;&gt;"",ISNUMBER(A737),B737&lt;&gt;"",C737&lt;&gt;"",OR(E737="USD",E737="CRC"),F737&gt;0,ISNUMBER(Q737),Q737&gt;0),"✓ OK","✗ ERROR: Revisa datos")</f>
        <v/>
      </c>
    </row>
    <row r="738">
      <c r="A738" s="19" t="n"/>
      <c r="F738" s="20" t="n"/>
      <c r="Q738" s="10">
        <f>IF(E738="USD",CONFIG!$B$5,1)</f>
        <v/>
      </c>
      <c r="R738">
        <f>IF(AND(A738&lt;&gt;"",ISNUMBER(A738),B738&lt;&gt;"",C738&lt;&gt;"",OR(E738="USD",E738="CRC"),F738&gt;0,ISNUMBER(Q738),Q738&gt;0),"✓ OK","✗ ERROR: Revisa datos")</f>
        <v/>
      </c>
    </row>
    <row r="739">
      <c r="A739" s="19" t="n"/>
      <c r="F739" s="20" t="n"/>
      <c r="Q739" s="10">
        <f>IF(E739="USD",CONFIG!$B$5,1)</f>
        <v/>
      </c>
      <c r="R739">
        <f>IF(AND(A739&lt;&gt;"",ISNUMBER(A739),B739&lt;&gt;"",C739&lt;&gt;"",OR(E739="USD",E739="CRC"),F739&gt;0,ISNUMBER(Q739),Q739&gt;0),"✓ OK","✗ ERROR: Revisa datos")</f>
        <v/>
      </c>
    </row>
    <row r="740">
      <c r="A740" s="19" t="n"/>
      <c r="F740" s="20" t="n"/>
      <c r="Q740" s="10">
        <f>IF(E740="USD",CONFIG!$B$5,1)</f>
        <v/>
      </c>
      <c r="R740">
        <f>IF(AND(A740&lt;&gt;"",ISNUMBER(A740),B740&lt;&gt;"",C740&lt;&gt;"",OR(E740="USD",E740="CRC"),F740&gt;0,ISNUMBER(Q740),Q740&gt;0),"✓ OK","✗ ERROR: Revisa datos")</f>
        <v/>
      </c>
    </row>
    <row r="741">
      <c r="A741" s="19" t="n"/>
      <c r="F741" s="20" t="n"/>
      <c r="Q741" s="10">
        <f>IF(E741="USD",CONFIG!$B$5,1)</f>
        <v/>
      </c>
      <c r="R741">
        <f>IF(AND(A741&lt;&gt;"",ISNUMBER(A741),B741&lt;&gt;"",C741&lt;&gt;"",OR(E741="USD",E741="CRC"),F741&gt;0,ISNUMBER(Q741),Q741&gt;0),"✓ OK","✗ ERROR: Revisa datos")</f>
        <v/>
      </c>
    </row>
    <row r="742">
      <c r="A742" s="19" t="n"/>
      <c r="F742" s="20" t="n"/>
      <c r="Q742" s="10">
        <f>IF(E742="USD",CONFIG!$B$5,1)</f>
        <v/>
      </c>
      <c r="R742">
        <f>IF(AND(A742&lt;&gt;"",ISNUMBER(A742),B742&lt;&gt;"",C742&lt;&gt;"",OR(E742="USD",E742="CRC"),F742&gt;0,ISNUMBER(Q742),Q742&gt;0),"✓ OK","✗ ERROR: Revisa datos")</f>
        <v/>
      </c>
    </row>
    <row r="743">
      <c r="A743" s="19" t="n"/>
      <c r="F743" s="20" t="n"/>
      <c r="Q743" s="10">
        <f>IF(E743="USD",CONFIG!$B$5,1)</f>
        <v/>
      </c>
      <c r="R743">
        <f>IF(AND(A743&lt;&gt;"",ISNUMBER(A743),B743&lt;&gt;"",C743&lt;&gt;"",OR(E743="USD",E743="CRC"),F743&gt;0,ISNUMBER(Q743),Q743&gt;0),"✓ OK","✗ ERROR: Revisa datos")</f>
        <v/>
      </c>
    </row>
    <row r="744">
      <c r="A744" s="19" t="n"/>
      <c r="F744" s="20" t="n"/>
      <c r="Q744" s="10">
        <f>IF(E744="USD",CONFIG!$B$5,1)</f>
        <v/>
      </c>
      <c r="R744">
        <f>IF(AND(A744&lt;&gt;"",ISNUMBER(A744),B744&lt;&gt;"",C744&lt;&gt;"",OR(E744="USD",E744="CRC"),F744&gt;0,ISNUMBER(Q744),Q744&gt;0),"✓ OK","✗ ERROR: Revisa datos")</f>
        <v/>
      </c>
    </row>
    <row r="745">
      <c r="A745" s="19" t="n"/>
      <c r="F745" s="20" t="n"/>
      <c r="Q745" s="10">
        <f>IF(E745="USD",CONFIG!$B$5,1)</f>
        <v/>
      </c>
      <c r="R745">
        <f>IF(AND(A745&lt;&gt;"",ISNUMBER(A745),B745&lt;&gt;"",C745&lt;&gt;"",OR(E745="USD",E745="CRC"),F745&gt;0,ISNUMBER(Q745),Q745&gt;0),"✓ OK","✗ ERROR: Revisa datos")</f>
        <v/>
      </c>
    </row>
    <row r="746">
      <c r="A746" s="19" t="n"/>
      <c r="F746" s="20" t="n"/>
      <c r="Q746" s="10">
        <f>IF(E746="USD",CONFIG!$B$5,1)</f>
        <v/>
      </c>
      <c r="R746">
        <f>IF(AND(A746&lt;&gt;"",ISNUMBER(A746),B746&lt;&gt;"",C746&lt;&gt;"",OR(E746="USD",E746="CRC"),F746&gt;0,ISNUMBER(Q746),Q746&gt;0),"✓ OK","✗ ERROR: Revisa datos")</f>
        <v/>
      </c>
    </row>
    <row r="747">
      <c r="A747" s="19" t="n"/>
      <c r="F747" s="20" t="n"/>
      <c r="Q747" s="10">
        <f>IF(E747="USD",CONFIG!$B$5,1)</f>
        <v/>
      </c>
      <c r="R747">
        <f>IF(AND(A747&lt;&gt;"",ISNUMBER(A747),B747&lt;&gt;"",C747&lt;&gt;"",OR(E747="USD",E747="CRC"),F747&gt;0,ISNUMBER(Q747),Q747&gt;0),"✓ OK","✗ ERROR: Revisa datos")</f>
        <v/>
      </c>
    </row>
    <row r="748">
      <c r="A748" s="19" t="n"/>
      <c r="F748" s="20" t="n"/>
      <c r="Q748" s="10">
        <f>IF(E748="USD",CONFIG!$B$5,1)</f>
        <v/>
      </c>
      <c r="R748">
        <f>IF(AND(A748&lt;&gt;"",ISNUMBER(A748),B748&lt;&gt;"",C748&lt;&gt;"",OR(E748="USD",E748="CRC"),F748&gt;0,ISNUMBER(Q748),Q748&gt;0),"✓ OK","✗ ERROR: Revisa datos")</f>
        <v/>
      </c>
    </row>
    <row r="749">
      <c r="A749" s="19" t="n"/>
      <c r="F749" s="20" t="n"/>
      <c r="Q749" s="10">
        <f>IF(E749="USD",CONFIG!$B$5,1)</f>
        <v/>
      </c>
      <c r="R749">
        <f>IF(AND(A749&lt;&gt;"",ISNUMBER(A749),B749&lt;&gt;"",C749&lt;&gt;"",OR(E749="USD",E749="CRC"),F749&gt;0,ISNUMBER(Q749),Q749&gt;0),"✓ OK","✗ ERROR: Revisa datos")</f>
        <v/>
      </c>
    </row>
    <row r="750">
      <c r="A750" s="19" t="n"/>
      <c r="F750" s="20" t="n"/>
      <c r="Q750" s="10">
        <f>IF(E750="USD",CONFIG!$B$5,1)</f>
        <v/>
      </c>
      <c r="R750">
        <f>IF(AND(A750&lt;&gt;"",ISNUMBER(A750),B750&lt;&gt;"",C750&lt;&gt;"",OR(E750="USD",E750="CRC"),F750&gt;0,ISNUMBER(Q750),Q750&gt;0),"✓ OK","✗ ERROR: Revisa datos")</f>
        <v/>
      </c>
    </row>
    <row r="751">
      <c r="A751" s="19" t="n"/>
      <c r="F751" s="20" t="n"/>
      <c r="Q751" s="10">
        <f>IF(E751="USD",CONFIG!$B$5,1)</f>
        <v/>
      </c>
      <c r="R751">
        <f>IF(AND(A751&lt;&gt;"",ISNUMBER(A751),B751&lt;&gt;"",C751&lt;&gt;"",OR(E751="USD",E751="CRC"),F751&gt;0,ISNUMBER(Q751),Q751&gt;0),"✓ OK","✗ ERROR: Revisa datos")</f>
        <v/>
      </c>
    </row>
    <row r="752">
      <c r="A752" s="19" t="n"/>
      <c r="F752" s="20" t="n"/>
      <c r="Q752" s="10">
        <f>IF(E752="USD",CONFIG!$B$5,1)</f>
        <v/>
      </c>
      <c r="R752">
        <f>IF(AND(A752&lt;&gt;"",ISNUMBER(A752),B752&lt;&gt;"",C752&lt;&gt;"",OR(E752="USD",E752="CRC"),F752&gt;0,ISNUMBER(Q752),Q752&gt;0),"✓ OK","✗ ERROR: Revisa datos")</f>
        <v/>
      </c>
    </row>
    <row r="753">
      <c r="A753" s="19" t="n"/>
      <c r="F753" s="20" t="n"/>
      <c r="Q753" s="10">
        <f>IF(E753="USD",CONFIG!$B$5,1)</f>
        <v/>
      </c>
      <c r="R753">
        <f>IF(AND(A753&lt;&gt;"",ISNUMBER(A753),B753&lt;&gt;"",C753&lt;&gt;"",OR(E753="USD",E753="CRC"),F753&gt;0,ISNUMBER(Q753),Q753&gt;0),"✓ OK","✗ ERROR: Revisa datos")</f>
        <v/>
      </c>
    </row>
    <row r="754">
      <c r="A754" s="19" t="n"/>
      <c r="F754" s="20" t="n"/>
      <c r="Q754" s="10">
        <f>IF(E754="USD",CONFIG!$B$5,1)</f>
        <v/>
      </c>
      <c r="R754">
        <f>IF(AND(A754&lt;&gt;"",ISNUMBER(A754),B754&lt;&gt;"",C754&lt;&gt;"",OR(E754="USD",E754="CRC"),F754&gt;0,ISNUMBER(Q754),Q754&gt;0),"✓ OK","✗ ERROR: Revisa datos")</f>
        <v/>
      </c>
    </row>
    <row r="755">
      <c r="A755" s="19" t="n"/>
      <c r="F755" s="20" t="n"/>
      <c r="Q755" s="10">
        <f>IF(E755="USD",CONFIG!$B$5,1)</f>
        <v/>
      </c>
      <c r="R755">
        <f>IF(AND(A755&lt;&gt;"",ISNUMBER(A755),B755&lt;&gt;"",C755&lt;&gt;"",OR(E755="USD",E755="CRC"),F755&gt;0,ISNUMBER(Q755),Q755&gt;0),"✓ OK","✗ ERROR: Revisa datos")</f>
        <v/>
      </c>
    </row>
    <row r="756">
      <c r="A756" s="19" t="n"/>
      <c r="F756" s="20" t="n"/>
      <c r="Q756" s="10">
        <f>IF(E756="USD",CONFIG!$B$5,1)</f>
        <v/>
      </c>
      <c r="R756">
        <f>IF(AND(A756&lt;&gt;"",ISNUMBER(A756),B756&lt;&gt;"",C756&lt;&gt;"",OR(E756="USD",E756="CRC"),F756&gt;0,ISNUMBER(Q756),Q756&gt;0),"✓ OK","✗ ERROR: Revisa datos")</f>
        <v/>
      </c>
    </row>
    <row r="757">
      <c r="A757" s="19" t="n"/>
      <c r="F757" s="20" t="n"/>
      <c r="Q757" s="10">
        <f>IF(E757="USD",CONFIG!$B$5,1)</f>
        <v/>
      </c>
      <c r="R757">
        <f>IF(AND(A757&lt;&gt;"",ISNUMBER(A757),B757&lt;&gt;"",C757&lt;&gt;"",OR(E757="USD",E757="CRC"),F757&gt;0,ISNUMBER(Q757),Q757&gt;0),"✓ OK","✗ ERROR: Revisa datos")</f>
        <v/>
      </c>
    </row>
    <row r="758">
      <c r="A758" s="19" t="n"/>
      <c r="F758" s="20" t="n"/>
      <c r="Q758" s="10">
        <f>IF(E758="USD",CONFIG!$B$5,1)</f>
        <v/>
      </c>
      <c r="R758">
        <f>IF(AND(A758&lt;&gt;"",ISNUMBER(A758),B758&lt;&gt;"",C758&lt;&gt;"",OR(E758="USD",E758="CRC"),F758&gt;0,ISNUMBER(Q758),Q758&gt;0),"✓ OK","✗ ERROR: Revisa datos")</f>
        <v/>
      </c>
    </row>
    <row r="759">
      <c r="A759" s="19" t="n"/>
      <c r="F759" s="20" t="n"/>
      <c r="Q759" s="10">
        <f>IF(E759="USD",CONFIG!$B$5,1)</f>
        <v/>
      </c>
      <c r="R759">
        <f>IF(AND(A759&lt;&gt;"",ISNUMBER(A759),B759&lt;&gt;"",C759&lt;&gt;"",OR(E759="USD",E759="CRC"),F759&gt;0,ISNUMBER(Q759),Q759&gt;0),"✓ OK","✗ ERROR: Revisa datos")</f>
        <v/>
      </c>
    </row>
    <row r="760">
      <c r="A760" s="19" t="n"/>
      <c r="F760" s="20" t="n"/>
      <c r="Q760" s="10">
        <f>IF(E760="USD",CONFIG!$B$5,1)</f>
        <v/>
      </c>
      <c r="R760">
        <f>IF(AND(A760&lt;&gt;"",ISNUMBER(A760),B760&lt;&gt;"",C760&lt;&gt;"",OR(E760="USD",E760="CRC"),F760&gt;0,ISNUMBER(Q760),Q760&gt;0),"✓ OK","✗ ERROR: Revisa datos")</f>
        <v/>
      </c>
    </row>
    <row r="761">
      <c r="A761" s="19" t="n"/>
      <c r="F761" s="20" t="n"/>
      <c r="Q761" s="10">
        <f>IF(E761="USD",CONFIG!$B$5,1)</f>
        <v/>
      </c>
      <c r="R761">
        <f>IF(AND(A761&lt;&gt;"",ISNUMBER(A761),B761&lt;&gt;"",C761&lt;&gt;"",OR(E761="USD",E761="CRC"),F761&gt;0,ISNUMBER(Q761),Q761&gt;0),"✓ OK","✗ ERROR: Revisa datos")</f>
        <v/>
      </c>
    </row>
    <row r="762">
      <c r="A762" s="19" t="n"/>
      <c r="F762" s="20" t="n"/>
      <c r="Q762" s="10">
        <f>IF(E762="USD",CONFIG!$B$5,1)</f>
        <v/>
      </c>
      <c r="R762">
        <f>IF(AND(A762&lt;&gt;"",ISNUMBER(A762),B762&lt;&gt;"",C762&lt;&gt;"",OR(E762="USD",E762="CRC"),F762&gt;0,ISNUMBER(Q762),Q762&gt;0),"✓ OK","✗ ERROR: Revisa datos")</f>
        <v/>
      </c>
    </row>
    <row r="763">
      <c r="A763" s="19" t="n"/>
      <c r="F763" s="20" t="n"/>
      <c r="Q763" s="10">
        <f>IF(E763="USD",CONFIG!$B$5,1)</f>
        <v/>
      </c>
      <c r="R763">
        <f>IF(AND(A763&lt;&gt;"",ISNUMBER(A763),B763&lt;&gt;"",C763&lt;&gt;"",OR(E763="USD",E763="CRC"),F763&gt;0,ISNUMBER(Q763),Q763&gt;0),"✓ OK","✗ ERROR: Revisa datos")</f>
        <v/>
      </c>
    </row>
    <row r="764">
      <c r="A764" s="19" t="n"/>
      <c r="F764" s="20" t="n"/>
      <c r="Q764" s="10">
        <f>IF(E764="USD",CONFIG!$B$5,1)</f>
        <v/>
      </c>
      <c r="R764">
        <f>IF(AND(A764&lt;&gt;"",ISNUMBER(A764),B764&lt;&gt;"",C764&lt;&gt;"",OR(E764="USD",E764="CRC"),F764&gt;0,ISNUMBER(Q764),Q764&gt;0),"✓ OK","✗ ERROR: Revisa datos")</f>
        <v/>
      </c>
    </row>
    <row r="765">
      <c r="A765" s="19" t="n"/>
      <c r="F765" s="20" t="n"/>
      <c r="Q765" s="10">
        <f>IF(E765="USD",CONFIG!$B$5,1)</f>
        <v/>
      </c>
      <c r="R765">
        <f>IF(AND(A765&lt;&gt;"",ISNUMBER(A765),B765&lt;&gt;"",C765&lt;&gt;"",OR(E765="USD",E765="CRC"),F765&gt;0,ISNUMBER(Q765),Q765&gt;0),"✓ OK","✗ ERROR: Revisa datos")</f>
        <v/>
      </c>
    </row>
    <row r="766">
      <c r="A766" s="19" t="n"/>
      <c r="F766" s="20" t="n"/>
      <c r="Q766" s="10">
        <f>IF(E766="USD",CONFIG!$B$5,1)</f>
        <v/>
      </c>
      <c r="R766">
        <f>IF(AND(A766&lt;&gt;"",ISNUMBER(A766),B766&lt;&gt;"",C766&lt;&gt;"",OR(E766="USD",E766="CRC"),F766&gt;0,ISNUMBER(Q766),Q766&gt;0),"✓ OK","✗ ERROR: Revisa datos")</f>
        <v/>
      </c>
    </row>
    <row r="767">
      <c r="A767" s="19" t="n"/>
      <c r="F767" s="20" t="n"/>
      <c r="Q767" s="10">
        <f>IF(E767="USD",CONFIG!$B$5,1)</f>
        <v/>
      </c>
      <c r="R767">
        <f>IF(AND(A767&lt;&gt;"",ISNUMBER(A767),B767&lt;&gt;"",C767&lt;&gt;"",OR(E767="USD",E767="CRC"),F767&gt;0,ISNUMBER(Q767),Q767&gt;0),"✓ OK","✗ ERROR: Revisa datos")</f>
        <v/>
      </c>
    </row>
    <row r="768">
      <c r="A768" s="19" t="n"/>
      <c r="F768" s="20" t="n"/>
      <c r="Q768" s="10">
        <f>IF(E768="USD",CONFIG!$B$5,1)</f>
        <v/>
      </c>
      <c r="R768">
        <f>IF(AND(A768&lt;&gt;"",ISNUMBER(A768),B768&lt;&gt;"",C768&lt;&gt;"",OR(E768="USD",E768="CRC"),F768&gt;0,ISNUMBER(Q768),Q768&gt;0),"✓ OK","✗ ERROR: Revisa datos")</f>
        <v/>
      </c>
    </row>
    <row r="769">
      <c r="A769" s="19" t="n"/>
      <c r="F769" s="20" t="n"/>
      <c r="Q769" s="10">
        <f>IF(E769="USD",CONFIG!$B$5,1)</f>
        <v/>
      </c>
      <c r="R769">
        <f>IF(AND(A769&lt;&gt;"",ISNUMBER(A769),B769&lt;&gt;"",C769&lt;&gt;"",OR(E769="USD",E769="CRC"),F769&gt;0,ISNUMBER(Q769),Q769&gt;0),"✓ OK","✗ ERROR: Revisa datos")</f>
        <v/>
      </c>
    </row>
    <row r="770">
      <c r="A770" s="19" t="n"/>
      <c r="F770" s="20" t="n"/>
      <c r="Q770" s="10">
        <f>IF(E770="USD",CONFIG!$B$5,1)</f>
        <v/>
      </c>
      <c r="R770">
        <f>IF(AND(A770&lt;&gt;"",ISNUMBER(A770),B770&lt;&gt;"",C770&lt;&gt;"",OR(E770="USD",E770="CRC"),F770&gt;0,ISNUMBER(Q770),Q770&gt;0),"✓ OK","✗ ERROR: Revisa datos")</f>
        <v/>
      </c>
    </row>
    <row r="771">
      <c r="A771" s="19" t="n"/>
      <c r="F771" s="20" t="n"/>
      <c r="Q771" s="10">
        <f>IF(E771="USD",CONFIG!$B$5,1)</f>
        <v/>
      </c>
      <c r="R771">
        <f>IF(AND(A771&lt;&gt;"",ISNUMBER(A771),B771&lt;&gt;"",C771&lt;&gt;"",OR(E771="USD",E771="CRC"),F771&gt;0,ISNUMBER(Q771),Q771&gt;0),"✓ OK","✗ ERROR: Revisa datos")</f>
        <v/>
      </c>
    </row>
    <row r="772">
      <c r="A772" s="19" t="n"/>
      <c r="F772" s="20" t="n"/>
      <c r="Q772" s="10">
        <f>IF(E772="USD",CONFIG!$B$5,1)</f>
        <v/>
      </c>
      <c r="R772">
        <f>IF(AND(A772&lt;&gt;"",ISNUMBER(A772),B772&lt;&gt;"",C772&lt;&gt;"",OR(E772="USD",E772="CRC"),F772&gt;0,ISNUMBER(Q772),Q772&gt;0),"✓ OK","✗ ERROR: Revisa datos")</f>
        <v/>
      </c>
    </row>
    <row r="773">
      <c r="A773" s="19" t="n"/>
      <c r="F773" s="20" t="n"/>
      <c r="Q773" s="10">
        <f>IF(E773="USD",CONFIG!$B$5,1)</f>
        <v/>
      </c>
      <c r="R773">
        <f>IF(AND(A773&lt;&gt;"",ISNUMBER(A773),B773&lt;&gt;"",C773&lt;&gt;"",OR(E773="USD",E773="CRC"),F773&gt;0,ISNUMBER(Q773),Q773&gt;0),"✓ OK","✗ ERROR: Revisa datos")</f>
        <v/>
      </c>
    </row>
    <row r="774">
      <c r="A774" s="19" t="n"/>
      <c r="F774" s="20" t="n"/>
      <c r="Q774" s="10">
        <f>IF(E774="USD",CONFIG!$B$5,1)</f>
        <v/>
      </c>
      <c r="R774">
        <f>IF(AND(A774&lt;&gt;"",ISNUMBER(A774),B774&lt;&gt;"",C774&lt;&gt;"",OR(E774="USD",E774="CRC"),F774&gt;0,ISNUMBER(Q774),Q774&gt;0),"✓ OK","✗ ERROR: Revisa datos")</f>
        <v/>
      </c>
    </row>
    <row r="775">
      <c r="A775" s="19" t="n"/>
      <c r="F775" s="20" t="n"/>
      <c r="Q775" s="10">
        <f>IF(E775="USD",CONFIG!$B$5,1)</f>
        <v/>
      </c>
      <c r="R775">
        <f>IF(AND(A775&lt;&gt;"",ISNUMBER(A775),B775&lt;&gt;"",C775&lt;&gt;"",OR(E775="USD",E775="CRC"),F775&gt;0,ISNUMBER(Q775),Q775&gt;0),"✓ OK","✗ ERROR: Revisa datos")</f>
        <v/>
      </c>
    </row>
    <row r="776">
      <c r="A776" s="19" t="n"/>
      <c r="F776" s="20" t="n"/>
      <c r="Q776" s="10">
        <f>IF(E776="USD",CONFIG!$B$5,1)</f>
        <v/>
      </c>
      <c r="R776">
        <f>IF(AND(A776&lt;&gt;"",ISNUMBER(A776),B776&lt;&gt;"",C776&lt;&gt;"",OR(E776="USD",E776="CRC"),F776&gt;0,ISNUMBER(Q776),Q776&gt;0),"✓ OK","✗ ERROR: Revisa datos")</f>
        <v/>
      </c>
    </row>
    <row r="777">
      <c r="A777" s="19" t="n"/>
      <c r="F777" s="20" t="n"/>
      <c r="Q777" s="10">
        <f>IF(E777="USD",CONFIG!$B$5,1)</f>
        <v/>
      </c>
      <c r="R777">
        <f>IF(AND(A777&lt;&gt;"",ISNUMBER(A777),B777&lt;&gt;"",C777&lt;&gt;"",OR(E777="USD",E777="CRC"),F777&gt;0,ISNUMBER(Q777),Q777&gt;0),"✓ OK","✗ ERROR: Revisa datos")</f>
        <v/>
      </c>
    </row>
    <row r="778">
      <c r="A778" s="19" t="n"/>
      <c r="F778" s="20" t="n"/>
      <c r="Q778" s="10">
        <f>IF(E778="USD",CONFIG!$B$5,1)</f>
        <v/>
      </c>
      <c r="R778">
        <f>IF(AND(A778&lt;&gt;"",ISNUMBER(A778),B778&lt;&gt;"",C778&lt;&gt;"",OR(E778="USD",E778="CRC"),F778&gt;0,ISNUMBER(Q778),Q778&gt;0),"✓ OK","✗ ERROR: Revisa datos")</f>
        <v/>
      </c>
    </row>
    <row r="779">
      <c r="A779" s="19" t="n"/>
      <c r="F779" s="20" t="n"/>
      <c r="Q779" s="10">
        <f>IF(E779="USD",CONFIG!$B$5,1)</f>
        <v/>
      </c>
      <c r="R779">
        <f>IF(AND(A779&lt;&gt;"",ISNUMBER(A779),B779&lt;&gt;"",C779&lt;&gt;"",OR(E779="USD",E779="CRC"),F779&gt;0,ISNUMBER(Q779),Q779&gt;0),"✓ OK","✗ ERROR: Revisa datos")</f>
        <v/>
      </c>
    </row>
    <row r="780">
      <c r="A780" s="19" t="n"/>
      <c r="F780" s="20" t="n"/>
      <c r="Q780" s="10">
        <f>IF(E780="USD",CONFIG!$B$5,1)</f>
        <v/>
      </c>
      <c r="R780">
        <f>IF(AND(A780&lt;&gt;"",ISNUMBER(A780),B780&lt;&gt;"",C780&lt;&gt;"",OR(E780="USD",E780="CRC"),F780&gt;0,ISNUMBER(Q780),Q780&gt;0),"✓ OK","✗ ERROR: Revisa datos")</f>
        <v/>
      </c>
    </row>
    <row r="781">
      <c r="A781" s="19" t="n"/>
      <c r="F781" s="20" t="n"/>
      <c r="Q781" s="10">
        <f>IF(E781="USD",CONFIG!$B$5,1)</f>
        <v/>
      </c>
      <c r="R781">
        <f>IF(AND(A781&lt;&gt;"",ISNUMBER(A781),B781&lt;&gt;"",C781&lt;&gt;"",OR(E781="USD",E781="CRC"),F781&gt;0,ISNUMBER(Q781),Q781&gt;0),"✓ OK","✗ ERROR: Revisa datos")</f>
        <v/>
      </c>
    </row>
    <row r="782">
      <c r="A782" s="19" t="n"/>
      <c r="F782" s="20" t="n"/>
      <c r="Q782" s="10">
        <f>IF(E782="USD",CONFIG!$B$5,1)</f>
        <v/>
      </c>
      <c r="R782">
        <f>IF(AND(A782&lt;&gt;"",ISNUMBER(A782),B782&lt;&gt;"",C782&lt;&gt;"",OR(E782="USD",E782="CRC"),F782&gt;0,ISNUMBER(Q782),Q782&gt;0),"✓ OK","✗ ERROR: Revisa datos")</f>
        <v/>
      </c>
    </row>
    <row r="783">
      <c r="A783" s="19" t="n"/>
      <c r="F783" s="20" t="n"/>
      <c r="Q783" s="10">
        <f>IF(E783="USD",CONFIG!$B$5,1)</f>
        <v/>
      </c>
      <c r="R783">
        <f>IF(AND(A783&lt;&gt;"",ISNUMBER(A783),B783&lt;&gt;"",C783&lt;&gt;"",OR(E783="USD",E783="CRC"),F783&gt;0,ISNUMBER(Q783),Q783&gt;0),"✓ OK","✗ ERROR: Revisa datos")</f>
        <v/>
      </c>
    </row>
    <row r="784">
      <c r="A784" s="19" t="n"/>
      <c r="F784" s="20" t="n"/>
      <c r="Q784" s="10">
        <f>IF(E784="USD",CONFIG!$B$5,1)</f>
        <v/>
      </c>
      <c r="R784">
        <f>IF(AND(A784&lt;&gt;"",ISNUMBER(A784),B784&lt;&gt;"",C784&lt;&gt;"",OR(E784="USD",E784="CRC"),F784&gt;0,ISNUMBER(Q784),Q784&gt;0),"✓ OK","✗ ERROR: Revisa datos")</f>
        <v/>
      </c>
    </row>
    <row r="785">
      <c r="A785" s="19" t="n"/>
      <c r="F785" s="20" t="n"/>
      <c r="Q785" s="10">
        <f>IF(E785="USD",CONFIG!$B$5,1)</f>
        <v/>
      </c>
      <c r="R785">
        <f>IF(AND(A785&lt;&gt;"",ISNUMBER(A785),B785&lt;&gt;"",C785&lt;&gt;"",OR(E785="USD",E785="CRC"),F785&gt;0,ISNUMBER(Q785),Q785&gt;0),"✓ OK","✗ ERROR: Revisa datos")</f>
        <v/>
      </c>
    </row>
    <row r="786">
      <c r="A786" s="19" t="n"/>
      <c r="F786" s="20" t="n"/>
      <c r="Q786" s="10">
        <f>IF(E786="USD",CONFIG!$B$5,1)</f>
        <v/>
      </c>
      <c r="R786">
        <f>IF(AND(A786&lt;&gt;"",ISNUMBER(A786),B786&lt;&gt;"",C786&lt;&gt;"",OR(E786="USD",E786="CRC"),F786&gt;0,ISNUMBER(Q786),Q786&gt;0),"✓ OK","✗ ERROR: Revisa datos")</f>
        <v/>
      </c>
    </row>
    <row r="787">
      <c r="A787" s="19" t="n"/>
      <c r="F787" s="20" t="n"/>
      <c r="Q787" s="10">
        <f>IF(E787="USD",CONFIG!$B$5,1)</f>
        <v/>
      </c>
      <c r="R787">
        <f>IF(AND(A787&lt;&gt;"",ISNUMBER(A787),B787&lt;&gt;"",C787&lt;&gt;"",OR(E787="USD",E787="CRC"),F787&gt;0,ISNUMBER(Q787),Q787&gt;0),"✓ OK","✗ ERROR: Revisa datos")</f>
        <v/>
      </c>
    </row>
    <row r="788">
      <c r="A788" s="19" t="n"/>
      <c r="F788" s="20" t="n"/>
      <c r="Q788" s="10">
        <f>IF(E788="USD",CONFIG!$B$5,1)</f>
        <v/>
      </c>
      <c r="R788">
        <f>IF(AND(A788&lt;&gt;"",ISNUMBER(A788),B788&lt;&gt;"",C788&lt;&gt;"",OR(E788="USD",E788="CRC"),F788&gt;0,ISNUMBER(Q788),Q788&gt;0),"✓ OK","✗ ERROR: Revisa datos")</f>
        <v/>
      </c>
    </row>
    <row r="789">
      <c r="A789" s="19" t="n"/>
      <c r="F789" s="20" t="n"/>
      <c r="Q789" s="10">
        <f>IF(E789="USD",CONFIG!$B$5,1)</f>
        <v/>
      </c>
      <c r="R789">
        <f>IF(AND(A789&lt;&gt;"",ISNUMBER(A789),B789&lt;&gt;"",C789&lt;&gt;"",OR(E789="USD",E789="CRC"),F789&gt;0,ISNUMBER(Q789),Q789&gt;0),"✓ OK","✗ ERROR: Revisa datos")</f>
        <v/>
      </c>
    </row>
    <row r="790">
      <c r="A790" s="19" t="n"/>
      <c r="F790" s="20" t="n"/>
      <c r="Q790" s="10">
        <f>IF(E790="USD",CONFIG!$B$5,1)</f>
        <v/>
      </c>
      <c r="R790">
        <f>IF(AND(A790&lt;&gt;"",ISNUMBER(A790),B790&lt;&gt;"",C790&lt;&gt;"",OR(E790="USD",E790="CRC"),F790&gt;0,ISNUMBER(Q790),Q790&gt;0),"✓ OK","✗ ERROR: Revisa datos")</f>
        <v/>
      </c>
    </row>
    <row r="791">
      <c r="A791" s="19" t="n"/>
      <c r="F791" s="20" t="n"/>
      <c r="Q791" s="10">
        <f>IF(E791="USD",CONFIG!$B$5,1)</f>
        <v/>
      </c>
      <c r="R791">
        <f>IF(AND(A791&lt;&gt;"",ISNUMBER(A791),B791&lt;&gt;"",C791&lt;&gt;"",OR(E791="USD",E791="CRC"),F791&gt;0,ISNUMBER(Q791),Q791&gt;0),"✓ OK","✗ ERROR: Revisa datos")</f>
        <v/>
      </c>
    </row>
    <row r="792">
      <c r="A792" s="19" t="n"/>
      <c r="F792" s="20" t="n"/>
      <c r="Q792" s="10">
        <f>IF(E792="USD",CONFIG!$B$5,1)</f>
        <v/>
      </c>
      <c r="R792">
        <f>IF(AND(A792&lt;&gt;"",ISNUMBER(A792),B792&lt;&gt;"",C792&lt;&gt;"",OR(E792="USD",E792="CRC"),F792&gt;0,ISNUMBER(Q792),Q792&gt;0),"✓ OK","✗ ERROR: Revisa datos")</f>
        <v/>
      </c>
    </row>
    <row r="793">
      <c r="A793" s="19" t="n"/>
      <c r="F793" s="20" t="n"/>
      <c r="Q793" s="10">
        <f>IF(E793="USD",CONFIG!$B$5,1)</f>
        <v/>
      </c>
      <c r="R793">
        <f>IF(AND(A793&lt;&gt;"",ISNUMBER(A793),B793&lt;&gt;"",C793&lt;&gt;"",OR(E793="USD",E793="CRC"),F793&gt;0,ISNUMBER(Q793),Q793&gt;0),"✓ OK","✗ ERROR: Revisa datos")</f>
        <v/>
      </c>
    </row>
    <row r="794">
      <c r="A794" s="19" t="n"/>
      <c r="F794" s="20" t="n"/>
      <c r="Q794" s="10">
        <f>IF(E794="USD",CONFIG!$B$5,1)</f>
        <v/>
      </c>
      <c r="R794">
        <f>IF(AND(A794&lt;&gt;"",ISNUMBER(A794),B794&lt;&gt;"",C794&lt;&gt;"",OR(E794="USD",E794="CRC"),F794&gt;0,ISNUMBER(Q794),Q794&gt;0),"✓ OK","✗ ERROR: Revisa datos")</f>
        <v/>
      </c>
    </row>
    <row r="795">
      <c r="A795" s="19" t="n"/>
      <c r="F795" s="20" t="n"/>
      <c r="Q795" s="10">
        <f>IF(E795="USD",CONFIG!$B$5,1)</f>
        <v/>
      </c>
      <c r="R795">
        <f>IF(AND(A795&lt;&gt;"",ISNUMBER(A795),B795&lt;&gt;"",C795&lt;&gt;"",OR(E795="USD",E795="CRC"),F795&gt;0,ISNUMBER(Q795),Q795&gt;0),"✓ OK","✗ ERROR: Revisa datos")</f>
        <v/>
      </c>
    </row>
    <row r="796">
      <c r="A796" s="19" t="n"/>
      <c r="F796" s="20" t="n"/>
      <c r="Q796" s="10">
        <f>IF(E796="USD",CONFIG!$B$5,1)</f>
        <v/>
      </c>
      <c r="R796">
        <f>IF(AND(A796&lt;&gt;"",ISNUMBER(A796),B796&lt;&gt;"",C796&lt;&gt;"",OR(E796="USD",E796="CRC"),F796&gt;0,ISNUMBER(Q796),Q796&gt;0),"✓ OK","✗ ERROR: Revisa datos")</f>
        <v/>
      </c>
    </row>
    <row r="797">
      <c r="A797" s="19" t="n"/>
      <c r="F797" s="20" t="n"/>
      <c r="Q797" s="10">
        <f>IF(E797="USD",CONFIG!$B$5,1)</f>
        <v/>
      </c>
      <c r="R797">
        <f>IF(AND(A797&lt;&gt;"",ISNUMBER(A797),B797&lt;&gt;"",C797&lt;&gt;"",OR(E797="USD",E797="CRC"),F797&gt;0,ISNUMBER(Q797),Q797&gt;0),"✓ OK","✗ ERROR: Revisa datos")</f>
        <v/>
      </c>
    </row>
    <row r="798">
      <c r="A798" s="19" t="n"/>
      <c r="F798" s="20" t="n"/>
      <c r="Q798" s="10">
        <f>IF(E798="USD",CONFIG!$B$5,1)</f>
        <v/>
      </c>
      <c r="R798">
        <f>IF(AND(A798&lt;&gt;"",ISNUMBER(A798),B798&lt;&gt;"",C798&lt;&gt;"",OR(E798="USD",E798="CRC"),F798&gt;0,ISNUMBER(Q798),Q798&gt;0),"✓ OK","✗ ERROR: Revisa datos")</f>
        <v/>
      </c>
    </row>
    <row r="799">
      <c r="A799" s="19" t="n"/>
      <c r="F799" s="20" t="n"/>
      <c r="Q799" s="10">
        <f>IF(E799="USD",CONFIG!$B$5,1)</f>
        <v/>
      </c>
      <c r="R799">
        <f>IF(AND(A799&lt;&gt;"",ISNUMBER(A799),B799&lt;&gt;"",C799&lt;&gt;"",OR(E799="USD",E799="CRC"),F799&gt;0,ISNUMBER(Q799),Q799&gt;0),"✓ OK","✗ ERROR: Revisa datos")</f>
        <v/>
      </c>
    </row>
    <row r="800">
      <c r="A800" s="19" t="n"/>
      <c r="F800" s="20" t="n"/>
      <c r="Q800" s="10">
        <f>IF(E800="USD",CONFIG!$B$5,1)</f>
        <v/>
      </c>
      <c r="R800">
        <f>IF(AND(A800&lt;&gt;"",ISNUMBER(A800),B800&lt;&gt;"",C800&lt;&gt;"",OR(E800="USD",E800="CRC"),F800&gt;0,ISNUMBER(Q800),Q800&gt;0),"✓ OK","✗ ERROR: Revisa datos")</f>
        <v/>
      </c>
    </row>
    <row r="801">
      <c r="A801" s="19" t="n"/>
      <c r="F801" s="20" t="n"/>
      <c r="Q801" s="10">
        <f>IF(E801="USD",CONFIG!$B$5,1)</f>
        <v/>
      </c>
      <c r="R801">
        <f>IF(AND(A801&lt;&gt;"",ISNUMBER(A801),B801&lt;&gt;"",C801&lt;&gt;"",OR(E801="USD",E801="CRC"),F801&gt;0,ISNUMBER(Q801),Q801&gt;0),"✓ OK","✗ ERROR: Revisa datos")</f>
        <v/>
      </c>
    </row>
    <row r="802">
      <c r="A802" s="19" t="n"/>
      <c r="F802" s="20" t="n"/>
      <c r="Q802" s="10">
        <f>IF(E802="USD",CONFIG!$B$5,1)</f>
        <v/>
      </c>
      <c r="R802">
        <f>IF(AND(A802&lt;&gt;"",ISNUMBER(A802),B802&lt;&gt;"",C802&lt;&gt;"",OR(E802="USD",E802="CRC"),F802&gt;0,ISNUMBER(Q802),Q802&gt;0),"✓ OK","✗ ERROR: Revisa datos")</f>
        <v/>
      </c>
    </row>
    <row r="803">
      <c r="A803" s="19" t="n"/>
      <c r="F803" s="20" t="n"/>
      <c r="Q803" s="10">
        <f>IF(E803="USD",CONFIG!$B$5,1)</f>
        <v/>
      </c>
      <c r="R803">
        <f>IF(AND(A803&lt;&gt;"",ISNUMBER(A803),B803&lt;&gt;"",C803&lt;&gt;"",OR(E803="USD",E803="CRC"),F803&gt;0,ISNUMBER(Q803),Q803&gt;0),"✓ OK","✗ ERROR: Revisa datos")</f>
        <v/>
      </c>
    </row>
    <row r="804">
      <c r="A804" s="19" t="n"/>
      <c r="F804" s="20" t="n"/>
      <c r="Q804" s="10">
        <f>IF(E804="USD",CONFIG!$B$5,1)</f>
        <v/>
      </c>
      <c r="R804">
        <f>IF(AND(A804&lt;&gt;"",ISNUMBER(A804),B804&lt;&gt;"",C804&lt;&gt;"",OR(E804="USD",E804="CRC"),F804&gt;0,ISNUMBER(Q804),Q804&gt;0),"✓ OK","✗ ERROR: Revisa datos")</f>
        <v/>
      </c>
    </row>
    <row r="805">
      <c r="A805" s="19" t="n"/>
      <c r="F805" s="20" t="n"/>
      <c r="Q805" s="10">
        <f>IF(E805="USD",CONFIG!$B$5,1)</f>
        <v/>
      </c>
      <c r="R805">
        <f>IF(AND(A805&lt;&gt;"",ISNUMBER(A805),B805&lt;&gt;"",C805&lt;&gt;"",OR(E805="USD",E805="CRC"),F805&gt;0,ISNUMBER(Q805),Q805&gt;0),"✓ OK","✗ ERROR: Revisa datos")</f>
        <v/>
      </c>
    </row>
    <row r="806">
      <c r="A806" s="19" t="n"/>
      <c r="F806" s="20" t="n"/>
      <c r="Q806" s="10">
        <f>IF(E806="USD",CONFIG!$B$5,1)</f>
        <v/>
      </c>
      <c r="R806">
        <f>IF(AND(A806&lt;&gt;"",ISNUMBER(A806),B806&lt;&gt;"",C806&lt;&gt;"",OR(E806="USD",E806="CRC"),F806&gt;0,ISNUMBER(Q806),Q806&gt;0),"✓ OK","✗ ERROR: Revisa datos")</f>
        <v/>
      </c>
    </row>
    <row r="807">
      <c r="A807" s="19" t="n"/>
      <c r="F807" s="20" t="n"/>
      <c r="Q807" s="10">
        <f>IF(E807="USD",CONFIG!$B$5,1)</f>
        <v/>
      </c>
      <c r="R807">
        <f>IF(AND(A807&lt;&gt;"",ISNUMBER(A807),B807&lt;&gt;"",C807&lt;&gt;"",OR(E807="USD",E807="CRC"),F807&gt;0,ISNUMBER(Q807),Q807&gt;0),"✓ OK","✗ ERROR: Revisa datos")</f>
        <v/>
      </c>
    </row>
    <row r="808">
      <c r="A808" s="19" t="n"/>
      <c r="F808" s="20" t="n"/>
      <c r="Q808" s="10">
        <f>IF(E808="USD",CONFIG!$B$5,1)</f>
        <v/>
      </c>
      <c r="R808">
        <f>IF(AND(A808&lt;&gt;"",ISNUMBER(A808),B808&lt;&gt;"",C808&lt;&gt;"",OR(E808="USD",E808="CRC"),F808&gt;0,ISNUMBER(Q808),Q808&gt;0),"✓ OK","✗ ERROR: Revisa datos")</f>
        <v/>
      </c>
    </row>
    <row r="809">
      <c r="A809" s="19" t="n"/>
      <c r="F809" s="20" t="n"/>
      <c r="Q809" s="10">
        <f>IF(E809="USD",CONFIG!$B$5,1)</f>
        <v/>
      </c>
      <c r="R809">
        <f>IF(AND(A809&lt;&gt;"",ISNUMBER(A809),B809&lt;&gt;"",C809&lt;&gt;"",OR(E809="USD",E809="CRC"),F809&gt;0,ISNUMBER(Q809),Q809&gt;0),"✓ OK","✗ ERROR: Revisa datos")</f>
        <v/>
      </c>
    </row>
    <row r="810">
      <c r="A810" s="19" t="n"/>
      <c r="F810" s="20" t="n"/>
      <c r="Q810" s="10">
        <f>IF(E810="USD",CONFIG!$B$5,1)</f>
        <v/>
      </c>
      <c r="R810">
        <f>IF(AND(A810&lt;&gt;"",ISNUMBER(A810),B810&lt;&gt;"",C810&lt;&gt;"",OR(E810="USD",E810="CRC"),F810&gt;0,ISNUMBER(Q810),Q810&gt;0),"✓ OK","✗ ERROR: Revisa datos")</f>
        <v/>
      </c>
    </row>
    <row r="811">
      <c r="A811" s="19" t="n"/>
      <c r="F811" s="20" t="n"/>
      <c r="Q811" s="10">
        <f>IF(E811="USD",CONFIG!$B$5,1)</f>
        <v/>
      </c>
      <c r="R811">
        <f>IF(AND(A811&lt;&gt;"",ISNUMBER(A811),B811&lt;&gt;"",C811&lt;&gt;"",OR(E811="USD",E811="CRC"),F811&gt;0,ISNUMBER(Q811),Q811&gt;0),"✓ OK","✗ ERROR: Revisa datos")</f>
        <v/>
      </c>
    </row>
    <row r="812">
      <c r="A812" s="19" t="n"/>
      <c r="F812" s="20" t="n"/>
      <c r="Q812" s="10">
        <f>IF(E812="USD",CONFIG!$B$5,1)</f>
        <v/>
      </c>
      <c r="R812">
        <f>IF(AND(A812&lt;&gt;"",ISNUMBER(A812),B812&lt;&gt;"",C812&lt;&gt;"",OR(E812="USD",E812="CRC"),F812&gt;0,ISNUMBER(Q812),Q812&gt;0),"✓ OK","✗ ERROR: Revisa datos")</f>
        <v/>
      </c>
    </row>
    <row r="813">
      <c r="A813" s="19" t="n"/>
      <c r="F813" s="20" t="n"/>
      <c r="Q813" s="10">
        <f>IF(E813="USD",CONFIG!$B$5,1)</f>
        <v/>
      </c>
      <c r="R813">
        <f>IF(AND(A813&lt;&gt;"",ISNUMBER(A813),B813&lt;&gt;"",C813&lt;&gt;"",OR(E813="USD",E813="CRC"),F813&gt;0,ISNUMBER(Q813),Q813&gt;0),"✓ OK","✗ ERROR: Revisa datos")</f>
        <v/>
      </c>
    </row>
    <row r="814">
      <c r="A814" s="19" t="n"/>
      <c r="F814" s="20" t="n"/>
      <c r="Q814" s="10">
        <f>IF(E814="USD",CONFIG!$B$5,1)</f>
        <v/>
      </c>
      <c r="R814">
        <f>IF(AND(A814&lt;&gt;"",ISNUMBER(A814),B814&lt;&gt;"",C814&lt;&gt;"",OR(E814="USD",E814="CRC"),F814&gt;0,ISNUMBER(Q814),Q814&gt;0),"✓ OK","✗ ERROR: Revisa datos")</f>
        <v/>
      </c>
    </row>
    <row r="815">
      <c r="A815" s="19" t="n"/>
      <c r="F815" s="20" t="n"/>
      <c r="Q815" s="10">
        <f>IF(E815="USD",CONFIG!$B$5,1)</f>
        <v/>
      </c>
      <c r="R815">
        <f>IF(AND(A815&lt;&gt;"",ISNUMBER(A815),B815&lt;&gt;"",C815&lt;&gt;"",OR(E815="USD",E815="CRC"),F815&gt;0,ISNUMBER(Q815),Q815&gt;0),"✓ OK","✗ ERROR: Revisa datos")</f>
        <v/>
      </c>
    </row>
    <row r="816">
      <c r="A816" s="19" t="n"/>
      <c r="F816" s="20" t="n"/>
      <c r="Q816" s="10">
        <f>IF(E816="USD",CONFIG!$B$5,1)</f>
        <v/>
      </c>
      <c r="R816">
        <f>IF(AND(A816&lt;&gt;"",ISNUMBER(A816),B816&lt;&gt;"",C816&lt;&gt;"",OR(E816="USD",E816="CRC"),F816&gt;0,ISNUMBER(Q816),Q816&gt;0),"✓ OK","✗ ERROR: Revisa datos")</f>
        <v/>
      </c>
    </row>
    <row r="817">
      <c r="A817" s="19" t="n"/>
      <c r="F817" s="20" t="n"/>
      <c r="Q817" s="10">
        <f>IF(E817="USD",CONFIG!$B$5,1)</f>
        <v/>
      </c>
      <c r="R817">
        <f>IF(AND(A817&lt;&gt;"",ISNUMBER(A817),B817&lt;&gt;"",C817&lt;&gt;"",OR(E817="USD",E817="CRC"),F817&gt;0,ISNUMBER(Q817),Q817&gt;0),"✓ OK","✗ ERROR: Revisa datos")</f>
        <v/>
      </c>
    </row>
    <row r="818">
      <c r="A818" s="19" t="n"/>
      <c r="F818" s="20" t="n"/>
      <c r="Q818" s="10">
        <f>IF(E818="USD",CONFIG!$B$5,1)</f>
        <v/>
      </c>
      <c r="R818">
        <f>IF(AND(A818&lt;&gt;"",ISNUMBER(A818),B818&lt;&gt;"",C818&lt;&gt;"",OR(E818="USD",E818="CRC"),F818&gt;0,ISNUMBER(Q818),Q818&gt;0),"✓ OK","✗ ERROR: Revisa datos")</f>
        <v/>
      </c>
    </row>
    <row r="819">
      <c r="A819" s="19" t="n"/>
      <c r="F819" s="20" t="n"/>
      <c r="Q819" s="10">
        <f>IF(E819="USD",CONFIG!$B$5,1)</f>
        <v/>
      </c>
      <c r="R819">
        <f>IF(AND(A819&lt;&gt;"",ISNUMBER(A819),B819&lt;&gt;"",C819&lt;&gt;"",OR(E819="USD",E819="CRC"),F819&gt;0,ISNUMBER(Q819),Q819&gt;0),"✓ OK","✗ ERROR: Revisa datos")</f>
        <v/>
      </c>
    </row>
    <row r="820">
      <c r="A820" s="19" t="n"/>
      <c r="F820" s="20" t="n"/>
      <c r="Q820" s="10">
        <f>IF(E820="USD",CONFIG!$B$5,1)</f>
        <v/>
      </c>
      <c r="R820">
        <f>IF(AND(A820&lt;&gt;"",ISNUMBER(A820),B820&lt;&gt;"",C820&lt;&gt;"",OR(E820="USD",E820="CRC"),F820&gt;0,ISNUMBER(Q820),Q820&gt;0),"✓ OK","✗ ERROR: Revisa datos")</f>
        <v/>
      </c>
    </row>
    <row r="821">
      <c r="A821" s="19" t="n"/>
      <c r="F821" s="20" t="n"/>
      <c r="Q821" s="10">
        <f>IF(E821="USD",CONFIG!$B$5,1)</f>
        <v/>
      </c>
      <c r="R821">
        <f>IF(AND(A821&lt;&gt;"",ISNUMBER(A821),B821&lt;&gt;"",C821&lt;&gt;"",OR(E821="USD",E821="CRC"),F821&gt;0,ISNUMBER(Q821),Q821&gt;0),"✓ OK","✗ ERROR: Revisa datos")</f>
        <v/>
      </c>
    </row>
    <row r="822">
      <c r="A822" s="19" t="n"/>
      <c r="F822" s="20" t="n"/>
      <c r="Q822" s="10">
        <f>IF(E822="USD",CONFIG!$B$5,1)</f>
        <v/>
      </c>
      <c r="R822">
        <f>IF(AND(A822&lt;&gt;"",ISNUMBER(A822),B822&lt;&gt;"",C822&lt;&gt;"",OR(E822="USD",E822="CRC"),F822&gt;0,ISNUMBER(Q822),Q822&gt;0),"✓ OK","✗ ERROR: Revisa datos")</f>
        <v/>
      </c>
    </row>
    <row r="823">
      <c r="A823" s="19" t="n"/>
      <c r="F823" s="20" t="n"/>
      <c r="Q823" s="10">
        <f>IF(E823="USD",CONFIG!$B$5,1)</f>
        <v/>
      </c>
      <c r="R823">
        <f>IF(AND(A823&lt;&gt;"",ISNUMBER(A823),B823&lt;&gt;"",C823&lt;&gt;"",OR(E823="USD",E823="CRC"),F823&gt;0,ISNUMBER(Q823),Q823&gt;0),"✓ OK","✗ ERROR: Revisa datos")</f>
        <v/>
      </c>
    </row>
    <row r="824">
      <c r="A824" s="19" t="n"/>
      <c r="F824" s="20" t="n"/>
      <c r="Q824" s="10">
        <f>IF(E824="USD",CONFIG!$B$5,1)</f>
        <v/>
      </c>
      <c r="R824">
        <f>IF(AND(A824&lt;&gt;"",ISNUMBER(A824),B824&lt;&gt;"",C824&lt;&gt;"",OR(E824="USD",E824="CRC"),F824&gt;0,ISNUMBER(Q824),Q824&gt;0),"✓ OK","✗ ERROR: Revisa datos")</f>
        <v/>
      </c>
    </row>
    <row r="825">
      <c r="A825" s="19" t="n"/>
      <c r="F825" s="20" t="n"/>
      <c r="Q825" s="10">
        <f>IF(E825="USD",CONFIG!$B$5,1)</f>
        <v/>
      </c>
      <c r="R825">
        <f>IF(AND(A825&lt;&gt;"",ISNUMBER(A825),B825&lt;&gt;"",C825&lt;&gt;"",OR(E825="USD",E825="CRC"),F825&gt;0,ISNUMBER(Q825),Q825&gt;0),"✓ OK","✗ ERROR: Revisa datos")</f>
        <v/>
      </c>
    </row>
    <row r="826">
      <c r="A826" s="19" t="n"/>
      <c r="F826" s="20" t="n"/>
      <c r="Q826" s="10">
        <f>IF(E826="USD",CONFIG!$B$5,1)</f>
        <v/>
      </c>
      <c r="R826">
        <f>IF(AND(A826&lt;&gt;"",ISNUMBER(A826),B826&lt;&gt;"",C826&lt;&gt;"",OR(E826="USD",E826="CRC"),F826&gt;0,ISNUMBER(Q826),Q826&gt;0),"✓ OK","✗ ERROR: Revisa datos")</f>
        <v/>
      </c>
    </row>
    <row r="827">
      <c r="A827" s="19" t="n"/>
      <c r="F827" s="20" t="n"/>
      <c r="Q827" s="10">
        <f>IF(E827="USD",CONFIG!$B$5,1)</f>
        <v/>
      </c>
      <c r="R827">
        <f>IF(AND(A827&lt;&gt;"",ISNUMBER(A827),B827&lt;&gt;"",C827&lt;&gt;"",OR(E827="USD",E827="CRC"),F827&gt;0,ISNUMBER(Q827),Q827&gt;0),"✓ OK","✗ ERROR: Revisa datos")</f>
        <v/>
      </c>
    </row>
    <row r="828">
      <c r="A828" s="19" t="n"/>
      <c r="F828" s="20" t="n"/>
      <c r="Q828" s="10">
        <f>IF(E828="USD",CONFIG!$B$5,1)</f>
        <v/>
      </c>
      <c r="R828">
        <f>IF(AND(A828&lt;&gt;"",ISNUMBER(A828),B828&lt;&gt;"",C828&lt;&gt;"",OR(E828="USD",E828="CRC"),F828&gt;0,ISNUMBER(Q828),Q828&gt;0),"✓ OK","✗ ERROR: Revisa datos")</f>
        <v/>
      </c>
    </row>
    <row r="829">
      <c r="A829" s="19" t="n"/>
      <c r="F829" s="20" t="n"/>
      <c r="Q829" s="10">
        <f>IF(E829="USD",CONFIG!$B$5,1)</f>
        <v/>
      </c>
      <c r="R829">
        <f>IF(AND(A829&lt;&gt;"",ISNUMBER(A829),B829&lt;&gt;"",C829&lt;&gt;"",OR(E829="USD",E829="CRC"),F829&gt;0,ISNUMBER(Q829),Q829&gt;0),"✓ OK","✗ ERROR: Revisa datos")</f>
        <v/>
      </c>
    </row>
    <row r="830">
      <c r="A830" s="19" t="n"/>
      <c r="F830" s="20" t="n"/>
      <c r="Q830" s="10">
        <f>IF(E830="USD",CONFIG!$B$5,1)</f>
        <v/>
      </c>
      <c r="R830">
        <f>IF(AND(A830&lt;&gt;"",ISNUMBER(A830),B830&lt;&gt;"",C830&lt;&gt;"",OR(E830="USD",E830="CRC"),F830&gt;0,ISNUMBER(Q830),Q830&gt;0),"✓ OK","✗ ERROR: Revisa datos")</f>
        <v/>
      </c>
    </row>
    <row r="831">
      <c r="A831" s="19" t="n"/>
      <c r="F831" s="20" t="n"/>
      <c r="Q831" s="10">
        <f>IF(E831="USD",CONFIG!$B$5,1)</f>
        <v/>
      </c>
      <c r="R831">
        <f>IF(AND(A831&lt;&gt;"",ISNUMBER(A831),B831&lt;&gt;"",C831&lt;&gt;"",OR(E831="USD",E831="CRC"),F831&gt;0,ISNUMBER(Q831),Q831&gt;0),"✓ OK","✗ ERROR: Revisa datos")</f>
        <v/>
      </c>
    </row>
    <row r="832">
      <c r="A832" s="19" t="n"/>
      <c r="F832" s="20" t="n"/>
      <c r="Q832" s="10">
        <f>IF(E832="USD",CONFIG!$B$5,1)</f>
        <v/>
      </c>
      <c r="R832">
        <f>IF(AND(A832&lt;&gt;"",ISNUMBER(A832),B832&lt;&gt;"",C832&lt;&gt;"",OR(E832="USD",E832="CRC"),F832&gt;0,ISNUMBER(Q832),Q832&gt;0),"✓ OK","✗ ERROR: Revisa datos")</f>
        <v/>
      </c>
    </row>
    <row r="833">
      <c r="A833" s="19" t="n"/>
      <c r="F833" s="20" t="n"/>
      <c r="Q833" s="10">
        <f>IF(E833="USD",CONFIG!$B$5,1)</f>
        <v/>
      </c>
      <c r="R833">
        <f>IF(AND(A833&lt;&gt;"",ISNUMBER(A833),B833&lt;&gt;"",C833&lt;&gt;"",OR(E833="USD",E833="CRC"),F833&gt;0,ISNUMBER(Q833),Q833&gt;0),"✓ OK","✗ ERROR: Revisa datos")</f>
        <v/>
      </c>
    </row>
    <row r="834">
      <c r="A834" s="19" t="n"/>
      <c r="F834" s="20" t="n"/>
      <c r="Q834" s="10">
        <f>IF(E834="USD",CONFIG!$B$5,1)</f>
        <v/>
      </c>
      <c r="R834">
        <f>IF(AND(A834&lt;&gt;"",ISNUMBER(A834),B834&lt;&gt;"",C834&lt;&gt;"",OR(E834="USD",E834="CRC"),F834&gt;0,ISNUMBER(Q834),Q834&gt;0),"✓ OK","✗ ERROR: Revisa datos")</f>
        <v/>
      </c>
    </row>
    <row r="835">
      <c r="A835" s="19" t="n"/>
      <c r="F835" s="20" t="n"/>
      <c r="Q835" s="10">
        <f>IF(E835="USD",CONFIG!$B$5,1)</f>
        <v/>
      </c>
      <c r="R835">
        <f>IF(AND(A835&lt;&gt;"",ISNUMBER(A835),B835&lt;&gt;"",C835&lt;&gt;"",OR(E835="USD",E835="CRC"),F835&gt;0,ISNUMBER(Q835),Q835&gt;0),"✓ OK","✗ ERROR: Revisa datos")</f>
        <v/>
      </c>
    </row>
    <row r="836">
      <c r="A836" s="19" t="n"/>
      <c r="F836" s="20" t="n"/>
      <c r="Q836" s="10">
        <f>IF(E836="USD",CONFIG!$B$5,1)</f>
        <v/>
      </c>
      <c r="R836">
        <f>IF(AND(A836&lt;&gt;"",ISNUMBER(A836),B836&lt;&gt;"",C836&lt;&gt;"",OR(E836="USD",E836="CRC"),F836&gt;0,ISNUMBER(Q836),Q836&gt;0),"✓ OK","✗ ERROR: Revisa datos")</f>
        <v/>
      </c>
    </row>
    <row r="837">
      <c r="A837" s="19" t="n"/>
      <c r="F837" s="20" t="n"/>
      <c r="Q837" s="10">
        <f>IF(E837="USD",CONFIG!$B$5,1)</f>
        <v/>
      </c>
      <c r="R837">
        <f>IF(AND(A837&lt;&gt;"",ISNUMBER(A837),B837&lt;&gt;"",C837&lt;&gt;"",OR(E837="USD",E837="CRC"),F837&gt;0,ISNUMBER(Q837),Q837&gt;0),"✓ OK","✗ ERROR: Revisa datos")</f>
        <v/>
      </c>
    </row>
    <row r="838">
      <c r="A838" s="19" t="n"/>
      <c r="F838" s="20" t="n"/>
      <c r="Q838" s="10">
        <f>IF(E838="USD",CONFIG!$B$5,1)</f>
        <v/>
      </c>
      <c r="R838">
        <f>IF(AND(A838&lt;&gt;"",ISNUMBER(A838),B838&lt;&gt;"",C838&lt;&gt;"",OR(E838="USD",E838="CRC"),F838&gt;0,ISNUMBER(Q838),Q838&gt;0),"✓ OK","✗ ERROR: Revisa datos")</f>
        <v/>
      </c>
    </row>
    <row r="839">
      <c r="A839" s="19" t="n"/>
      <c r="F839" s="20" t="n"/>
      <c r="Q839" s="10">
        <f>IF(E839="USD",CONFIG!$B$5,1)</f>
        <v/>
      </c>
      <c r="R839">
        <f>IF(AND(A839&lt;&gt;"",ISNUMBER(A839),B839&lt;&gt;"",C839&lt;&gt;"",OR(E839="USD",E839="CRC"),F839&gt;0,ISNUMBER(Q839),Q839&gt;0),"✓ OK","✗ ERROR: Revisa datos")</f>
        <v/>
      </c>
    </row>
    <row r="840">
      <c r="A840" s="19" t="n"/>
      <c r="F840" s="20" t="n"/>
      <c r="Q840" s="10">
        <f>IF(E840="USD",CONFIG!$B$5,1)</f>
        <v/>
      </c>
      <c r="R840">
        <f>IF(AND(A840&lt;&gt;"",ISNUMBER(A840),B840&lt;&gt;"",C840&lt;&gt;"",OR(E840="USD",E840="CRC"),F840&gt;0,ISNUMBER(Q840),Q840&gt;0),"✓ OK","✗ ERROR: Revisa datos")</f>
        <v/>
      </c>
    </row>
    <row r="841">
      <c r="A841" s="19" t="n"/>
      <c r="F841" s="20" t="n"/>
      <c r="Q841" s="10">
        <f>IF(E841="USD",CONFIG!$B$5,1)</f>
        <v/>
      </c>
      <c r="R841">
        <f>IF(AND(A841&lt;&gt;"",ISNUMBER(A841),B841&lt;&gt;"",C841&lt;&gt;"",OR(E841="USD",E841="CRC"),F841&gt;0,ISNUMBER(Q841),Q841&gt;0),"✓ OK","✗ ERROR: Revisa datos")</f>
        <v/>
      </c>
    </row>
    <row r="842">
      <c r="A842" s="19" t="n"/>
      <c r="F842" s="20" t="n"/>
      <c r="Q842" s="10">
        <f>IF(E842="USD",CONFIG!$B$5,1)</f>
        <v/>
      </c>
      <c r="R842">
        <f>IF(AND(A842&lt;&gt;"",ISNUMBER(A842),B842&lt;&gt;"",C842&lt;&gt;"",OR(E842="USD",E842="CRC"),F842&gt;0,ISNUMBER(Q842),Q842&gt;0),"✓ OK","✗ ERROR: Revisa datos")</f>
        <v/>
      </c>
    </row>
    <row r="843">
      <c r="A843" s="19" t="n"/>
      <c r="F843" s="20" t="n"/>
      <c r="Q843" s="10">
        <f>IF(E843="USD",CONFIG!$B$5,1)</f>
        <v/>
      </c>
      <c r="R843">
        <f>IF(AND(A843&lt;&gt;"",ISNUMBER(A843),B843&lt;&gt;"",C843&lt;&gt;"",OR(E843="USD",E843="CRC"),F843&gt;0,ISNUMBER(Q843),Q843&gt;0),"✓ OK","✗ ERROR: Revisa datos")</f>
        <v/>
      </c>
    </row>
    <row r="844">
      <c r="A844" s="19" t="n"/>
      <c r="F844" s="20" t="n"/>
      <c r="Q844" s="10">
        <f>IF(E844="USD",CONFIG!$B$5,1)</f>
        <v/>
      </c>
      <c r="R844">
        <f>IF(AND(A844&lt;&gt;"",ISNUMBER(A844),B844&lt;&gt;"",C844&lt;&gt;"",OR(E844="USD",E844="CRC"),F844&gt;0,ISNUMBER(Q844),Q844&gt;0),"✓ OK","✗ ERROR: Revisa datos")</f>
        <v/>
      </c>
    </row>
    <row r="845">
      <c r="A845" s="19" t="n"/>
      <c r="F845" s="20" t="n"/>
      <c r="Q845" s="10">
        <f>IF(E845="USD",CONFIG!$B$5,1)</f>
        <v/>
      </c>
      <c r="R845">
        <f>IF(AND(A845&lt;&gt;"",ISNUMBER(A845),B845&lt;&gt;"",C845&lt;&gt;"",OR(E845="USD",E845="CRC"),F845&gt;0,ISNUMBER(Q845),Q845&gt;0),"✓ OK","✗ ERROR: Revisa datos")</f>
        <v/>
      </c>
    </row>
    <row r="846">
      <c r="A846" s="19" t="n"/>
      <c r="F846" s="20" t="n"/>
      <c r="Q846" s="10">
        <f>IF(E846="USD",CONFIG!$B$5,1)</f>
        <v/>
      </c>
      <c r="R846">
        <f>IF(AND(A846&lt;&gt;"",ISNUMBER(A846),B846&lt;&gt;"",C846&lt;&gt;"",OR(E846="USD",E846="CRC"),F846&gt;0,ISNUMBER(Q846),Q846&gt;0),"✓ OK","✗ ERROR: Revisa datos")</f>
        <v/>
      </c>
    </row>
    <row r="847">
      <c r="A847" s="19" t="n"/>
      <c r="F847" s="20" t="n"/>
      <c r="Q847" s="10">
        <f>IF(E847="USD",CONFIG!$B$5,1)</f>
        <v/>
      </c>
      <c r="R847">
        <f>IF(AND(A847&lt;&gt;"",ISNUMBER(A847),B847&lt;&gt;"",C847&lt;&gt;"",OR(E847="USD",E847="CRC"),F847&gt;0,ISNUMBER(Q847),Q847&gt;0),"✓ OK","✗ ERROR: Revisa datos")</f>
        <v/>
      </c>
    </row>
    <row r="848">
      <c r="A848" s="19" t="n"/>
      <c r="F848" s="20" t="n"/>
      <c r="Q848" s="10">
        <f>IF(E848="USD",CONFIG!$B$5,1)</f>
        <v/>
      </c>
      <c r="R848">
        <f>IF(AND(A848&lt;&gt;"",ISNUMBER(A848),B848&lt;&gt;"",C848&lt;&gt;"",OR(E848="USD",E848="CRC"),F848&gt;0,ISNUMBER(Q848),Q848&gt;0),"✓ OK","✗ ERROR: Revisa datos")</f>
        <v/>
      </c>
    </row>
    <row r="849">
      <c r="A849" s="19" t="n"/>
      <c r="F849" s="20" t="n"/>
      <c r="Q849" s="10">
        <f>IF(E849="USD",CONFIG!$B$5,1)</f>
        <v/>
      </c>
      <c r="R849">
        <f>IF(AND(A849&lt;&gt;"",ISNUMBER(A849),B849&lt;&gt;"",C849&lt;&gt;"",OR(E849="USD",E849="CRC"),F849&gt;0,ISNUMBER(Q849),Q849&gt;0),"✓ OK","✗ ERROR: Revisa datos")</f>
        <v/>
      </c>
    </row>
    <row r="850">
      <c r="A850" s="19" t="n"/>
      <c r="F850" s="20" t="n"/>
      <c r="Q850" s="10">
        <f>IF(E850="USD",CONFIG!$B$5,1)</f>
        <v/>
      </c>
      <c r="R850">
        <f>IF(AND(A850&lt;&gt;"",ISNUMBER(A850),B850&lt;&gt;"",C850&lt;&gt;"",OR(E850="USD",E850="CRC"),F850&gt;0,ISNUMBER(Q850),Q850&gt;0),"✓ OK","✗ ERROR: Revisa datos")</f>
        <v/>
      </c>
    </row>
    <row r="851">
      <c r="A851" s="19" t="n"/>
      <c r="F851" s="20" t="n"/>
      <c r="Q851" s="10">
        <f>IF(E851="USD",CONFIG!$B$5,1)</f>
        <v/>
      </c>
      <c r="R851">
        <f>IF(AND(A851&lt;&gt;"",ISNUMBER(A851),B851&lt;&gt;"",C851&lt;&gt;"",OR(E851="USD",E851="CRC"),F851&gt;0,ISNUMBER(Q851),Q851&gt;0),"✓ OK","✗ ERROR: Revisa datos")</f>
        <v/>
      </c>
    </row>
    <row r="852">
      <c r="A852" s="19" t="n"/>
      <c r="F852" s="20" t="n"/>
      <c r="Q852" s="10">
        <f>IF(E852="USD",CONFIG!$B$5,1)</f>
        <v/>
      </c>
      <c r="R852">
        <f>IF(AND(A852&lt;&gt;"",ISNUMBER(A852),B852&lt;&gt;"",C852&lt;&gt;"",OR(E852="USD",E852="CRC"),F852&gt;0,ISNUMBER(Q852),Q852&gt;0),"✓ OK","✗ ERROR: Revisa datos")</f>
        <v/>
      </c>
    </row>
    <row r="853">
      <c r="A853" s="19" t="n"/>
      <c r="F853" s="20" t="n"/>
      <c r="Q853" s="10">
        <f>IF(E853="USD",CONFIG!$B$5,1)</f>
        <v/>
      </c>
      <c r="R853">
        <f>IF(AND(A853&lt;&gt;"",ISNUMBER(A853),B853&lt;&gt;"",C853&lt;&gt;"",OR(E853="USD",E853="CRC"),F853&gt;0,ISNUMBER(Q853),Q853&gt;0),"✓ OK","✗ ERROR: Revisa datos")</f>
        <v/>
      </c>
    </row>
    <row r="854">
      <c r="A854" s="19" t="n"/>
      <c r="F854" s="20" t="n"/>
      <c r="Q854" s="10">
        <f>IF(E854="USD",CONFIG!$B$5,1)</f>
        <v/>
      </c>
      <c r="R854">
        <f>IF(AND(A854&lt;&gt;"",ISNUMBER(A854),B854&lt;&gt;"",C854&lt;&gt;"",OR(E854="USD",E854="CRC"),F854&gt;0,ISNUMBER(Q854),Q854&gt;0),"✓ OK","✗ ERROR: Revisa datos")</f>
        <v/>
      </c>
    </row>
    <row r="855">
      <c r="A855" s="19" t="n"/>
      <c r="F855" s="20" t="n"/>
      <c r="Q855" s="10">
        <f>IF(E855="USD",CONFIG!$B$5,1)</f>
        <v/>
      </c>
      <c r="R855">
        <f>IF(AND(A855&lt;&gt;"",ISNUMBER(A855),B855&lt;&gt;"",C855&lt;&gt;"",OR(E855="USD",E855="CRC"),F855&gt;0,ISNUMBER(Q855),Q855&gt;0),"✓ OK","✗ ERROR: Revisa datos")</f>
        <v/>
      </c>
    </row>
    <row r="856">
      <c r="A856" s="19" t="n"/>
      <c r="F856" s="20" t="n"/>
      <c r="Q856" s="10">
        <f>IF(E856="USD",CONFIG!$B$5,1)</f>
        <v/>
      </c>
      <c r="R856">
        <f>IF(AND(A856&lt;&gt;"",ISNUMBER(A856),B856&lt;&gt;"",C856&lt;&gt;"",OR(E856="USD",E856="CRC"),F856&gt;0,ISNUMBER(Q856),Q856&gt;0),"✓ OK","✗ ERROR: Revisa datos")</f>
        <v/>
      </c>
    </row>
    <row r="857">
      <c r="A857" s="19" t="n"/>
      <c r="F857" s="20" t="n"/>
      <c r="Q857" s="10">
        <f>IF(E857="USD",CONFIG!$B$5,1)</f>
        <v/>
      </c>
      <c r="R857">
        <f>IF(AND(A857&lt;&gt;"",ISNUMBER(A857),B857&lt;&gt;"",C857&lt;&gt;"",OR(E857="USD",E857="CRC"),F857&gt;0,ISNUMBER(Q857),Q857&gt;0),"✓ OK","✗ ERROR: Revisa datos")</f>
        <v/>
      </c>
    </row>
    <row r="858">
      <c r="A858" s="19" t="n"/>
      <c r="F858" s="20" t="n"/>
      <c r="Q858" s="10">
        <f>IF(E858="USD",CONFIG!$B$5,1)</f>
        <v/>
      </c>
      <c r="R858">
        <f>IF(AND(A858&lt;&gt;"",ISNUMBER(A858),B858&lt;&gt;"",C858&lt;&gt;"",OR(E858="USD",E858="CRC"),F858&gt;0,ISNUMBER(Q858),Q858&gt;0),"✓ OK","✗ ERROR: Revisa datos")</f>
        <v/>
      </c>
    </row>
    <row r="859">
      <c r="A859" s="19" t="n"/>
      <c r="F859" s="20" t="n"/>
      <c r="Q859" s="10">
        <f>IF(E859="USD",CONFIG!$B$5,1)</f>
        <v/>
      </c>
      <c r="R859">
        <f>IF(AND(A859&lt;&gt;"",ISNUMBER(A859),B859&lt;&gt;"",C859&lt;&gt;"",OR(E859="USD",E859="CRC"),F859&gt;0,ISNUMBER(Q859),Q859&gt;0),"✓ OK","✗ ERROR: Revisa datos")</f>
        <v/>
      </c>
    </row>
    <row r="860">
      <c r="A860" s="19" t="n"/>
      <c r="F860" s="20" t="n"/>
      <c r="Q860" s="10">
        <f>IF(E860="USD",CONFIG!$B$5,1)</f>
        <v/>
      </c>
      <c r="R860">
        <f>IF(AND(A860&lt;&gt;"",ISNUMBER(A860),B860&lt;&gt;"",C860&lt;&gt;"",OR(E860="USD",E860="CRC"),F860&gt;0,ISNUMBER(Q860),Q860&gt;0),"✓ OK","✗ ERROR: Revisa datos")</f>
        <v/>
      </c>
    </row>
    <row r="861">
      <c r="A861" s="19" t="n"/>
      <c r="F861" s="20" t="n"/>
      <c r="Q861" s="10">
        <f>IF(E861="USD",CONFIG!$B$5,1)</f>
        <v/>
      </c>
      <c r="R861">
        <f>IF(AND(A861&lt;&gt;"",ISNUMBER(A861),B861&lt;&gt;"",C861&lt;&gt;"",OR(E861="USD",E861="CRC"),F861&gt;0,ISNUMBER(Q861),Q861&gt;0),"✓ OK","✗ ERROR: Revisa datos")</f>
        <v/>
      </c>
    </row>
    <row r="862">
      <c r="A862" s="19" t="n"/>
      <c r="F862" s="20" t="n"/>
      <c r="Q862" s="10">
        <f>IF(E862="USD",CONFIG!$B$5,1)</f>
        <v/>
      </c>
      <c r="R862">
        <f>IF(AND(A862&lt;&gt;"",ISNUMBER(A862),B862&lt;&gt;"",C862&lt;&gt;"",OR(E862="USD",E862="CRC"),F862&gt;0,ISNUMBER(Q862),Q862&gt;0),"✓ OK","✗ ERROR: Revisa datos")</f>
        <v/>
      </c>
    </row>
    <row r="863">
      <c r="A863" s="19" t="n"/>
      <c r="F863" s="20" t="n"/>
      <c r="Q863" s="10">
        <f>IF(E863="USD",CONFIG!$B$5,1)</f>
        <v/>
      </c>
      <c r="R863">
        <f>IF(AND(A863&lt;&gt;"",ISNUMBER(A863),B863&lt;&gt;"",C863&lt;&gt;"",OR(E863="USD",E863="CRC"),F863&gt;0,ISNUMBER(Q863),Q863&gt;0),"✓ OK","✗ ERROR: Revisa datos")</f>
        <v/>
      </c>
    </row>
    <row r="864">
      <c r="A864" s="19" t="n"/>
      <c r="F864" s="20" t="n"/>
      <c r="Q864" s="10">
        <f>IF(E864="USD",CONFIG!$B$5,1)</f>
        <v/>
      </c>
      <c r="R864">
        <f>IF(AND(A864&lt;&gt;"",ISNUMBER(A864),B864&lt;&gt;"",C864&lt;&gt;"",OR(E864="USD",E864="CRC"),F864&gt;0,ISNUMBER(Q864),Q864&gt;0),"✓ OK","✗ ERROR: Revisa datos")</f>
        <v/>
      </c>
    </row>
    <row r="865">
      <c r="A865" s="19" t="n"/>
      <c r="F865" s="20" t="n"/>
      <c r="Q865" s="10">
        <f>IF(E865="USD",CONFIG!$B$5,1)</f>
        <v/>
      </c>
      <c r="R865">
        <f>IF(AND(A865&lt;&gt;"",ISNUMBER(A865),B865&lt;&gt;"",C865&lt;&gt;"",OR(E865="USD",E865="CRC"),F865&gt;0,ISNUMBER(Q865),Q865&gt;0),"✓ OK","✗ ERROR: Revisa datos")</f>
        <v/>
      </c>
    </row>
    <row r="866">
      <c r="A866" s="19" t="n"/>
      <c r="F866" s="20" t="n"/>
      <c r="Q866" s="10">
        <f>IF(E866="USD",CONFIG!$B$5,1)</f>
        <v/>
      </c>
      <c r="R866">
        <f>IF(AND(A866&lt;&gt;"",ISNUMBER(A866),B866&lt;&gt;"",C866&lt;&gt;"",OR(E866="USD",E866="CRC"),F866&gt;0,ISNUMBER(Q866),Q866&gt;0),"✓ OK","✗ ERROR: Revisa datos")</f>
        <v/>
      </c>
    </row>
    <row r="867">
      <c r="A867" s="19" t="n"/>
      <c r="F867" s="20" t="n"/>
      <c r="Q867" s="10">
        <f>IF(E867="USD",CONFIG!$B$5,1)</f>
        <v/>
      </c>
      <c r="R867">
        <f>IF(AND(A867&lt;&gt;"",ISNUMBER(A867),B867&lt;&gt;"",C867&lt;&gt;"",OR(E867="USD",E867="CRC"),F867&gt;0,ISNUMBER(Q867),Q867&gt;0),"✓ OK","✗ ERROR: Revisa datos")</f>
        <v/>
      </c>
    </row>
    <row r="868">
      <c r="A868" s="19" t="n"/>
      <c r="F868" s="20" t="n"/>
      <c r="Q868" s="10">
        <f>IF(E868="USD",CONFIG!$B$5,1)</f>
        <v/>
      </c>
      <c r="R868">
        <f>IF(AND(A868&lt;&gt;"",ISNUMBER(A868),B868&lt;&gt;"",C868&lt;&gt;"",OR(E868="USD",E868="CRC"),F868&gt;0,ISNUMBER(Q868),Q868&gt;0),"✓ OK","✗ ERROR: Revisa datos")</f>
        <v/>
      </c>
    </row>
    <row r="869">
      <c r="A869" s="19" t="n"/>
      <c r="F869" s="20" t="n"/>
      <c r="Q869" s="10">
        <f>IF(E869="USD",CONFIG!$B$5,1)</f>
        <v/>
      </c>
      <c r="R869">
        <f>IF(AND(A869&lt;&gt;"",ISNUMBER(A869),B869&lt;&gt;"",C869&lt;&gt;"",OR(E869="USD",E869="CRC"),F869&gt;0,ISNUMBER(Q869),Q869&gt;0),"✓ OK","✗ ERROR: Revisa datos")</f>
        <v/>
      </c>
    </row>
    <row r="870">
      <c r="A870" s="19" t="n"/>
      <c r="F870" s="20" t="n"/>
      <c r="Q870" s="10">
        <f>IF(E870="USD",CONFIG!$B$5,1)</f>
        <v/>
      </c>
      <c r="R870">
        <f>IF(AND(A870&lt;&gt;"",ISNUMBER(A870),B870&lt;&gt;"",C870&lt;&gt;"",OR(E870="USD",E870="CRC"),F870&gt;0,ISNUMBER(Q870),Q870&gt;0),"✓ OK","✗ ERROR: Revisa datos")</f>
        <v/>
      </c>
    </row>
    <row r="871">
      <c r="A871" s="19" t="n"/>
      <c r="F871" s="20" t="n"/>
      <c r="Q871" s="10">
        <f>IF(E871="USD",CONFIG!$B$5,1)</f>
        <v/>
      </c>
      <c r="R871">
        <f>IF(AND(A871&lt;&gt;"",ISNUMBER(A871),B871&lt;&gt;"",C871&lt;&gt;"",OR(E871="USD",E871="CRC"),F871&gt;0,ISNUMBER(Q871),Q871&gt;0),"✓ OK","✗ ERROR: Revisa datos")</f>
        <v/>
      </c>
    </row>
    <row r="872">
      <c r="A872" s="19" t="n"/>
      <c r="F872" s="20" t="n"/>
      <c r="Q872" s="10">
        <f>IF(E872="USD",CONFIG!$B$5,1)</f>
        <v/>
      </c>
      <c r="R872">
        <f>IF(AND(A872&lt;&gt;"",ISNUMBER(A872),B872&lt;&gt;"",C872&lt;&gt;"",OR(E872="USD",E872="CRC"),F872&gt;0,ISNUMBER(Q872),Q872&gt;0),"✓ OK","✗ ERROR: Revisa datos")</f>
        <v/>
      </c>
    </row>
    <row r="873">
      <c r="A873" s="19" t="n"/>
      <c r="F873" s="20" t="n"/>
      <c r="Q873" s="10">
        <f>IF(E873="USD",CONFIG!$B$5,1)</f>
        <v/>
      </c>
      <c r="R873">
        <f>IF(AND(A873&lt;&gt;"",ISNUMBER(A873),B873&lt;&gt;"",C873&lt;&gt;"",OR(E873="USD",E873="CRC"),F873&gt;0,ISNUMBER(Q873),Q873&gt;0),"✓ OK","✗ ERROR: Revisa datos")</f>
        <v/>
      </c>
    </row>
    <row r="874">
      <c r="A874" s="19" t="n"/>
      <c r="F874" s="20" t="n"/>
      <c r="Q874" s="10">
        <f>IF(E874="USD",CONFIG!$B$5,1)</f>
        <v/>
      </c>
      <c r="R874">
        <f>IF(AND(A874&lt;&gt;"",ISNUMBER(A874),B874&lt;&gt;"",C874&lt;&gt;"",OR(E874="USD",E874="CRC"),F874&gt;0,ISNUMBER(Q874),Q874&gt;0),"✓ OK","✗ ERROR: Revisa datos")</f>
        <v/>
      </c>
    </row>
    <row r="875">
      <c r="A875" s="19" t="n"/>
      <c r="F875" s="20" t="n"/>
      <c r="Q875" s="10">
        <f>IF(E875="USD",CONFIG!$B$5,1)</f>
        <v/>
      </c>
      <c r="R875">
        <f>IF(AND(A875&lt;&gt;"",ISNUMBER(A875),B875&lt;&gt;"",C875&lt;&gt;"",OR(E875="USD",E875="CRC"),F875&gt;0,ISNUMBER(Q875),Q875&gt;0),"✓ OK","✗ ERROR: Revisa datos")</f>
        <v/>
      </c>
    </row>
    <row r="876">
      <c r="A876" s="19" t="n"/>
      <c r="F876" s="20" t="n"/>
      <c r="Q876" s="10">
        <f>IF(E876="USD",CONFIG!$B$5,1)</f>
        <v/>
      </c>
      <c r="R876">
        <f>IF(AND(A876&lt;&gt;"",ISNUMBER(A876),B876&lt;&gt;"",C876&lt;&gt;"",OR(E876="USD",E876="CRC"),F876&gt;0,ISNUMBER(Q876),Q876&gt;0),"✓ OK","✗ ERROR: Revisa datos")</f>
        <v/>
      </c>
    </row>
    <row r="877">
      <c r="A877" s="19" t="n"/>
      <c r="F877" s="20" t="n"/>
      <c r="Q877" s="10">
        <f>IF(E877="USD",CONFIG!$B$5,1)</f>
        <v/>
      </c>
      <c r="R877">
        <f>IF(AND(A877&lt;&gt;"",ISNUMBER(A877),B877&lt;&gt;"",C877&lt;&gt;"",OR(E877="USD",E877="CRC"),F877&gt;0,ISNUMBER(Q877),Q877&gt;0),"✓ OK","✗ ERROR: Revisa datos")</f>
        <v/>
      </c>
    </row>
    <row r="878">
      <c r="A878" s="19" t="n"/>
      <c r="F878" s="20" t="n"/>
      <c r="Q878" s="10">
        <f>IF(E878="USD",CONFIG!$B$5,1)</f>
        <v/>
      </c>
      <c r="R878">
        <f>IF(AND(A878&lt;&gt;"",ISNUMBER(A878),B878&lt;&gt;"",C878&lt;&gt;"",OR(E878="USD",E878="CRC"),F878&gt;0,ISNUMBER(Q878),Q878&gt;0),"✓ OK","✗ ERROR: Revisa datos")</f>
        <v/>
      </c>
    </row>
    <row r="879">
      <c r="A879" s="19" t="n"/>
      <c r="F879" s="20" t="n"/>
      <c r="Q879" s="10">
        <f>IF(E879="USD",CONFIG!$B$5,1)</f>
        <v/>
      </c>
      <c r="R879">
        <f>IF(AND(A879&lt;&gt;"",ISNUMBER(A879),B879&lt;&gt;"",C879&lt;&gt;"",OR(E879="USD",E879="CRC"),F879&gt;0,ISNUMBER(Q879),Q879&gt;0),"✓ OK","✗ ERROR: Revisa datos")</f>
        <v/>
      </c>
    </row>
    <row r="880">
      <c r="A880" s="19" t="n"/>
      <c r="F880" s="20" t="n"/>
      <c r="Q880" s="10">
        <f>IF(E880="USD",CONFIG!$B$5,1)</f>
        <v/>
      </c>
      <c r="R880">
        <f>IF(AND(A880&lt;&gt;"",ISNUMBER(A880),B880&lt;&gt;"",C880&lt;&gt;"",OR(E880="USD",E880="CRC"),F880&gt;0,ISNUMBER(Q880),Q880&gt;0),"✓ OK","✗ ERROR: Revisa datos")</f>
        <v/>
      </c>
    </row>
    <row r="881">
      <c r="A881" s="19" t="n"/>
      <c r="F881" s="20" t="n"/>
      <c r="Q881" s="10">
        <f>IF(E881="USD",CONFIG!$B$5,1)</f>
        <v/>
      </c>
      <c r="R881">
        <f>IF(AND(A881&lt;&gt;"",ISNUMBER(A881),B881&lt;&gt;"",C881&lt;&gt;"",OR(E881="USD",E881="CRC"),F881&gt;0,ISNUMBER(Q881),Q881&gt;0),"✓ OK","✗ ERROR: Revisa datos")</f>
        <v/>
      </c>
    </row>
    <row r="882">
      <c r="A882" s="19" t="n"/>
      <c r="F882" s="20" t="n"/>
      <c r="Q882" s="10">
        <f>IF(E882="USD",CONFIG!$B$5,1)</f>
        <v/>
      </c>
      <c r="R882">
        <f>IF(AND(A882&lt;&gt;"",ISNUMBER(A882),B882&lt;&gt;"",C882&lt;&gt;"",OR(E882="USD",E882="CRC"),F882&gt;0,ISNUMBER(Q882),Q882&gt;0),"✓ OK","✗ ERROR: Revisa datos")</f>
        <v/>
      </c>
    </row>
    <row r="883">
      <c r="A883" s="19" t="n"/>
      <c r="F883" s="20" t="n"/>
      <c r="Q883" s="10">
        <f>IF(E883="USD",CONFIG!$B$5,1)</f>
        <v/>
      </c>
      <c r="R883">
        <f>IF(AND(A883&lt;&gt;"",ISNUMBER(A883),B883&lt;&gt;"",C883&lt;&gt;"",OR(E883="USD",E883="CRC"),F883&gt;0,ISNUMBER(Q883),Q883&gt;0),"✓ OK","✗ ERROR: Revisa datos")</f>
        <v/>
      </c>
    </row>
    <row r="884">
      <c r="A884" s="19" t="n"/>
      <c r="F884" s="20" t="n"/>
      <c r="Q884" s="10">
        <f>IF(E884="USD",CONFIG!$B$5,1)</f>
        <v/>
      </c>
      <c r="R884">
        <f>IF(AND(A884&lt;&gt;"",ISNUMBER(A884),B884&lt;&gt;"",C884&lt;&gt;"",OR(E884="USD",E884="CRC"),F884&gt;0,ISNUMBER(Q884),Q884&gt;0),"✓ OK","✗ ERROR: Revisa datos")</f>
        <v/>
      </c>
    </row>
    <row r="885">
      <c r="A885" s="19" t="n"/>
      <c r="F885" s="20" t="n"/>
      <c r="Q885" s="10">
        <f>IF(E885="USD",CONFIG!$B$5,1)</f>
        <v/>
      </c>
      <c r="R885">
        <f>IF(AND(A885&lt;&gt;"",ISNUMBER(A885),B885&lt;&gt;"",C885&lt;&gt;"",OR(E885="USD",E885="CRC"),F885&gt;0,ISNUMBER(Q885),Q885&gt;0),"✓ OK","✗ ERROR: Revisa datos")</f>
        <v/>
      </c>
    </row>
    <row r="886">
      <c r="A886" s="19" t="n"/>
      <c r="F886" s="20" t="n"/>
      <c r="Q886" s="10">
        <f>IF(E886="USD",CONFIG!$B$5,1)</f>
        <v/>
      </c>
      <c r="R886">
        <f>IF(AND(A886&lt;&gt;"",ISNUMBER(A886),B886&lt;&gt;"",C886&lt;&gt;"",OR(E886="USD",E886="CRC"),F886&gt;0,ISNUMBER(Q886),Q886&gt;0),"✓ OK","✗ ERROR: Revisa datos")</f>
        <v/>
      </c>
    </row>
    <row r="887">
      <c r="A887" s="19" t="n"/>
      <c r="F887" s="20" t="n"/>
      <c r="Q887" s="10">
        <f>IF(E887="USD",CONFIG!$B$5,1)</f>
        <v/>
      </c>
      <c r="R887">
        <f>IF(AND(A887&lt;&gt;"",ISNUMBER(A887),B887&lt;&gt;"",C887&lt;&gt;"",OR(E887="USD",E887="CRC"),F887&gt;0,ISNUMBER(Q887),Q887&gt;0),"✓ OK","✗ ERROR: Revisa datos")</f>
        <v/>
      </c>
    </row>
    <row r="888">
      <c r="A888" s="19" t="n"/>
      <c r="F888" s="20" t="n"/>
      <c r="Q888" s="10">
        <f>IF(E888="USD",CONFIG!$B$5,1)</f>
        <v/>
      </c>
      <c r="R888">
        <f>IF(AND(A888&lt;&gt;"",ISNUMBER(A888),B888&lt;&gt;"",C888&lt;&gt;"",OR(E888="USD",E888="CRC"),F888&gt;0,ISNUMBER(Q888),Q888&gt;0),"✓ OK","✗ ERROR: Revisa datos")</f>
        <v/>
      </c>
    </row>
    <row r="889">
      <c r="A889" s="19" t="n"/>
      <c r="F889" s="20" t="n"/>
      <c r="Q889" s="10">
        <f>IF(E889="USD",CONFIG!$B$5,1)</f>
        <v/>
      </c>
      <c r="R889">
        <f>IF(AND(A889&lt;&gt;"",ISNUMBER(A889),B889&lt;&gt;"",C889&lt;&gt;"",OR(E889="USD",E889="CRC"),F889&gt;0,ISNUMBER(Q889),Q889&gt;0),"✓ OK","✗ ERROR: Revisa datos")</f>
        <v/>
      </c>
    </row>
    <row r="890">
      <c r="A890" s="19" t="n"/>
      <c r="F890" s="20" t="n"/>
      <c r="Q890" s="10">
        <f>IF(E890="USD",CONFIG!$B$5,1)</f>
        <v/>
      </c>
      <c r="R890">
        <f>IF(AND(A890&lt;&gt;"",ISNUMBER(A890),B890&lt;&gt;"",C890&lt;&gt;"",OR(E890="USD",E890="CRC"),F890&gt;0,ISNUMBER(Q890),Q890&gt;0),"✓ OK","✗ ERROR: Revisa datos")</f>
        <v/>
      </c>
    </row>
    <row r="891">
      <c r="A891" s="19" t="n"/>
      <c r="F891" s="20" t="n"/>
      <c r="Q891" s="10">
        <f>IF(E891="USD",CONFIG!$B$5,1)</f>
        <v/>
      </c>
      <c r="R891">
        <f>IF(AND(A891&lt;&gt;"",ISNUMBER(A891),B891&lt;&gt;"",C891&lt;&gt;"",OR(E891="USD",E891="CRC"),F891&gt;0,ISNUMBER(Q891),Q891&gt;0),"✓ OK","✗ ERROR: Revisa datos")</f>
        <v/>
      </c>
    </row>
    <row r="892">
      <c r="A892" s="19" t="n"/>
      <c r="F892" s="20" t="n"/>
      <c r="Q892" s="10">
        <f>IF(E892="USD",CONFIG!$B$5,1)</f>
        <v/>
      </c>
      <c r="R892">
        <f>IF(AND(A892&lt;&gt;"",ISNUMBER(A892),B892&lt;&gt;"",C892&lt;&gt;"",OR(E892="USD",E892="CRC"),F892&gt;0,ISNUMBER(Q892),Q892&gt;0),"✓ OK","✗ ERROR: Revisa datos")</f>
        <v/>
      </c>
    </row>
    <row r="893">
      <c r="A893" s="19" t="n"/>
      <c r="F893" s="20" t="n"/>
      <c r="Q893" s="10">
        <f>IF(E893="USD",CONFIG!$B$5,1)</f>
        <v/>
      </c>
      <c r="R893">
        <f>IF(AND(A893&lt;&gt;"",ISNUMBER(A893),B893&lt;&gt;"",C893&lt;&gt;"",OR(E893="USD",E893="CRC"),F893&gt;0,ISNUMBER(Q893),Q893&gt;0),"✓ OK","✗ ERROR: Revisa datos")</f>
        <v/>
      </c>
    </row>
    <row r="894">
      <c r="A894" s="19" t="n"/>
      <c r="F894" s="20" t="n"/>
      <c r="Q894" s="10">
        <f>IF(E894="USD",CONFIG!$B$5,1)</f>
        <v/>
      </c>
      <c r="R894">
        <f>IF(AND(A894&lt;&gt;"",ISNUMBER(A894),B894&lt;&gt;"",C894&lt;&gt;"",OR(E894="USD",E894="CRC"),F894&gt;0,ISNUMBER(Q894),Q894&gt;0),"✓ OK","✗ ERROR: Revisa datos")</f>
        <v/>
      </c>
    </row>
    <row r="895">
      <c r="A895" s="19" t="n"/>
      <c r="F895" s="20" t="n"/>
      <c r="Q895" s="10">
        <f>IF(E895="USD",CONFIG!$B$5,1)</f>
        <v/>
      </c>
      <c r="R895">
        <f>IF(AND(A895&lt;&gt;"",ISNUMBER(A895),B895&lt;&gt;"",C895&lt;&gt;"",OR(E895="USD",E895="CRC"),F895&gt;0,ISNUMBER(Q895),Q895&gt;0),"✓ OK","✗ ERROR: Revisa datos")</f>
        <v/>
      </c>
    </row>
    <row r="896">
      <c r="A896" s="19" t="n"/>
      <c r="F896" s="20" t="n"/>
      <c r="Q896" s="10">
        <f>IF(E896="USD",CONFIG!$B$5,1)</f>
        <v/>
      </c>
      <c r="R896">
        <f>IF(AND(A896&lt;&gt;"",ISNUMBER(A896),B896&lt;&gt;"",C896&lt;&gt;"",OR(E896="USD",E896="CRC"),F896&gt;0,ISNUMBER(Q896),Q896&gt;0),"✓ OK","✗ ERROR: Revisa datos")</f>
        <v/>
      </c>
    </row>
    <row r="897">
      <c r="A897" s="19" t="n"/>
      <c r="F897" s="20" t="n"/>
      <c r="Q897" s="10">
        <f>IF(E897="USD",CONFIG!$B$5,1)</f>
        <v/>
      </c>
      <c r="R897">
        <f>IF(AND(A897&lt;&gt;"",ISNUMBER(A897),B897&lt;&gt;"",C897&lt;&gt;"",OR(E897="USD",E897="CRC"),F897&gt;0,ISNUMBER(Q897),Q897&gt;0),"✓ OK","✗ ERROR: Revisa datos")</f>
        <v/>
      </c>
    </row>
    <row r="898">
      <c r="A898" s="19" t="n"/>
      <c r="F898" s="20" t="n"/>
      <c r="Q898" s="10">
        <f>IF(E898="USD",CONFIG!$B$5,1)</f>
        <v/>
      </c>
      <c r="R898">
        <f>IF(AND(A898&lt;&gt;"",ISNUMBER(A898),B898&lt;&gt;"",C898&lt;&gt;"",OR(E898="USD",E898="CRC"),F898&gt;0,ISNUMBER(Q898),Q898&gt;0),"✓ OK","✗ ERROR: Revisa datos")</f>
        <v/>
      </c>
    </row>
    <row r="899">
      <c r="A899" s="19" t="n"/>
      <c r="F899" s="20" t="n"/>
      <c r="Q899" s="10">
        <f>IF(E899="USD",CONFIG!$B$5,1)</f>
        <v/>
      </c>
      <c r="R899">
        <f>IF(AND(A899&lt;&gt;"",ISNUMBER(A899),B899&lt;&gt;"",C899&lt;&gt;"",OR(E899="USD",E899="CRC"),F899&gt;0,ISNUMBER(Q899),Q899&gt;0),"✓ OK","✗ ERROR: Revisa datos")</f>
        <v/>
      </c>
    </row>
    <row r="900">
      <c r="A900" s="19" t="n"/>
      <c r="F900" s="20" t="n"/>
      <c r="Q900" s="10">
        <f>IF(E900="USD",CONFIG!$B$5,1)</f>
        <v/>
      </c>
      <c r="R900">
        <f>IF(AND(A900&lt;&gt;"",ISNUMBER(A900),B900&lt;&gt;"",C900&lt;&gt;"",OR(E900="USD",E900="CRC"),F900&gt;0,ISNUMBER(Q900),Q900&gt;0),"✓ OK","✗ ERROR: Revisa datos")</f>
        <v/>
      </c>
    </row>
    <row r="901">
      <c r="A901" s="19" t="n"/>
      <c r="F901" s="20" t="n"/>
      <c r="Q901" s="10">
        <f>IF(E901="USD",CONFIG!$B$5,1)</f>
        <v/>
      </c>
      <c r="R901">
        <f>IF(AND(A901&lt;&gt;"",ISNUMBER(A901),B901&lt;&gt;"",C901&lt;&gt;"",OR(E901="USD",E901="CRC"),F901&gt;0,ISNUMBER(Q901),Q901&gt;0),"✓ OK","✗ ERROR: Revisa datos")</f>
        <v/>
      </c>
    </row>
    <row r="902">
      <c r="A902" s="19" t="n"/>
      <c r="F902" s="20" t="n"/>
      <c r="Q902" s="10">
        <f>IF(E902="USD",CONFIG!$B$5,1)</f>
        <v/>
      </c>
      <c r="R902">
        <f>IF(AND(A902&lt;&gt;"",ISNUMBER(A902),B902&lt;&gt;"",C902&lt;&gt;"",OR(E902="USD",E902="CRC"),F902&gt;0,ISNUMBER(Q902),Q902&gt;0),"✓ OK","✗ ERROR: Revisa datos")</f>
        <v/>
      </c>
    </row>
    <row r="903">
      <c r="A903" s="19" t="n"/>
      <c r="F903" s="20" t="n"/>
      <c r="Q903" s="10">
        <f>IF(E903="USD",CONFIG!$B$5,1)</f>
        <v/>
      </c>
      <c r="R903">
        <f>IF(AND(A903&lt;&gt;"",ISNUMBER(A903),B903&lt;&gt;"",C903&lt;&gt;"",OR(E903="USD",E903="CRC"),F903&gt;0,ISNUMBER(Q903),Q903&gt;0),"✓ OK","✗ ERROR: Revisa datos")</f>
        <v/>
      </c>
    </row>
    <row r="904">
      <c r="A904" s="19" t="n"/>
      <c r="F904" s="20" t="n"/>
      <c r="Q904" s="10">
        <f>IF(E904="USD",CONFIG!$B$5,1)</f>
        <v/>
      </c>
      <c r="R904">
        <f>IF(AND(A904&lt;&gt;"",ISNUMBER(A904),B904&lt;&gt;"",C904&lt;&gt;"",OR(E904="USD",E904="CRC"),F904&gt;0,ISNUMBER(Q904),Q904&gt;0),"✓ OK","✗ ERROR: Revisa datos")</f>
        <v/>
      </c>
    </row>
    <row r="905">
      <c r="A905" s="19" t="n"/>
      <c r="F905" s="20" t="n"/>
      <c r="Q905" s="10">
        <f>IF(E905="USD",CONFIG!$B$5,1)</f>
        <v/>
      </c>
      <c r="R905">
        <f>IF(AND(A905&lt;&gt;"",ISNUMBER(A905),B905&lt;&gt;"",C905&lt;&gt;"",OR(E905="USD",E905="CRC"),F905&gt;0,ISNUMBER(Q905),Q905&gt;0),"✓ OK","✗ ERROR: Revisa datos")</f>
        <v/>
      </c>
    </row>
    <row r="906">
      <c r="A906" s="19" t="n"/>
      <c r="F906" s="20" t="n"/>
      <c r="Q906" s="10">
        <f>IF(E906="USD",CONFIG!$B$5,1)</f>
        <v/>
      </c>
      <c r="R906">
        <f>IF(AND(A906&lt;&gt;"",ISNUMBER(A906),B906&lt;&gt;"",C906&lt;&gt;"",OR(E906="USD",E906="CRC"),F906&gt;0,ISNUMBER(Q906),Q906&gt;0),"✓ OK","✗ ERROR: Revisa datos")</f>
        <v/>
      </c>
    </row>
    <row r="907">
      <c r="A907" s="19" t="n"/>
      <c r="F907" s="20" t="n"/>
      <c r="Q907" s="10">
        <f>IF(E907="USD",CONFIG!$B$5,1)</f>
        <v/>
      </c>
      <c r="R907">
        <f>IF(AND(A907&lt;&gt;"",ISNUMBER(A907),B907&lt;&gt;"",C907&lt;&gt;"",OR(E907="USD",E907="CRC"),F907&gt;0,ISNUMBER(Q907),Q907&gt;0),"✓ OK","✗ ERROR: Revisa datos")</f>
        <v/>
      </c>
    </row>
    <row r="908">
      <c r="A908" s="19" t="n"/>
      <c r="F908" s="20" t="n"/>
      <c r="Q908" s="10">
        <f>IF(E908="USD",CONFIG!$B$5,1)</f>
        <v/>
      </c>
      <c r="R908">
        <f>IF(AND(A908&lt;&gt;"",ISNUMBER(A908),B908&lt;&gt;"",C908&lt;&gt;"",OR(E908="USD",E908="CRC"),F908&gt;0,ISNUMBER(Q908),Q908&gt;0),"✓ OK","✗ ERROR: Revisa datos")</f>
        <v/>
      </c>
    </row>
    <row r="909">
      <c r="A909" s="19" t="n"/>
      <c r="F909" s="20" t="n"/>
      <c r="Q909" s="10">
        <f>IF(E909="USD",CONFIG!$B$5,1)</f>
        <v/>
      </c>
      <c r="R909">
        <f>IF(AND(A909&lt;&gt;"",ISNUMBER(A909),B909&lt;&gt;"",C909&lt;&gt;"",OR(E909="USD",E909="CRC"),F909&gt;0,ISNUMBER(Q909),Q909&gt;0),"✓ OK","✗ ERROR: Revisa datos")</f>
        <v/>
      </c>
    </row>
    <row r="910">
      <c r="A910" s="19" t="n"/>
      <c r="F910" s="20" t="n"/>
      <c r="Q910" s="10">
        <f>IF(E910="USD",CONFIG!$B$5,1)</f>
        <v/>
      </c>
      <c r="R910">
        <f>IF(AND(A910&lt;&gt;"",ISNUMBER(A910),B910&lt;&gt;"",C910&lt;&gt;"",OR(E910="USD",E910="CRC"),F910&gt;0,ISNUMBER(Q910),Q910&gt;0),"✓ OK","✗ ERROR: Revisa datos")</f>
        <v/>
      </c>
    </row>
    <row r="911">
      <c r="A911" s="19" t="n"/>
      <c r="F911" s="20" t="n"/>
      <c r="Q911" s="10">
        <f>IF(E911="USD",CONFIG!$B$5,1)</f>
        <v/>
      </c>
      <c r="R911">
        <f>IF(AND(A911&lt;&gt;"",ISNUMBER(A911),B911&lt;&gt;"",C911&lt;&gt;"",OR(E911="USD",E911="CRC"),F911&gt;0,ISNUMBER(Q911),Q911&gt;0),"✓ OK","✗ ERROR: Revisa datos")</f>
        <v/>
      </c>
    </row>
    <row r="912">
      <c r="A912" s="19" t="n"/>
      <c r="F912" s="20" t="n"/>
      <c r="Q912" s="10">
        <f>IF(E912="USD",CONFIG!$B$5,1)</f>
        <v/>
      </c>
      <c r="R912">
        <f>IF(AND(A912&lt;&gt;"",ISNUMBER(A912),B912&lt;&gt;"",C912&lt;&gt;"",OR(E912="USD",E912="CRC"),F912&gt;0,ISNUMBER(Q912),Q912&gt;0),"✓ OK","✗ ERROR: Revisa datos")</f>
        <v/>
      </c>
    </row>
    <row r="913">
      <c r="A913" s="19" t="n"/>
      <c r="F913" s="20" t="n"/>
      <c r="Q913" s="10">
        <f>IF(E913="USD",CONFIG!$B$5,1)</f>
        <v/>
      </c>
      <c r="R913">
        <f>IF(AND(A913&lt;&gt;"",ISNUMBER(A913),B913&lt;&gt;"",C913&lt;&gt;"",OR(E913="USD",E913="CRC"),F913&gt;0,ISNUMBER(Q913),Q913&gt;0),"✓ OK","✗ ERROR: Revisa datos")</f>
        <v/>
      </c>
    </row>
    <row r="914">
      <c r="A914" s="19" t="n"/>
      <c r="F914" s="20" t="n"/>
      <c r="Q914" s="10">
        <f>IF(E914="USD",CONFIG!$B$5,1)</f>
        <v/>
      </c>
      <c r="R914">
        <f>IF(AND(A914&lt;&gt;"",ISNUMBER(A914),B914&lt;&gt;"",C914&lt;&gt;"",OR(E914="USD",E914="CRC"),F914&gt;0,ISNUMBER(Q914),Q914&gt;0),"✓ OK","✗ ERROR: Revisa datos")</f>
        <v/>
      </c>
    </row>
    <row r="915">
      <c r="A915" s="19" t="n"/>
      <c r="F915" s="20" t="n"/>
      <c r="Q915" s="10">
        <f>IF(E915="USD",CONFIG!$B$5,1)</f>
        <v/>
      </c>
      <c r="R915">
        <f>IF(AND(A915&lt;&gt;"",ISNUMBER(A915),B915&lt;&gt;"",C915&lt;&gt;"",OR(E915="USD",E915="CRC"),F915&gt;0,ISNUMBER(Q915),Q915&gt;0),"✓ OK","✗ ERROR: Revisa datos")</f>
        <v/>
      </c>
    </row>
    <row r="916">
      <c r="A916" s="19" t="n"/>
      <c r="F916" s="20" t="n"/>
      <c r="Q916" s="10">
        <f>IF(E916="USD",CONFIG!$B$5,1)</f>
        <v/>
      </c>
      <c r="R916">
        <f>IF(AND(A916&lt;&gt;"",ISNUMBER(A916),B916&lt;&gt;"",C916&lt;&gt;"",OR(E916="USD",E916="CRC"),F916&gt;0,ISNUMBER(Q916),Q916&gt;0),"✓ OK","✗ ERROR: Revisa datos")</f>
        <v/>
      </c>
    </row>
    <row r="917">
      <c r="A917" s="19" t="n"/>
      <c r="F917" s="20" t="n"/>
      <c r="Q917" s="10">
        <f>IF(E917="USD",CONFIG!$B$5,1)</f>
        <v/>
      </c>
      <c r="R917">
        <f>IF(AND(A917&lt;&gt;"",ISNUMBER(A917),B917&lt;&gt;"",C917&lt;&gt;"",OR(E917="USD",E917="CRC"),F917&gt;0,ISNUMBER(Q917),Q917&gt;0),"✓ OK","✗ ERROR: Revisa datos")</f>
        <v/>
      </c>
    </row>
    <row r="918">
      <c r="A918" s="19" t="n"/>
      <c r="F918" s="20" t="n"/>
      <c r="Q918" s="10">
        <f>IF(E918="USD",CONFIG!$B$5,1)</f>
        <v/>
      </c>
      <c r="R918">
        <f>IF(AND(A918&lt;&gt;"",ISNUMBER(A918),B918&lt;&gt;"",C918&lt;&gt;"",OR(E918="USD",E918="CRC"),F918&gt;0,ISNUMBER(Q918),Q918&gt;0),"✓ OK","✗ ERROR: Revisa datos")</f>
        <v/>
      </c>
    </row>
    <row r="919">
      <c r="A919" s="19" t="n"/>
      <c r="F919" s="20" t="n"/>
      <c r="Q919" s="10">
        <f>IF(E919="USD",CONFIG!$B$5,1)</f>
        <v/>
      </c>
      <c r="R919">
        <f>IF(AND(A919&lt;&gt;"",ISNUMBER(A919),B919&lt;&gt;"",C919&lt;&gt;"",OR(E919="USD",E919="CRC"),F919&gt;0,ISNUMBER(Q919),Q919&gt;0),"✓ OK","✗ ERROR: Revisa datos")</f>
        <v/>
      </c>
    </row>
    <row r="920">
      <c r="A920" s="19" t="n"/>
      <c r="F920" s="20" t="n"/>
      <c r="Q920" s="10">
        <f>IF(E920="USD",CONFIG!$B$5,1)</f>
        <v/>
      </c>
      <c r="R920">
        <f>IF(AND(A920&lt;&gt;"",ISNUMBER(A920),B920&lt;&gt;"",C920&lt;&gt;"",OR(E920="USD",E920="CRC"),F920&gt;0,ISNUMBER(Q920),Q920&gt;0),"✓ OK","✗ ERROR: Revisa datos")</f>
        <v/>
      </c>
    </row>
    <row r="921">
      <c r="A921" s="19" t="n"/>
      <c r="F921" s="20" t="n"/>
      <c r="Q921" s="10">
        <f>IF(E921="USD",CONFIG!$B$5,1)</f>
        <v/>
      </c>
      <c r="R921">
        <f>IF(AND(A921&lt;&gt;"",ISNUMBER(A921),B921&lt;&gt;"",C921&lt;&gt;"",OR(E921="USD",E921="CRC"),F921&gt;0,ISNUMBER(Q921),Q921&gt;0),"✓ OK","✗ ERROR: Revisa datos")</f>
        <v/>
      </c>
    </row>
    <row r="922">
      <c r="A922" s="19" t="n"/>
      <c r="F922" s="20" t="n"/>
      <c r="Q922" s="10">
        <f>IF(E922="USD",CONFIG!$B$5,1)</f>
        <v/>
      </c>
      <c r="R922">
        <f>IF(AND(A922&lt;&gt;"",ISNUMBER(A922),B922&lt;&gt;"",C922&lt;&gt;"",OR(E922="USD",E922="CRC"),F922&gt;0,ISNUMBER(Q922),Q922&gt;0),"✓ OK","✗ ERROR: Revisa datos")</f>
        <v/>
      </c>
    </row>
    <row r="923">
      <c r="A923" s="19" t="n"/>
      <c r="F923" s="20" t="n"/>
      <c r="Q923" s="10">
        <f>IF(E923="USD",CONFIG!$B$5,1)</f>
        <v/>
      </c>
      <c r="R923">
        <f>IF(AND(A923&lt;&gt;"",ISNUMBER(A923),B923&lt;&gt;"",C923&lt;&gt;"",OR(E923="USD",E923="CRC"),F923&gt;0,ISNUMBER(Q923),Q923&gt;0),"✓ OK","✗ ERROR: Revisa datos")</f>
        <v/>
      </c>
    </row>
    <row r="924">
      <c r="A924" s="19" t="n"/>
      <c r="F924" s="20" t="n"/>
      <c r="Q924" s="10">
        <f>IF(E924="USD",CONFIG!$B$5,1)</f>
        <v/>
      </c>
      <c r="R924">
        <f>IF(AND(A924&lt;&gt;"",ISNUMBER(A924),B924&lt;&gt;"",C924&lt;&gt;"",OR(E924="USD",E924="CRC"),F924&gt;0,ISNUMBER(Q924),Q924&gt;0),"✓ OK","✗ ERROR: Revisa datos")</f>
        <v/>
      </c>
    </row>
    <row r="925">
      <c r="A925" s="19" t="n"/>
      <c r="F925" s="20" t="n"/>
      <c r="Q925" s="10">
        <f>IF(E925="USD",CONFIG!$B$5,1)</f>
        <v/>
      </c>
      <c r="R925">
        <f>IF(AND(A925&lt;&gt;"",ISNUMBER(A925),B925&lt;&gt;"",C925&lt;&gt;"",OR(E925="USD",E925="CRC"),F925&gt;0,ISNUMBER(Q925),Q925&gt;0),"✓ OK","✗ ERROR: Revisa datos")</f>
        <v/>
      </c>
    </row>
    <row r="926">
      <c r="A926" s="19" t="n"/>
      <c r="F926" s="20" t="n"/>
      <c r="Q926" s="10">
        <f>IF(E926="USD",CONFIG!$B$5,1)</f>
        <v/>
      </c>
      <c r="R926">
        <f>IF(AND(A926&lt;&gt;"",ISNUMBER(A926),B926&lt;&gt;"",C926&lt;&gt;"",OR(E926="USD",E926="CRC"),F926&gt;0,ISNUMBER(Q926),Q926&gt;0),"✓ OK","✗ ERROR: Revisa datos")</f>
        <v/>
      </c>
    </row>
    <row r="927">
      <c r="A927" s="19" t="n"/>
      <c r="F927" s="20" t="n"/>
      <c r="Q927" s="10">
        <f>IF(E927="USD",CONFIG!$B$5,1)</f>
        <v/>
      </c>
      <c r="R927">
        <f>IF(AND(A927&lt;&gt;"",ISNUMBER(A927),B927&lt;&gt;"",C927&lt;&gt;"",OR(E927="USD",E927="CRC"),F927&gt;0,ISNUMBER(Q927),Q927&gt;0),"✓ OK","✗ ERROR: Revisa datos")</f>
        <v/>
      </c>
    </row>
    <row r="928">
      <c r="A928" s="19" t="n"/>
      <c r="F928" s="20" t="n"/>
      <c r="Q928" s="10">
        <f>IF(E928="USD",CONFIG!$B$5,1)</f>
        <v/>
      </c>
      <c r="R928">
        <f>IF(AND(A928&lt;&gt;"",ISNUMBER(A928),B928&lt;&gt;"",C928&lt;&gt;"",OR(E928="USD",E928="CRC"),F928&gt;0,ISNUMBER(Q928),Q928&gt;0),"✓ OK","✗ ERROR: Revisa datos")</f>
        <v/>
      </c>
    </row>
    <row r="929">
      <c r="A929" s="19" t="n"/>
      <c r="F929" s="20" t="n"/>
      <c r="Q929" s="10">
        <f>IF(E929="USD",CONFIG!$B$5,1)</f>
        <v/>
      </c>
      <c r="R929">
        <f>IF(AND(A929&lt;&gt;"",ISNUMBER(A929),B929&lt;&gt;"",C929&lt;&gt;"",OR(E929="USD",E929="CRC"),F929&gt;0,ISNUMBER(Q929),Q929&gt;0),"✓ OK","✗ ERROR: Revisa datos")</f>
        <v/>
      </c>
    </row>
    <row r="930">
      <c r="A930" s="19" t="n"/>
      <c r="F930" s="20" t="n"/>
      <c r="Q930" s="10">
        <f>IF(E930="USD",CONFIG!$B$5,1)</f>
        <v/>
      </c>
      <c r="R930">
        <f>IF(AND(A930&lt;&gt;"",ISNUMBER(A930),B930&lt;&gt;"",C930&lt;&gt;"",OR(E930="USD",E930="CRC"),F930&gt;0,ISNUMBER(Q930),Q930&gt;0),"✓ OK","✗ ERROR: Revisa datos")</f>
        <v/>
      </c>
    </row>
    <row r="931">
      <c r="A931" s="19" t="n"/>
      <c r="F931" s="20" t="n"/>
      <c r="Q931" s="10">
        <f>IF(E931="USD",CONFIG!$B$5,1)</f>
        <v/>
      </c>
      <c r="R931">
        <f>IF(AND(A931&lt;&gt;"",ISNUMBER(A931),B931&lt;&gt;"",C931&lt;&gt;"",OR(E931="USD",E931="CRC"),F931&gt;0,ISNUMBER(Q931),Q931&gt;0),"✓ OK","✗ ERROR: Revisa datos")</f>
        <v/>
      </c>
    </row>
    <row r="932">
      <c r="A932" s="19" t="n"/>
      <c r="F932" s="20" t="n"/>
      <c r="Q932" s="10">
        <f>IF(E932="USD",CONFIG!$B$5,1)</f>
        <v/>
      </c>
      <c r="R932">
        <f>IF(AND(A932&lt;&gt;"",ISNUMBER(A932),B932&lt;&gt;"",C932&lt;&gt;"",OR(E932="USD",E932="CRC"),F932&gt;0,ISNUMBER(Q932),Q932&gt;0),"✓ OK","✗ ERROR: Revisa datos")</f>
        <v/>
      </c>
    </row>
    <row r="933">
      <c r="A933" s="19" t="n"/>
      <c r="F933" s="20" t="n"/>
      <c r="Q933" s="10">
        <f>IF(E933="USD",CONFIG!$B$5,1)</f>
        <v/>
      </c>
      <c r="R933">
        <f>IF(AND(A933&lt;&gt;"",ISNUMBER(A933),B933&lt;&gt;"",C933&lt;&gt;"",OR(E933="USD",E933="CRC"),F933&gt;0,ISNUMBER(Q933),Q933&gt;0),"✓ OK","✗ ERROR: Revisa datos")</f>
        <v/>
      </c>
    </row>
    <row r="934">
      <c r="A934" s="19" t="n"/>
      <c r="F934" s="20" t="n"/>
      <c r="Q934" s="10">
        <f>IF(E934="USD",CONFIG!$B$5,1)</f>
        <v/>
      </c>
      <c r="R934">
        <f>IF(AND(A934&lt;&gt;"",ISNUMBER(A934),B934&lt;&gt;"",C934&lt;&gt;"",OR(E934="USD",E934="CRC"),F934&gt;0,ISNUMBER(Q934),Q934&gt;0),"✓ OK","✗ ERROR: Revisa datos")</f>
        <v/>
      </c>
    </row>
    <row r="935">
      <c r="A935" s="19" t="n"/>
      <c r="F935" s="20" t="n"/>
      <c r="Q935" s="10">
        <f>IF(E935="USD",CONFIG!$B$5,1)</f>
        <v/>
      </c>
      <c r="R935">
        <f>IF(AND(A935&lt;&gt;"",ISNUMBER(A935),B935&lt;&gt;"",C935&lt;&gt;"",OR(E935="USD",E935="CRC"),F935&gt;0,ISNUMBER(Q935),Q935&gt;0),"✓ OK","✗ ERROR: Revisa datos")</f>
        <v/>
      </c>
    </row>
    <row r="936">
      <c r="A936" s="19" t="n"/>
      <c r="F936" s="20" t="n"/>
      <c r="Q936" s="10">
        <f>IF(E936="USD",CONFIG!$B$5,1)</f>
        <v/>
      </c>
      <c r="R936">
        <f>IF(AND(A936&lt;&gt;"",ISNUMBER(A936),B936&lt;&gt;"",C936&lt;&gt;"",OR(E936="USD",E936="CRC"),F936&gt;0,ISNUMBER(Q936),Q936&gt;0),"✓ OK","✗ ERROR: Revisa datos")</f>
        <v/>
      </c>
    </row>
    <row r="937">
      <c r="A937" s="19" t="n"/>
      <c r="F937" s="20" t="n"/>
      <c r="Q937" s="10">
        <f>IF(E937="USD",CONFIG!$B$5,1)</f>
        <v/>
      </c>
      <c r="R937">
        <f>IF(AND(A937&lt;&gt;"",ISNUMBER(A937),B937&lt;&gt;"",C937&lt;&gt;"",OR(E937="USD",E937="CRC"),F937&gt;0,ISNUMBER(Q937),Q937&gt;0),"✓ OK","✗ ERROR: Revisa datos")</f>
        <v/>
      </c>
    </row>
    <row r="938">
      <c r="A938" s="19" t="n"/>
      <c r="F938" s="20" t="n"/>
      <c r="Q938" s="10">
        <f>IF(E938="USD",CONFIG!$B$5,1)</f>
        <v/>
      </c>
      <c r="R938">
        <f>IF(AND(A938&lt;&gt;"",ISNUMBER(A938),B938&lt;&gt;"",C938&lt;&gt;"",OR(E938="USD",E938="CRC"),F938&gt;0,ISNUMBER(Q938),Q938&gt;0),"✓ OK","✗ ERROR: Revisa datos")</f>
        <v/>
      </c>
    </row>
    <row r="939">
      <c r="A939" s="19" t="n"/>
      <c r="F939" s="20" t="n"/>
      <c r="Q939" s="10">
        <f>IF(E939="USD",CONFIG!$B$5,1)</f>
        <v/>
      </c>
      <c r="R939">
        <f>IF(AND(A939&lt;&gt;"",ISNUMBER(A939),B939&lt;&gt;"",C939&lt;&gt;"",OR(E939="USD",E939="CRC"),F939&gt;0,ISNUMBER(Q939),Q939&gt;0),"✓ OK","✗ ERROR: Revisa datos")</f>
        <v/>
      </c>
    </row>
    <row r="940">
      <c r="A940" s="19" t="n"/>
      <c r="F940" s="20" t="n"/>
      <c r="Q940" s="10">
        <f>IF(E940="USD",CONFIG!$B$5,1)</f>
        <v/>
      </c>
      <c r="R940">
        <f>IF(AND(A940&lt;&gt;"",ISNUMBER(A940),B940&lt;&gt;"",C940&lt;&gt;"",OR(E940="USD",E940="CRC"),F940&gt;0,ISNUMBER(Q940),Q940&gt;0),"✓ OK","✗ ERROR: Revisa datos")</f>
        <v/>
      </c>
    </row>
    <row r="941">
      <c r="A941" s="19" t="n"/>
      <c r="F941" s="20" t="n"/>
      <c r="Q941" s="10">
        <f>IF(E941="USD",CONFIG!$B$5,1)</f>
        <v/>
      </c>
      <c r="R941">
        <f>IF(AND(A941&lt;&gt;"",ISNUMBER(A941),B941&lt;&gt;"",C941&lt;&gt;"",OR(E941="USD",E941="CRC"),F941&gt;0,ISNUMBER(Q941),Q941&gt;0),"✓ OK","✗ ERROR: Revisa datos")</f>
        <v/>
      </c>
    </row>
    <row r="942">
      <c r="A942" s="19" t="n"/>
      <c r="F942" s="20" t="n"/>
      <c r="Q942" s="10">
        <f>IF(E942="USD",CONFIG!$B$5,1)</f>
        <v/>
      </c>
      <c r="R942">
        <f>IF(AND(A942&lt;&gt;"",ISNUMBER(A942),B942&lt;&gt;"",C942&lt;&gt;"",OR(E942="USD",E942="CRC"),F942&gt;0,ISNUMBER(Q942),Q942&gt;0),"✓ OK","✗ ERROR: Revisa datos")</f>
        <v/>
      </c>
    </row>
    <row r="943">
      <c r="A943" s="19" t="n"/>
      <c r="F943" s="20" t="n"/>
      <c r="Q943" s="10">
        <f>IF(E943="USD",CONFIG!$B$5,1)</f>
        <v/>
      </c>
      <c r="R943">
        <f>IF(AND(A943&lt;&gt;"",ISNUMBER(A943),B943&lt;&gt;"",C943&lt;&gt;"",OR(E943="USD",E943="CRC"),F943&gt;0,ISNUMBER(Q943),Q943&gt;0),"✓ OK","✗ ERROR: Revisa datos")</f>
        <v/>
      </c>
    </row>
    <row r="944">
      <c r="A944" s="19" t="n"/>
      <c r="F944" s="20" t="n"/>
      <c r="Q944" s="10">
        <f>IF(E944="USD",CONFIG!$B$5,1)</f>
        <v/>
      </c>
      <c r="R944">
        <f>IF(AND(A944&lt;&gt;"",ISNUMBER(A944),B944&lt;&gt;"",C944&lt;&gt;"",OR(E944="USD",E944="CRC"),F944&gt;0,ISNUMBER(Q944),Q944&gt;0),"✓ OK","✗ ERROR: Revisa datos")</f>
        <v/>
      </c>
    </row>
    <row r="945">
      <c r="A945" s="19" t="n"/>
      <c r="F945" s="20" t="n"/>
      <c r="Q945" s="10">
        <f>IF(E945="USD",CONFIG!$B$5,1)</f>
        <v/>
      </c>
      <c r="R945">
        <f>IF(AND(A945&lt;&gt;"",ISNUMBER(A945),B945&lt;&gt;"",C945&lt;&gt;"",OR(E945="USD",E945="CRC"),F945&gt;0,ISNUMBER(Q945),Q945&gt;0),"✓ OK","✗ ERROR: Revisa datos")</f>
        <v/>
      </c>
    </row>
    <row r="946">
      <c r="A946" s="19" t="n"/>
      <c r="F946" s="20" t="n"/>
      <c r="Q946" s="10">
        <f>IF(E946="USD",CONFIG!$B$5,1)</f>
        <v/>
      </c>
      <c r="R946">
        <f>IF(AND(A946&lt;&gt;"",ISNUMBER(A946),B946&lt;&gt;"",C946&lt;&gt;"",OR(E946="USD",E946="CRC"),F946&gt;0,ISNUMBER(Q946),Q946&gt;0),"✓ OK","✗ ERROR: Revisa datos")</f>
        <v/>
      </c>
    </row>
    <row r="947">
      <c r="A947" s="19" t="n"/>
      <c r="F947" s="20" t="n"/>
      <c r="Q947" s="10">
        <f>IF(E947="USD",CONFIG!$B$5,1)</f>
        <v/>
      </c>
      <c r="R947">
        <f>IF(AND(A947&lt;&gt;"",ISNUMBER(A947),B947&lt;&gt;"",C947&lt;&gt;"",OR(E947="USD",E947="CRC"),F947&gt;0,ISNUMBER(Q947),Q947&gt;0),"✓ OK","✗ ERROR: Revisa datos")</f>
        <v/>
      </c>
    </row>
    <row r="948">
      <c r="A948" s="19" t="n"/>
      <c r="F948" s="20" t="n"/>
      <c r="Q948" s="10">
        <f>IF(E948="USD",CONFIG!$B$5,1)</f>
        <v/>
      </c>
      <c r="R948">
        <f>IF(AND(A948&lt;&gt;"",ISNUMBER(A948),B948&lt;&gt;"",C948&lt;&gt;"",OR(E948="USD",E948="CRC"),F948&gt;0,ISNUMBER(Q948),Q948&gt;0),"✓ OK","✗ ERROR: Revisa datos")</f>
        <v/>
      </c>
    </row>
    <row r="949">
      <c r="A949" s="19" t="n"/>
      <c r="F949" s="20" t="n"/>
      <c r="Q949" s="10">
        <f>IF(E949="USD",CONFIG!$B$5,1)</f>
        <v/>
      </c>
      <c r="R949">
        <f>IF(AND(A949&lt;&gt;"",ISNUMBER(A949),B949&lt;&gt;"",C949&lt;&gt;"",OR(E949="USD",E949="CRC"),F949&gt;0,ISNUMBER(Q949),Q949&gt;0),"✓ OK","✗ ERROR: Revisa datos")</f>
        <v/>
      </c>
    </row>
    <row r="950">
      <c r="A950" s="19" t="n"/>
      <c r="F950" s="20" t="n"/>
      <c r="Q950" s="10">
        <f>IF(E950="USD",CONFIG!$B$5,1)</f>
        <v/>
      </c>
      <c r="R950">
        <f>IF(AND(A950&lt;&gt;"",ISNUMBER(A950),B950&lt;&gt;"",C950&lt;&gt;"",OR(E950="USD",E950="CRC"),F950&gt;0,ISNUMBER(Q950),Q950&gt;0),"✓ OK","✗ ERROR: Revisa datos")</f>
        <v/>
      </c>
    </row>
    <row r="951">
      <c r="A951" s="19" t="n"/>
      <c r="F951" s="20" t="n"/>
      <c r="Q951" s="10">
        <f>IF(E951="USD",CONFIG!$B$5,1)</f>
        <v/>
      </c>
      <c r="R951">
        <f>IF(AND(A951&lt;&gt;"",ISNUMBER(A951),B951&lt;&gt;"",C951&lt;&gt;"",OR(E951="USD",E951="CRC"),F951&gt;0,ISNUMBER(Q951),Q951&gt;0),"✓ OK","✗ ERROR: Revisa datos")</f>
        <v/>
      </c>
    </row>
    <row r="952">
      <c r="A952" s="19" t="n"/>
      <c r="F952" s="20" t="n"/>
      <c r="Q952" s="10">
        <f>IF(E952="USD",CONFIG!$B$5,1)</f>
        <v/>
      </c>
      <c r="R952">
        <f>IF(AND(A952&lt;&gt;"",ISNUMBER(A952),B952&lt;&gt;"",C952&lt;&gt;"",OR(E952="USD",E952="CRC"),F952&gt;0,ISNUMBER(Q952),Q952&gt;0),"✓ OK","✗ ERROR: Revisa datos")</f>
        <v/>
      </c>
    </row>
    <row r="953">
      <c r="A953" s="19" t="n"/>
      <c r="F953" s="20" t="n"/>
      <c r="Q953" s="10">
        <f>IF(E953="USD",CONFIG!$B$5,1)</f>
        <v/>
      </c>
      <c r="R953">
        <f>IF(AND(A953&lt;&gt;"",ISNUMBER(A953),B953&lt;&gt;"",C953&lt;&gt;"",OR(E953="USD",E953="CRC"),F953&gt;0,ISNUMBER(Q953),Q953&gt;0),"✓ OK","✗ ERROR: Revisa datos")</f>
        <v/>
      </c>
    </row>
    <row r="954">
      <c r="A954" s="19" t="n"/>
      <c r="F954" s="20" t="n"/>
      <c r="Q954" s="10">
        <f>IF(E954="USD",CONFIG!$B$5,1)</f>
        <v/>
      </c>
      <c r="R954">
        <f>IF(AND(A954&lt;&gt;"",ISNUMBER(A954),B954&lt;&gt;"",C954&lt;&gt;"",OR(E954="USD",E954="CRC"),F954&gt;0,ISNUMBER(Q954),Q954&gt;0),"✓ OK","✗ ERROR: Revisa datos")</f>
        <v/>
      </c>
    </row>
    <row r="955">
      <c r="A955" s="19" t="n"/>
      <c r="F955" s="20" t="n"/>
      <c r="Q955" s="10">
        <f>IF(E955="USD",CONFIG!$B$5,1)</f>
        <v/>
      </c>
      <c r="R955">
        <f>IF(AND(A955&lt;&gt;"",ISNUMBER(A955),B955&lt;&gt;"",C955&lt;&gt;"",OR(E955="USD",E955="CRC"),F955&gt;0,ISNUMBER(Q955),Q955&gt;0),"✓ OK","✗ ERROR: Revisa datos")</f>
        <v/>
      </c>
    </row>
    <row r="956">
      <c r="A956" s="19" t="n"/>
      <c r="F956" s="20" t="n"/>
      <c r="Q956" s="10">
        <f>IF(E956="USD",CONFIG!$B$5,1)</f>
        <v/>
      </c>
      <c r="R956">
        <f>IF(AND(A956&lt;&gt;"",ISNUMBER(A956),B956&lt;&gt;"",C956&lt;&gt;"",OR(E956="USD",E956="CRC"),F956&gt;0,ISNUMBER(Q956),Q956&gt;0),"✓ OK","✗ ERROR: Revisa datos")</f>
        <v/>
      </c>
    </row>
    <row r="957">
      <c r="A957" s="19" t="n"/>
      <c r="F957" s="20" t="n"/>
      <c r="Q957" s="10">
        <f>IF(E957="USD",CONFIG!$B$5,1)</f>
        <v/>
      </c>
      <c r="R957">
        <f>IF(AND(A957&lt;&gt;"",ISNUMBER(A957),B957&lt;&gt;"",C957&lt;&gt;"",OR(E957="USD",E957="CRC"),F957&gt;0,ISNUMBER(Q957),Q957&gt;0),"✓ OK","✗ ERROR: Revisa datos")</f>
        <v/>
      </c>
    </row>
    <row r="958">
      <c r="A958" s="19" t="n"/>
      <c r="F958" s="20" t="n"/>
      <c r="Q958" s="10">
        <f>IF(E958="USD",CONFIG!$B$5,1)</f>
        <v/>
      </c>
      <c r="R958">
        <f>IF(AND(A958&lt;&gt;"",ISNUMBER(A958),B958&lt;&gt;"",C958&lt;&gt;"",OR(E958="USD",E958="CRC"),F958&gt;0,ISNUMBER(Q958),Q958&gt;0),"✓ OK","✗ ERROR: Revisa datos")</f>
        <v/>
      </c>
    </row>
    <row r="959">
      <c r="A959" s="19" t="n"/>
      <c r="F959" s="20" t="n"/>
      <c r="Q959" s="10">
        <f>IF(E959="USD",CONFIG!$B$5,1)</f>
        <v/>
      </c>
      <c r="R959">
        <f>IF(AND(A959&lt;&gt;"",ISNUMBER(A959),B959&lt;&gt;"",C959&lt;&gt;"",OR(E959="USD",E959="CRC"),F959&gt;0,ISNUMBER(Q959),Q959&gt;0),"✓ OK","✗ ERROR: Revisa datos")</f>
        <v/>
      </c>
    </row>
    <row r="960">
      <c r="A960" s="19" t="n"/>
      <c r="F960" s="20" t="n"/>
      <c r="Q960" s="10">
        <f>IF(E960="USD",CONFIG!$B$5,1)</f>
        <v/>
      </c>
      <c r="R960">
        <f>IF(AND(A960&lt;&gt;"",ISNUMBER(A960),B960&lt;&gt;"",C960&lt;&gt;"",OR(E960="USD",E960="CRC"),F960&gt;0,ISNUMBER(Q960),Q960&gt;0),"✓ OK","✗ ERROR: Revisa datos")</f>
        <v/>
      </c>
    </row>
    <row r="961">
      <c r="A961" s="19" t="n"/>
      <c r="F961" s="20" t="n"/>
      <c r="Q961" s="10">
        <f>IF(E961="USD",CONFIG!$B$5,1)</f>
        <v/>
      </c>
      <c r="R961">
        <f>IF(AND(A961&lt;&gt;"",ISNUMBER(A961),B961&lt;&gt;"",C961&lt;&gt;"",OR(E961="USD",E961="CRC"),F961&gt;0,ISNUMBER(Q961),Q961&gt;0),"✓ OK","✗ ERROR: Revisa datos")</f>
        <v/>
      </c>
    </row>
    <row r="962">
      <c r="A962" s="19" t="n"/>
      <c r="F962" s="20" t="n"/>
      <c r="Q962" s="10">
        <f>IF(E962="USD",CONFIG!$B$5,1)</f>
        <v/>
      </c>
      <c r="R962">
        <f>IF(AND(A962&lt;&gt;"",ISNUMBER(A962),B962&lt;&gt;"",C962&lt;&gt;"",OR(E962="USD",E962="CRC"),F962&gt;0,ISNUMBER(Q962),Q962&gt;0),"✓ OK","✗ ERROR: Revisa datos")</f>
        <v/>
      </c>
    </row>
    <row r="963">
      <c r="A963" s="19" t="n"/>
      <c r="F963" s="20" t="n"/>
      <c r="Q963" s="10">
        <f>IF(E963="USD",CONFIG!$B$5,1)</f>
        <v/>
      </c>
      <c r="R963">
        <f>IF(AND(A963&lt;&gt;"",ISNUMBER(A963),B963&lt;&gt;"",C963&lt;&gt;"",OR(E963="USD",E963="CRC"),F963&gt;0,ISNUMBER(Q963),Q963&gt;0),"✓ OK","✗ ERROR: Revisa datos")</f>
        <v/>
      </c>
    </row>
    <row r="964">
      <c r="A964" s="19" t="n"/>
      <c r="F964" s="20" t="n"/>
      <c r="Q964" s="10">
        <f>IF(E964="USD",CONFIG!$B$5,1)</f>
        <v/>
      </c>
      <c r="R964">
        <f>IF(AND(A964&lt;&gt;"",ISNUMBER(A964),B964&lt;&gt;"",C964&lt;&gt;"",OR(E964="USD",E964="CRC"),F964&gt;0,ISNUMBER(Q964),Q964&gt;0),"✓ OK","✗ ERROR: Revisa datos")</f>
        <v/>
      </c>
    </row>
    <row r="965">
      <c r="A965" s="19" t="n"/>
      <c r="F965" s="20" t="n"/>
      <c r="Q965" s="10">
        <f>IF(E965="USD",CONFIG!$B$5,1)</f>
        <v/>
      </c>
      <c r="R965">
        <f>IF(AND(A965&lt;&gt;"",ISNUMBER(A965),B965&lt;&gt;"",C965&lt;&gt;"",OR(E965="USD",E965="CRC"),F965&gt;0,ISNUMBER(Q965),Q965&gt;0),"✓ OK","✗ ERROR: Revisa datos")</f>
        <v/>
      </c>
    </row>
    <row r="966">
      <c r="A966" s="19" t="n"/>
      <c r="F966" s="20" t="n"/>
      <c r="Q966" s="10">
        <f>IF(E966="USD",CONFIG!$B$5,1)</f>
        <v/>
      </c>
      <c r="R966">
        <f>IF(AND(A966&lt;&gt;"",ISNUMBER(A966),B966&lt;&gt;"",C966&lt;&gt;"",OR(E966="USD",E966="CRC"),F966&gt;0,ISNUMBER(Q966),Q966&gt;0),"✓ OK","✗ ERROR: Revisa datos")</f>
        <v/>
      </c>
    </row>
    <row r="967">
      <c r="A967" s="19" t="n"/>
      <c r="F967" s="20" t="n"/>
      <c r="Q967" s="10">
        <f>IF(E967="USD",CONFIG!$B$5,1)</f>
        <v/>
      </c>
      <c r="R967">
        <f>IF(AND(A967&lt;&gt;"",ISNUMBER(A967),B967&lt;&gt;"",C967&lt;&gt;"",OR(E967="USD",E967="CRC"),F967&gt;0,ISNUMBER(Q967),Q967&gt;0),"✓ OK","✗ ERROR: Revisa datos")</f>
        <v/>
      </c>
    </row>
    <row r="968">
      <c r="A968" s="19" t="n"/>
      <c r="F968" s="20" t="n"/>
      <c r="Q968" s="10">
        <f>IF(E968="USD",CONFIG!$B$5,1)</f>
        <v/>
      </c>
      <c r="R968">
        <f>IF(AND(A968&lt;&gt;"",ISNUMBER(A968),B968&lt;&gt;"",C968&lt;&gt;"",OR(E968="USD",E968="CRC"),F968&gt;0,ISNUMBER(Q968),Q968&gt;0),"✓ OK","✗ ERROR: Revisa datos")</f>
        <v/>
      </c>
    </row>
    <row r="969">
      <c r="A969" s="19" t="n"/>
      <c r="F969" s="20" t="n"/>
      <c r="Q969" s="10">
        <f>IF(E969="USD",CONFIG!$B$5,1)</f>
        <v/>
      </c>
      <c r="R969">
        <f>IF(AND(A969&lt;&gt;"",ISNUMBER(A969),B969&lt;&gt;"",C969&lt;&gt;"",OR(E969="USD",E969="CRC"),F969&gt;0,ISNUMBER(Q969),Q969&gt;0),"✓ OK","✗ ERROR: Revisa datos")</f>
        <v/>
      </c>
    </row>
    <row r="970">
      <c r="A970" s="19" t="n"/>
      <c r="F970" s="20" t="n"/>
      <c r="Q970" s="10">
        <f>IF(E970="USD",CONFIG!$B$5,1)</f>
        <v/>
      </c>
      <c r="R970">
        <f>IF(AND(A970&lt;&gt;"",ISNUMBER(A970),B970&lt;&gt;"",C970&lt;&gt;"",OR(E970="USD",E970="CRC"),F970&gt;0,ISNUMBER(Q970),Q970&gt;0),"✓ OK","✗ ERROR: Revisa datos")</f>
        <v/>
      </c>
    </row>
    <row r="971">
      <c r="A971" s="19" t="n"/>
      <c r="F971" s="20" t="n"/>
      <c r="Q971" s="10">
        <f>IF(E971="USD",CONFIG!$B$5,1)</f>
        <v/>
      </c>
      <c r="R971">
        <f>IF(AND(A971&lt;&gt;"",ISNUMBER(A971),B971&lt;&gt;"",C971&lt;&gt;"",OR(E971="USD",E971="CRC"),F971&gt;0,ISNUMBER(Q971),Q971&gt;0),"✓ OK","✗ ERROR: Revisa datos")</f>
        <v/>
      </c>
    </row>
    <row r="972">
      <c r="A972" s="19" t="n"/>
      <c r="F972" s="20" t="n"/>
      <c r="Q972" s="10">
        <f>IF(E972="USD",CONFIG!$B$5,1)</f>
        <v/>
      </c>
      <c r="R972">
        <f>IF(AND(A972&lt;&gt;"",ISNUMBER(A972),B972&lt;&gt;"",C972&lt;&gt;"",OR(E972="USD",E972="CRC"),F972&gt;0,ISNUMBER(Q972),Q972&gt;0),"✓ OK","✗ ERROR: Revisa datos")</f>
        <v/>
      </c>
    </row>
    <row r="973">
      <c r="A973" s="19" t="n"/>
      <c r="F973" s="20" t="n"/>
      <c r="Q973" s="10">
        <f>IF(E973="USD",CONFIG!$B$5,1)</f>
        <v/>
      </c>
      <c r="R973">
        <f>IF(AND(A973&lt;&gt;"",ISNUMBER(A973),B973&lt;&gt;"",C973&lt;&gt;"",OR(E973="USD",E973="CRC"),F973&gt;0,ISNUMBER(Q973),Q973&gt;0),"✓ OK","✗ ERROR: Revisa datos")</f>
        <v/>
      </c>
    </row>
    <row r="974">
      <c r="A974" s="19" t="n"/>
      <c r="F974" s="20" t="n"/>
      <c r="Q974" s="10">
        <f>IF(E974="USD",CONFIG!$B$5,1)</f>
        <v/>
      </c>
      <c r="R974">
        <f>IF(AND(A974&lt;&gt;"",ISNUMBER(A974),B974&lt;&gt;"",C974&lt;&gt;"",OR(E974="USD",E974="CRC"),F974&gt;0,ISNUMBER(Q974),Q974&gt;0),"✓ OK","✗ ERROR: Revisa datos")</f>
        <v/>
      </c>
    </row>
    <row r="975">
      <c r="A975" s="19" t="n"/>
      <c r="F975" s="20" t="n"/>
      <c r="Q975" s="10">
        <f>IF(E975="USD",CONFIG!$B$5,1)</f>
        <v/>
      </c>
      <c r="R975">
        <f>IF(AND(A975&lt;&gt;"",ISNUMBER(A975),B975&lt;&gt;"",C975&lt;&gt;"",OR(E975="USD",E975="CRC"),F975&gt;0,ISNUMBER(Q975),Q975&gt;0),"✓ OK","✗ ERROR: Revisa datos")</f>
        <v/>
      </c>
    </row>
    <row r="976">
      <c r="A976" s="19" t="n"/>
      <c r="F976" s="20" t="n"/>
      <c r="Q976" s="10">
        <f>IF(E976="USD",CONFIG!$B$5,1)</f>
        <v/>
      </c>
      <c r="R976">
        <f>IF(AND(A976&lt;&gt;"",ISNUMBER(A976),B976&lt;&gt;"",C976&lt;&gt;"",OR(E976="USD",E976="CRC"),F976&gt;0,ISNUMBER(Q976),Q976&gt;0),"✓ OK","✗ ERROR: Revisa datos")</f>
        <v/>
      </c>
    </row>
    <row r="977">
      <c r="A977" s="19" t="n"/>
      <c r="F977" s="20" t="n"/>
      <c r="Q977" s="10">
        <f>IF(E977="USD",CONFIG!$B$5,1)</f>
        <v/>
      </c>
      <c r="R977">
        <f>IF(AND(A977&lt;&gt;"",ISNUMBER(A977),B977&lt;&gt;"",C977&lt;&gt;"",OR(E977="USD",E977="CRC"),F977&gt;0,ISNUMBER(Q977),Q977&gt;0),"✓ OK","✗ ERROR: Revisa datos")</f>
        <v/>
      </c>
    </row>
    <row r="978">
      <c r="A978" s="19" t="n"/>
      <c r="F978" s="20" t="n"/>
      <c r="Q978" s="10">
        <f>IF(E978="USD",CONFIG!$B$5,1)</f>
        <v/>
      </c>
      <c r="R978">
        <f>IF(AND(A978&lt;&gt;"",ISNUMBER(A978),B978&lt;&gt;"",C978&lt;&gt;"",OR(E978="USD",E978="CRC"),F978&gt;0,ISNUMBER(Q978),Q978&gt;0),"✓ OK","✗ ERROR: Revisa datos")</f>
        <v/>
      </c>
    </row>
    <row r="979">
      <c r="A979" s="19" t="n"/>
      <c r="F979" s="20" t="n"/>
      <c r="Q979" s="10">
        <f>IF(E979="USD",CONFIG!$B$5,1)</f>
        <v/>
      </c>
      <c r="R979">
        <f>IF(AND(A979&lt;&gt;"",ISNUMBER(A979),B979&lt;&gt;"",C979&lt;&gt;"",OR(E979="USD",E979="CRC"),F979&gt;0,ISNUMBER(Q979),Q979&gt;0),"✓ OK","✗ ERROR: Revisa datos")</f>
        <v/>
      </c>
    </row>
    <row r="980">
      <c r="A980" s="19" t="n"/>
      <c r="F980" s="20" t="n"/>
      <c r="Q980" s="10">
        <f>IF(E980="USD",CONFIG!$B$5,1)</f>
        <v/>
      </c>
      <c r="R980">
        <f>IF(AND(A980&lt;&gt;"",ISNUMBER(A980),B980&lt;&gt;"",C980&lt;&gt;"",OR(E980="USD",E980="CRC"),F980&gt;0,ISNUMBER(Q980),Q980&gt;0),"✓ OK","✗ ERROR: Revisa datos")</f>
        <v/>
      </c>
    </row>
    <row r="981">
      <c r="A981" s="19" t="n"/>
      <c r="F981" s="20" t="n"/>
      <c r="Q981" s="10">
        <f>IF(E981="USD",CONFIG!$B$5,1)</f>
        <v/>
      </c>
      <c r="R981">
        <f>IF(AND(A981&lt;&gt;"",ISNUMBER(A981),B981&lt;&gt;"",C981&lt;&gt;"",OR(E981="USD",E981="CRC"),F981&gt;0,ISNUMBER(Q981),Q981&gt;0),"✓ OK","✗ ERROR: Revisa datos")</f>
        <v/>
      </c>
    </row>
    <row r="982">
      <c r="A982" s="19" t="n"/>
      <c r="F982" s="20" t="n"/>
      <c r="Q982" s="10">
        <f>IF(E982="USD",CONFIG!$B$5,1)</f>
        <v/>
      </c>
      <c r="R982">
        <f>IF(AND(A982&lt;&gt;"",ISNUMBER(A982),B982&lt;&gt;"",C982&lt;&gt;"",OR(E982="USD",E982="CRC"),F982&gt;0,ISNUMBER(Q982),Q982&gt;0),"✓ OK","✗ ERROR: Revisa datos")</f>
        <v/>
      </c>
    </row>
    <row r="983">
      <c r="A983" s="19" t="n"/>
      <c r="F983" s="20" t="n"/>
      <c r="Q983" s="10">
        <f>IF(E983="USD",CONFIG!$B$5,1)</f>
        <v/>
      </c>
      <c r="R983">
        <f>IF(AND(A983&lt;&gt;"",ISNUMBER(A983),B983&lt;&gt;"",C983&lt;&gt;"",OR(E983="USD",E983="CRC"),F983&gt;0,ISNUMBER(Q983),Q983&gt;0),"✓ OK","✗ ERROR: Revisa datos")</f>
        <v/>
      </c>
    </row>
    <row r="984">
      <c r="A984" s="19" t="n"/>
      <c r="F984" s="20" t="n"/>
      <c r="Q984" s="10">
        <f>IF(E984="USD",CONFIG!$B$5,1)</f>
        <v/>
      </c>
      <c r="R984">
        <f>IF(AND(A984&lt;&gt;"",ISNUMBER(A984),B984&lt;&gt;"",C984&lt;&gt;"",OR(E984="USD",E984="CRC"),F984&gt;0,ISNUMBER(Q984),Q984&gt;0),"✓ OK","✗ ERROR: Revisa datos")</f>
        <v/>
      </c>
    </row>
    <row r="985">
      <c r="A985" s="19" t="n"/>
      <c r="F985" s="20" t="n"/>
      <c r="Q985" s="10">
        <f>IF(E985="USD",CONFIG!$B$5,1)</f>
        <v/>
      </c>
      <c r="R985">
        <f>IF(AND(A985&lt;&gt;"",ISNUMBER(A985),B985&lt;&gt;"",C985&lt;&gt;"",OR(E985="USD",E985="CRC"),F985&gt;0,ISNUMBER(Q985),Q985&gt;0),"✓ OK","✗ ERROR: Revisa datos")</f>
        <v/>
      </c>
    </row>
    <row r="986">
      <c r="A986" s="19" t="n"/>
      <c r="F986" s="20" t="n"/>
      <c r="Q986" s="10">
        <f>IF(E986="USD",CONFIG!$B$5,1)</f>
        <v/>
      </c>
      <c r="R986">
        <f>IF(AND(A986&lt;&gt;"",ISNUMBER(A986),B986&lt;&gt;"",C986&lt;&gt;"",OR(E986="USD",E986="CRC"),F986&gt;0,ISNUMBER(Q986),Q986&gt;0),"✓ OK","✗ ERROR: Revisa datos")</f>
        <v/>
      </c>
    </row>
    <row r="987">
      <c r="A987" s="19" t="n"/>
      <c r="F987" s="20" t="n"/>
      <c r="Q987" s="10">
        <f>IF(E987="USD",CONFIG!$B$5,1)</f>
        <v/>
      </c>
      <c r="R987">
        <f>IF(AND(A987&lt;&gt;"",ISNUMBER(A987),B987&lt;&gt;"",C987&lt;&gt;"",OR(E987="USD",E987="CRC"),F987&gt;0,ISNUMBER(Q987),Q987&gt;0),"✓ OK","✗ ERROR: Revisa datos")</f>
        <v/>
      </c>
    </row>
    <row r="988">
      <c r="A988" s="19" t="n"/>
      <c r="F988" s="20" t="n"/>
      <c r="Q988" s="10">
        <f>IF(E988="USD",CONFIG!$B$5,1)</f>
        <v/>
      </c>
      <c r="R988">
        <f>IF(AND(A988&lt;&gt;"",ISNUMBER(A988),B988&lt;&gt;"",C988&lt;&gt;"",OR(E988="USD",E988="CRC"),F988&gt;0,ISNUMBER(Q988),Q988&gt;0),"✓ OK","✗ ERROR: Revisa datos")</f>
        <v/>
      </c>
    </row>
    <row r="989">
      <c r="A989" s="19" t="n"/>
      <c r="F989" s="20" t="n"/>
      <c r="Q989" s="10">
        <f>IF(E989="USD",CONFIG!$B$5,1)</f>
        <v/>
      </c>
      <c r="R989">
        <f>IF(AND(A989&lt;&gt;"",ISNUMBER(A989),B989&lt;&gt;"",C989&lt;&gt;"",OR(E989="USD",E989="CRC"),F989&gt;0,ISNUMBER(Q989),Q989&gt;0),"✓ OK","✗ ERROR: Revisa datos")</f>
        <v/>
      </c>
    </row>
    <row r="990">
      <c r="A990" s="19" t="n"/>
      <c r="F990" s="20" t="n"/>
      <c r="Q990" s="10">
        <f>IF(E990="USD",CONFIG!$B$5,1)</f>
        <v/>
      </c>
      <c r="R990">
        <f>IF(AND(A990&lt;&gt;"",ISNUMBER(A990),B990&lt;&gt;"",C990&lt;&gt;"",OR(E990="USD",E990="CRC"),F990&gt;0,ISNUMBER(Q990),Q990&gt;0),"✓ OK","✗ ERROR: Revisa datos")</f>
        <v/>
      </c>
    </row>
    <row r="991">
      <c r="A991" s="19" t="n"/>
      <c r="F991" s="20" t="n"/>
      <c r="Q991" s="10">
        <f>IF(E991="USD",CONFIG!$B$5,1)</f>
        <v/>
      </c>
      <c r="R991">
        <f>IF(AND(A991&lt;&gt;"",ISNUMBER(A991),B991&lt;&gt;"",C991&lt;&gt;"",OR(E991="USD",E991="CRC"),F991&gt;0,ISNUMBER(Q991),Q991&gt;0),"✓ OK","✗ ERROR: Revisa datos")</f>
        <v/>
      </c>
    </row>
    <row r="992">
      <c r="A992" s="19" t="n"/>
      <c r="F992" s="20" t="n"/>
      <c r="Q992" s="10">
        <f>IF(E992="USD",CONFIG!$B$5,1)</f>
        <v/>
      </c>
      <c r="R992">
        <f>IF(AND(A992&lt;&gt;"",ISNUMBER(A992),B992&lt;&gt;"",C992&lt;&gt;"",OR(E992="USD",E992="CRC"),F992&gt;0,ISNUMBER(Q992),Q992&gt;0),"✓ OK","✗ ERROR: Revisa datos")</f>
        <v/>
      </c>
    </row>
    <row r="993">
      <c r="A993" s="19" t="n"/>
      <c r="F993" s="20" t="n"/>
      <c r="Q993" s="10">
        <f>IF(E993="USD",CONFIG!$B$5,1)</f>
        <v/>
      </c>
      <c r="R993">
        <f>IF(AND(A993&lt;&gt;"",ISNUMBER(A993),B993&lt;&gt;"",C993&lt;&gt;"",OR(E993="USD",E993="CRC"),F993&gt;0,ISNUMBER(Q993),Q993&gt;0),"✓ OK","✗ ERROR: Revisa datos")</f>
        <v/>
      </c>
    </row>
    <row r="994">
      <c r="A994" s="19" t="n"/>
      <c r="F994" s="20" t="n"/>
      <c r="Q994" s="10">
        <f>IF(E994="USD",CONFIG!$B$5,1)</f>
        <v/>
      </c>
      <c r="R994">
        <f>IF(AND(A994&lt;&gt;"",ISNUMBER(A994),B994&lt;&gt;"",C994&lt;&gt;"",OR(E994="USD",E994="CRC"),F994&gt;0,ISNUMBER(Q994),Q994&gt;0),"✓ OK","✗ ERROR: Revisa datos")</f>
        <v/>
      </c>
    </row>
    <row r="995">
      <c r="A995" s="19" t="n"/>
      <c r="F995" s="20" t="n"/>
      <c r="Q995" s="10">
        <f>IF(E995="USD",CONFIG!$B$5,1)</f>
        <v/>
      </c>
      <c r="R995">
        <f>IF(AND(A995&lt;&gt;"",ISNUMBER(A995),B995&lt;&gt;"",C995&lt;&gt;"",OR(E995="USD",E995="CRC"),F995&gt;0,ISNUMBER(Q995),Q995&gt;0),"✓ OK","✗ ERROR: Revisa datos")</f>
        <v/>
      </c>
    </row>
    <row r="996">
      <c r="A996" s="19" t="n"/>
      <c r="F996" s="20" t="n"/>
      <c r="Q996" s="10">
        <f>IF(E996="USD",CONFIG!$B$5,1)</f>
        <v/>
      </c>
      <c r="R996">
        <f>IF(AND(A996&lt;&gt;"",ISNUMBER(A996),B996&lt;&gt;"",C996&lt;&gt;"",OR(E996="USD",E996="CRC"),F996&gt;0,ISNUMBER(Q996),Q996&gt;0),"✓ OK","✗ ERROR: Revisa datos")</f>
        <v/>
      </c>
    </row>
    <row r="997">
      <c r="A997" s="19" t="n"/>
      <c r="F997" s="20" t="n"/>
      <c r="Q997" s="10">
        <f>IF(E997="USD",CONFIG!$B$5,1)</f>
        <v/>
      </c>
      <c r="R997">
        <f>IF(AND(A997&lt;&gt;"",ISNUMBER(A997),B997&lt;&gt;"",C997&lt;&gt;"",OR(E997="USD",E997="CRC"),F997&gt;0,ISNUMBER(Q997),Q997&gt;0),"✓ OK","✗ ERROR: Revisa datos")</f>
        <v/>
      </c>
    </row>
    <row r="998">
      <c r="A998" s="19" t="n"/>
      <c r="F998" s="20" t="n"/>
      <c r="Q998" s="10">
        <f>IF(E998="USD",CONFIG!$B$5,1)</f>
        <v/>
      </c>
      <c r="R998">
        <f>IF(AND(A998&lt;&gt;"",ISNUMBER(A998),B998&lt;&gt;"",C998&lt;&gt;"",OR(E998="USD",E998="CRC"),F998&gt;0,ISNUMBER(Q998),Q998&gt;0),"✓ OK","✗ ERROR: Revisa datos")</f>
        <v/>
      </c>
    </row>
    <row r="999">
      <c r="A999" s="19" t="n"/>
      <c r="F999" s="20" t="n"/>
      <c r="Q999" s="10">
        <f>IF(E999="USD",CONFIG!$B$5,1)</f>
        <v/>
      </c>
      <c r="R999">
        <f>IF(AND(A999&lt;&gt;"",ISNUMBER(A999),B999&lt;&gt;"",C999&lt;&gt;"",OR(E999="USD",E999="CRC"),F999&gt;0,ISNUMBER(Q999),Q999&gt;0),"✓ OK","✗ ERROR: Revisa datos")</f>
        <v/>
      </c>
    </row>
    <row r="1000">
      <c r="A1000" s="19" t="n"/>
      <c r="F1000" s="20" t="n"/>
      <c r="Q1000" s="10">
        <f>IF(E1000="USD",CONFIG!$B$5,1)</f>
        <v/>
      </c>
      <c r="R1000">
        <f>IF(AND(A1000&lt;&gt;"",ISNUMBER(A1000),B1000&lt;&gt;"",C1000&lt;&gt;"",OR(E1000="USD",E1000="CRC"),F1000&gt;0,ISNUMBER(Q1000),Q1000&gt;0),"✓ OK","✗ ERROR: Revisa datos")</f>
        <v/>
      </c>
    </row>
  </sheetData>
  <mergeCells count="1">
    <mergeCell ref="A1:R1"/>
  </mergeCells>
  <dataValidations count="7">
    <dataValidation sqref="C3:C1000" showDropDown="0" showInputMessage="0" showErrorMessage="0" allowBlank="0" errorTitle="Entrada inválida" error="Valor no válido" promptTitle="Opciones disponibles" prompt="Seleccione una opción" type="list">
      <formula1>"Ingreso,Gasto,Inventario,Servicios,CxP,CxC,Marketing,Personal"</formula1>
    </dataValidation>
    <dataValidation sqref="E3:E1000" showDropDown="0" showInputMessage="0" showErrorMessage="0" allowBlank="0" errorTitle="Entrada inválida" error="Valor no válido" promptTitle="Opciones disponibles" prompt="Seleccione una opción" type="list">
      <formula1>"USD,CRC"</formula1>
    </dataValidation>
    <dataValidation sqref="H3:H1000" showDropDown="0" showInputMessage="0" showErrorMessage="0" allowBlank="0" errorTitle="Entrada inválida" error="Valor no válido" promptTitle="Opciones disponibles" prompt="Seleccione una opción" type="list">
      <formula1>"Efectivo,Transferencia,Tarjeta Crédito,Cheque,SINPE,PayPal"</formula1>
    </dataValidation>
    <dataValidation sqref="I3:I1000" showDropDown="0" showInputMessage="0" showErrorMessage="0" allowBlank="0" errorTitle="Entrada inválida" error="Valor no válido" promptTitle="Opciones disponibles" prompt="Seleccione una opción" type="list">
      <formula1>"Sí,No"</formula1>
    </dataValidation>
    <dataValidation sqref="K3:K1000" showDropDown="0" showInputMessage="0" showErrorMessage="0" allowBlank="0" errorTitle="Entrada inválida" error="Valor no válido" promptTitle="Opciones disponibles" prompt="Seleccione una opción" type="list">
      <formula1>"Sí,No"</formula1>
    </dataValidation>
    <dataValidation sqref="M3:M1000" showDropDown="0" showInputMessage="0" showErrorMessage="0" allowBlank="0" errorTitle="Entrada inválida" error="Valor no válido" promptTitle="Opciones disponibles" prompt="Seleccione una opción" type="list">
      <formula1>"Pagado,Pendiente,Cobrado,Cancelado"</formula1>
    </dataValidation>
    <dataValidation sqref="P3:P1000" showDropDown="0" showInputMessage="0" showErrorMessage="0" allowBlank="0" errorTitle="Entrada inválida" error="Valor no válido" promptTitle="Opciones disponibles" prompt="Seleccione una opción" type="list">
      <formula1>"Personal,Negocio"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40" customWidth="1" min="3" max="3"/>
  </cols>
  <sheetData>
    <row r="1" ht="30" customHeight="1">
      <c r="A1" s="21" t="inlineStr">
        <is>
          <t>CONFIGURACIÓN DEL SISTEMA</t>
        </is>
      </c>
    </row>
    <row r="2">
      <c r="A2" s="22" t="inlineStr">
        <is>
          <t>⚠️ Celdas amarillas son EDITABLES - No modificar fórmulas</t>
        </is>
      </c>
    </row>
    <row r="4">
      <c r="A4" s="23" t="inlineStr">
        <is>
          <t>Parámetro</t>
        </is>
      </c>
      <c r="B4" s="23" t="inlineStr">
        <is>
          <t>Valor</t>
        </is>
      </c>
      <c r="C4" s="23" t="inlineStr">
        <is>
          <t>Descripción</t>
        </is>
      </c>
    </row>
    <row r="5">
      <c r="A5" t="inlineStr">
        <is>
          <t>Tipo Cambio USD→CRC</t>
        </is>
      </c>
      <c r="B5" s="24" t="n">
        <v>540</v>
      </c>
      <c r="C5" t="inlineStr">
        <is>
          <t>Tipo de cambio actual</t>
        </is>
      </c>
    </row>
    <row r="6">
      <c r="A6" t="inlineStr">
        <is>
          <t>BAC Visa - Día Corte</t>
        </is>
      </c>
      <c r="B6" s="24" t="n">
        <v>15</v>
      </c>
      <c r="C6" t="inlineStr">
        <is>
          <t>Día de corte mensual</t>
        </is>
      </c>
    </row>
    <row r="7">
      <c r="A7" t="inlineStr">
        <is>
          <t>BCR Mastercard - Día Corte</t>
        </is>
      </c>
      <c r="B7" s="24" t="n">
        <v>20</v>
      </c>
      <c r="C7" t="inlineStr">
        <is>
          <t>Día de corte mensual</t>
        </is>
      </c>
    </row>
    <row r="8">
      <c r="A8" t="inlineStr">
        <is>
          <t>Credomatic Platinum - Día Corte</t>
        </is>
      </c>
      <c r="B8" s="24" t="n">
        <v>10</v>
      </c>
      <c r="C8" t="inlineStr">
        <is>
          <t>Día de corte mensual</t>
        </is>
      </c>
    </row>
    <row r="9">
      <c r="A9" t="inlineStr">
        <is>
          <t>Credomatic Gold - Día Corte</t>
        </is>
      </c>
      <c r="B9" s="24" t="n">
        <v>10</v>
      </c>
      <c r="C9" t="inlineStr">
        <is>
          <t>Día de corte mensual</t>
        </is>
      </c>
    </row>
    <row r="10">
      <c r="A10" t="inlineStr">
        <is>
          <t>Proveedor Zona Franca 1</t>
        </is>
      </c>
      <c r="B10" s="24" t="inlineStr">
        <is>
          <t>VWR International LLC</t>
        </is>
      </c>
      <c r="C10" t="inlineStr">
        <is>
          <t>Exento de IVA</t>
        </is>
      </c>
    </row>
    <row r="11">
      <c r="A11" t="inlineStr">
        <is>
          <t>Proveedor Zona Franca 2</t>
        </is>
      </c>
      <c r="B11" s="24" t="inlineStr">
        <is>
          <t>RS Hughes Co. Inc.</t>
        </is>
      </c>
      <c r="C11" t="inlineStr">
        <is>
          <t>Exento de IVA</t>
        </is>
      </c>
    </row>
    <row r="12">
      <c r="A12" t="inlineStr">
        <is>
          <t>IVA Costa Rica %</t>
        </is>
      </c>
      <c r="B12" s="24" t="n">
        <v>13</v>
      </c>
      <c r="C12" t="inlineStr">
        <is>
          <t>Porcentaje IVA estándar</t>
        </is>
      </c>
    </row>
    <row r="13">
      <c r="A13" t="inlineStr">
        <is>
          <t>Mes Actual de Trabajo</t>
        </is>
      </c>
      <c r="B13" s="25" t="inlineStr">
        <is>
          <t>Noviembre 2025</t>
        </is>
      </c>
      <c r="C13" t="inlineStr">
        <is>
          <t>Cambiar al hacer cierre</t>
        </is>
      </c>
    </row>
    <row r="14">
      <c r="A14" t="inlineStr">
        <is>
          <t>Último Cierre Realizado</t>
        </is>
      </c>
      <c r="B14" s="24" t="inlineStr">
        <is>
          <t>31/10/2025</t>
        </is>
      </c>
      <c r="C14" t="inlineStr">
        <is>
          <t>Auto-actualiza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0" customWidth="1" min="4" max="4"/>
    <col width="30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20" customWidth="1" min="12" max="12"/>
  </cols>
  <sheetData>
    <row r="1" ht="30" customHeight="1">
      <c r="A1" s="26" t="inlineStr">
        <is>
          <t>CUENTAS POR PAGAR (CxP)</t>
        </is>
      </c>
    </row>
    <row r="2">
      <c r="A2" s="27" t="inlineStr">
        <is>
          <t>Entidad</t>
        </is>
      </c>
      <c r="B2" s="27" t="inlineStr">
        <is>
          <t>Fecha</t>
        </is>
      </c>
      <c r="C2" s="27" t="inlineStr">
        <is>
          <t>Monto</t>
        </is>
      </c>
      <c r="D2" s="27" t="inlineStr">
        <is>
          <t>Moneda</t>
        </is>
      </c>
      <c r="E2" s="27" t="inlineStr">
        <is>
          <t>Descripción</t>
        </is>
      </c>
      <c r="F2" s="27" t="inlineStr">
        <is>
          <t>Estado</t>
        </is>
      </c>
      <c r="G2" s="27" t="inlineStr">
        <is>
          <t>Días Vencidos</t>
        </is>
      </c>
      <c r="H2" s="27" t="inlineStr">
        <is>
          <t>Equiv USD</t>
        </is>
      </c>
      <c r="I2" s="27" t="inlineStr">
        <is>
          <t>Factura #</t>
        </is>
      </c>
      <c r="J2" s="27" t="inlineStr">
        <is>
          <t>Fecha Venc</t>
        </is>
      </c>
      <c r="K2" s="27" t="inlineStr">
        <is>
          <t>Prioridad</t>
        </is>
      </c>
      <c r="L2" s="27" t="inlineStr">
        <is>
          <t>Contacto</t>
        </is>
      </c>
    </row>
    <row r="3">
      <c r="A3">
        <f>FILTER(TRANSACCIONES!B:B,(TRANSACCIONES!C:C="CxP")*(TRANSACCIONES!M:M="Pendiente"),"Sin CxP pendientes")</f>
        <v/>
      </c>
      <c r="B3" s="19">
        <f>FILTER(TRANSACCIONES!A:A,(TRANSACCIONES!C:C="CxP")*(TRANSACCIONES!M:M="Pendiente"),"")</f>
        <v/>
      </c>
      <c r="C3" s="20">
        <f>FILTER(TRANSACCIONES!F:F,(TRANSACCIONES!C:C="CxP")*(TRANSACCIONES!M:M="Pendiente"),"")</f>
        <v/>
      </c>
      <c r="D3">
        <f>FILTER(TRANSACCIONES!E:E,(TRANSACCIONES!C:C="CxP")*(TRANSACCIONES!M:M="Pendiente"),"")</f>
        <v/>
      </c>
      <c r="E3">
        <f>FILTER(TRANSACCIONES!G:G,(TRANSACCIONES!C:C="CxP")*(TRANSACCIONES!M:M="Pendiente"),"")</f>
        <v/>
      </c>
      <c r="F3">
        <f>FILTER(TRANSACCIONES!M:M,(TRANSACCIONES!C:C="CxP")*(TRANSACCIONES!M:M="Pendiente"),"")</f>
        <v/>
      </c>
      <c r="G3">
        <f>IF(A3&lt;&gt;"",TODAY()-B3,"")</f>
        <v/>
      </c>
      <c r="H3" s="4">
        <f>IF(D3="USD",C3,C3/CONFIG!$B$5)</f>
        <v/>
      </c>
      <c r="I3">
        <f>FILTER(TRANSACCIONES!N:N,(TRANSACCIONES!C:C="CxP")*(TRANSACCIONES!M:M="Pendiente"),"")</f>
        <v/>
      </c>
      <c r="J3" s="19">
        <f>IF(B3&lt;&gt;"",B3+30,"")</f>
        <v/>
      </c>
      <c r="K3">
        <f>IF(G3&gt;60,"Alta",IF(G3&gt;30,"Media","Baja"))</f>
        <v/>
      </c>
      <c r="L3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5" customWidth="1" min="3" max="3"/>
    <col width="10" customWidth="1" min="4" max="4"/>
    <col width="30" customWidth="1" min="5" max="5"/>
    <col width="12" customWidth="1" min="6" max="6"/>
    <col width="15" customWidth="1" min="7" max="7"/>
    <col width="15" customWidth="1" min="8" max="8"/>
    <col width="15" customWidth="1" min="9" max="9"/>
    <col width="12" customWidth="1" min="10" max="10"/>
    <col width="12" customWidth="1" min="11" max="11"/>
    <col width="20" customWidth="1" min="12" max="12"/>
  </cols>
  <sheetData>
    <row r="1" ht="30" customHeight="1">
      <c r="A1" s="28" t="inlineStr">
        <is>
          <t>CUENTAS POR COBRAR (CxC)</t>
        </is>
      </c>
    </row>
    <row r="2">
      <c r="A2" s="29" t="inlineStr">
        <is>
          <t>Entidad</t>
        </is>
      </c>
      <c r="B2" s="29" t="inlineStr">
        <is>
          <t>Fecha</t>
        </is>
      </c>
      <c r="C2" s="29" t="inlineStr">
        <is>
          <t>Monto</t>
        </is>
      </c>
      <c r="D2" s="29" t="inlineStr">
        <is>
          <t>Moneda</t>
        </is>
      </c>
      <c r="E2" s="29" t="inlineStr">
        <is>
          <t>Descripción</t>
        </is>
      </c>
      <c r="F2" s="29" t="inlineStr">
        <is>
          <t>Estado</t>
        </is>
      </c>
      <c r="G2" s="29" t="inlineStr">
        <is>
          <t>Días Pendientes</t>
        </is>
      </c>
      <c r="H2" s="29" t="inlineStr">
        <is>
          <t>Equiv USD</t>
        </is>
      </c>
      <c r="I2" s="29" t="inlineStr">
        <is>
          <t>Factura #</t>
        </is>
      </c>
      <c r="J2" s="29" t="inlineStr">
        <is>
          <t>Fecha Venc</t>
        </is>
      </c>
      <c r="K2" s="29" t="inlineStr">
        <is>
          <t>Prioridad</t>
        </is>
      </c>
      <c r="L2" s="29" t="inlineStr">
        <is>
          <t>Contacto</t>
        </is>
      </c>
    </row>
    <row r="3">
      <c r="A3">
        <f>FILTER(TRANSACCIONES!B:B,(TRANSACCIONES!C:C="CxC")*(TRANSACCIONES!M:M="Pendiente"),"Sin CxC pendientes")</f>
        <v/>
      </c>
      <c r="B3" s="19">
        <f>FILTER(TRANSACCIONES!A:A,(TRANSACCIONES!C:C="CxC")*(TRANSACCIONES!M:M="Pendiente"),"")</f>
        <v/>
      </c>
      <c r="C3" s="20">
        <f>FILTER(TRANSACCIONES!F:F,(TRANSACCIONES!C:C="CxC")*(TRANSACCIONES!M:M="Pendiente"),"")</f>
        <v/>
      </c>
      <c r="D3">
        <f>FILTER(TRANSACCIONES!E:E,(TRANSACCIONES!C:C="CxC")*(TRANSACCIONES!M:M="Pendiente"),"")</f>
        <v/>
      </c>
      <c r="E3">
        <f>FILTER(TRANSACCIONES!G:G,(TRANSACCIONES!C:C="CxC")*(TRANSACCIONES!M:M="Pendiente"),"")</f>
        <v/>
      </c>
      <c r="F3">
        <f>FILTER(TRANSACCIONES!M:M,(TRANSACCIONES!C:C="CxC")*(TRANSACCIONES!M:M="Pendiente"),"")</f>
        <v/>
      </c>
      <c r="G3">
        <f>IF(A3&lt;&gt;"",TODAY()-B3,"")</f>
        <v/>
      </c>
      <c r="H3" s="4">
        <f>IF(D3="USD",C3,C3/CONFIG!$B$5)</f>
        <v/>
      </c>
      <c r="I3">
        <f>FILTER(TRANSACCIONES!N:N,(TRANSACCIONES!C:C="CxC")*(TRANSACCIONES!M:M="Pendiente"),"")</f>
        <v/>
      </c>
      <c r="J3" s="19">
        <f>IF(B3&lt;&gt;"",B3+30,"")</f>
        <v/>
      </c>
      <c r="K3">
        <f>IF(G3&gt;90,"Alta",IF(G3&gt;60,"Media","Baja"))</f>
        <v/>
      </c>
      <c r="L3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30" t="inlineStr">
        <is>
          <t>FLUJO DE CAJA</t>
        </is>
      </c>
    </row>
    <row r="2">
      <c r="A2" s="31" t="inlineStr">
        <is>
          <t>Mes</t>
        </is>
      </c>
      <c r="B2" s="31" t="inlineStr">
        <is>
          <t>Ingresos USD</t>
        </is>
      </c>
      <c r="C2" s="31" t="inlineStr">
        <is>
          <t>Gastos USD</t>
        </is>
      </c>
      <c r="D2" s="31" t="inlineStr">
        <is>
          <t>Flujo Neto</t>
        </is>
      </c>
      <c r="E2" s="31" t="inlineStr">
        <is>
          <t>Acumulado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5" customWidth="1" min="3" max="3"/>
    <col width="15" customWidth="1" min="4" max="4"/>
    <col width="12" customWidth="1" min="5" max="5"/>
  </cols>
  <sheetData>
    <row r="1" ht="30" customHeight="1">
      <c r="A1" s="32" t="inlineStr">
        <is>
          <t>CONTROL IVA 13%</t>
        </is>
      </c>
    </row>
    <row r="2">
      <c r="A2" s="31" t="inlineStr">
        <is>
          <t>Fecha</t>
        </is>
      </c>
      <c r="B2" s="31" t="inlineStr">
        <is>
          <t>Entidad</t>
        </is>
      </c>
      <c r="C2" s="31" t="inlineStr">
        <is>
          <t>Monto Base</t>
        </is>
      </c>
      <c r="D2" s="31" t="inlineStr">
        <is>
          <t>IVA Aplicable</t>
        </is>
      </c>
      <c r="E2" s="31" t="inlineStr">
        <is>
          <t>Tipo</t>
        </is>
      </c>
    </row>
    <row r="3">
      <c r="D3">
        <f>IF(AND(TRANSACCIONES!I3="Sí",NOT(OR(B3=CONFIG!$B$10,B3=CONFIG!$B$11))),C3*0.13,0)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6" t="inlineStr">
        <is>
          <t>CONTROL TARJETAS CRÉDITO</t>
        </is>
      </c>
    </row>
    <row r="2">
      <c r="A2" s="31" t="inlineStr">
        <is>
          <t>Tarjeta</t>
        </is>
      </c>
      <c r="B2" s="31" t="inlineStr">
        <is>
          <t>Saldo Actual</t>
        </is>
      </c>
      <c r="C2" s="31" t="inlineStr">
        <is>
          <t>Día Corte</t>
        </is>
      </c>
      <c r="D2" s="31" t="inlineStr">
        <is>
          <t>Días hasta corte</t>
        </is>
      </c>
      <c r="E2" s="31" t="inlineStr">
        <is>
          <t>Próxima fecha</t>
        </is>
      </c>
      <c r="F2" s="31" t="inlineStr">
        <is>
          <t>Pagos mes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</cols>
  <sheetData>
    <row r="1" ht="30" customHeight="1">
      <c r="A1" s="33" t="inlineStr">
        <is>
          <t>CONCILIACIÓN BANCARIA</t>
        </is>
      </c>
    </row>
    <row r="5">
      <c r="A5" t="inlineStr">
        <is>
          <t>Saldo según banco:</t>
        </is>
      </c>
    </row>
    <row r="6">
      <c r="A6" t="inlineStr">
        <is>
          <t>Menos: Cheques en tránsito</t>
        </is>
      </c>
    </row>
    <row r="7">
      <c r="A7" t="inlineStr">
        <is>
          <t>Más: Depósitos en tránsito</t>
        </is>
      </c>
    </row>
    <row r="8">
      <c r="A8">
        <f> Saldo ajustado banco</f>
        <v/>
      </c>
    </row>
    <row r="12">
      <c r="A12" t="inlineStr">
        <is>
          <t>Saldo según libros:</t>
        </is>
      </c>
    </row>
    <row r="13">
      <c r="A13" t="inlineStr">
        <is>
          <t>Menos: Cargos bancarios</t>
        </is>
      </c>
    </row>
    <row r="14">
      <c r="A14" t="inlineStr">
        <is>
          <t>Más: Intereses</t>
        </is>
      </c>
    </row>
    <row r="15">
      <c r="A15">
        <f> Saldo ajustado libros</f>
        <v/>
      </c>
    </row>
    <row r="19">
      <c r="A19" t="inlineStr">
        <is>
          <t>Diferencia:</t>
        </is>
      </c>
      <c r="B19">
        <f>B8-B15</f>
        <v/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</cols>
  <sheetData>
    <row r="1" ht="30" customHeight="1">
      <c r="A1" s="34" t="inlineStr">
        <is>
          <t>PERSONAL VS NEGOCIO</t>
        </is>
      </c>
    </row>
    <row r="2">
      <c r="A2" s="31" t="inlineStr">
        <is>
          <t>Tipo</t>
        </is>
      </c>
      <c r="B2" s="31" t="inlineStr">
        <is>
          <t>Ingresos</t>
        </is>
      </c>
      <c r="C2" s="31" t="inlineStr">
        <is>
          <t>Gastos</t>
        </is>
      </c>
      <c r="D2" s="31" t="inlineStr">
        <is>
          <t>Balance</t>
        </is>
      </c>
    </row>
    <row r="3">
      <c r="A3" t="inlineStr">
        <is>
          <t>PERSONAL</t>
        </is>
      </c>
      <c r="B3">
        <f>SUMIFS(TRANSACCIONES!F:F,TRANSACCIONES!P:P,"Personal",TRANSACCIONES!C:C,"Ingreso")</f>
        <v/>
      </c>
      <c r="C3">
        <f>SUMIFS(TRANSACCIONES!F:F,TRANSACCIONES!P:P,"Personal",TRANSACCIONES!C:C,"Gasto")</f>
        <v/>
      </c>
      <c r="D3">
        <f>B3-C3</f>
        <v/>
      </c>
    </row>
    <row r="4">
      <c r="A4" t="inlineStr">
        <is>
          <t>NEGOCIO</t>
        </is>
      </c>
    </row>
    <row r="5">
      <c r="A5" t="inlineStr">
        <is>
          <t>TOTAL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8" customWidth="1" min="4" max="4"/>
    <col width="15" customWidth="1" min="5" max="5"/>
  </cols>
  <sheetData>
    <row r="1" ht="30" customHeight="1">
      <c r="A1" s="28" t="inlineStr">
        <is>
          <t>ANÁLISIS POR CATEGORÍA</t>
        </is>
      </c>
    </row>
    <row r="2">
      <c r="A2" s="31" t="inlineStr">
        <is>
          <t>Categoría</t>
        </is>
      </c>
      <c r="B2" s="31" t="inlineStr">
        <is>
          <t>Total Gastado</t>
        </is>
      </c>
      <c r="C2" s="31" t="inlineStr">
        <is>
          <t>% del Total</t>
        </is>
      </c>
      <c r="D2" s="31" t="inlineStr">
        <is>
          <t># Transacciones</t>
        </is>
      </c>
      <c r="E2" s="31" t="inlineStr">
        <is>
          <t>Promedio</t>
        </is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8" customWidth="1" min="4" max="4"/>
    <col width="15" customWidth="1" min="5" max="5"/>
  </cols>
  <sheetData>
    <row r="1" ht="30" customHeight="1">
      <c r="A1" s="33" t="inlineStr">
        <is>
          <t>ANÁLISIS POR PROYECTO</t>
        </is>
      </c>
    </row>
    <row r="2">
      <c r="A2" s="31" t="inlineStr">
        <is>
          <t>Proyecto</t>
        </is>
      </c>
      <c r="B2" s="31" t="inlineStr">
        <is>
          <t>Total Gastado</t>
        </is>
      </c>
      <c r="C2" s="31" t="inlineStr">
        <is>
          <t>% del Total</t>
        </is>
      </c>
      <c r="D2" s="31" t="inlineStr">
        <is>
          <t># Transacciones</t>
        </is>
      </c>
      <c r="E2" s="31" t="inlineStr">
        <is>
          <t>Promedio</t>
        </is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6" t="inlineStr">
        <is>
          <t>ANÁLISIS PROVEEDORES</t>
        </is>
      </c>
    </row>
    <row r="2">
      <c r="A2" s="31" t="inlineStr">
        <is>
          <t>Proveedor</t>
        </is>
      </c>
      <c r="B2" s="31" t="inlineStr">
        <is>
          <t>Total Comprado</t>
        </is>
      </c>
      <c r="C2" s="31" t="inlineStr">
        <is>
          <t># Facturas</t>
        </is>
      </c>
      <c r="D2" s="31" t="inlineStr">
        <is>
          <t>Promedio</t>
        </is>
      </c>
      <c r="E2" s="31" t="inlineStr">
        <is>
          <t>Última Compra</t>
        </is>
      </c>
      <c r="F2" s="31" t="inlineStr">
        <is>
          <t>Días desde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28" t="inlineStr">
        <is>
          <t>ANÁLISIS CLIENTES</t>
        </is>
      </c>
    </row>
    <row r="2">
      <c r="A2" s="31" t="inlineStr">
        <is>
          <t>Cliente</t>
        </is>
      </c>
      <c r="B2" s="31" t="inlineStr">
        <is>
          <t>Total Vendido</t>
        </is>
      </c>
      <c r="C2" s="31" t="inlineStr">
        <is>
          <t># Facturas</t>
        </is>
      </c>
      <c r="D2" s="31" t="inlineStr">
        <is>
          <t>Promedio</t>
        </is>
      </c>
      <c r="E2" s="31" t="inlineStr">
        <is>
          <t>Última Venta</t>
        </is>
      </c>
      <c r="F2" s="31" t="inlineStr">
        <is>
          <t>Días desde</t>
        </is>
      </c>
    </row>
  </sheetData>
  <mergeCells count="1"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5" customWidth="1" min="3" max="3"/>
    <col width="30" customWidth="1" min="4" max="4"/>
    <col width="20" customWidth="1" min="5" max="5"/>
    <col width="30" customWidth="1" min="6" max="6"/>
  </cols>
  <sheetData>
    <row r="1" ht="30" customHeight="1">
      <c r="A1" s="35" t="inlineStr">
        <is>
          <t>AUDITORÍA Y DETECCIÓN DE ANOMALÍAS</t>
        </is>
      </c>
    </row>
    <row r="2">
      <c r="A2" s="31" t="inlineStr">
        <is>
          <t>Tipo</t>
        </is>
      </c>
      <c r="B2" s="31" t="inlineStr">
        <is>
          <t>Fila</t>
        </is>
      </c>
      <c r="C2" s="31" t="inlineStr">
        <is>
          <t>Campo</t>
        </is>
      </c>
      <c r="D2" s="31" t="inlineStr">
        <is>
          <t>Problema</t>
        </is>
      </c>
      <c r="E2" s="31" t="inlineStr">
        <is>
          <t>Valor Actual</t>
        </is>
      </c>
      <c r="F2" s="31" t="inlineStr">
        <is>
          <t>Acción Sugerida</t>
        </is>
      </c>
    </row>
  </sheetData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2" customWidth="1" min="8" max="8"/>
  </cols>
  <sheetData>
    <row r="1" ht="30" customHeight="1">
      <c r="A1" s="36" t="inlineStr">
        <is>
          <t>CIERRE MENSUAL</t>
        </is>
      </c>
    </row>
    <row r="3">
      <c r="A3" s="37" t="inlineStr">
        <is>
          <t>CHECKLIST - Completar antes de cerrar mes</t>
        </is>
      </c>
    </row>
    <row r="5">
      <c r="A5" s="38" t="inlineStr">
        <is>
          <t>☐ 1. Registrar TODAS las facturas del mes</t>
        </is>
      </c>
    </row>
    <row r="6">
      <c r="A6" s="38" t="inlineStr">
        <is>
          <t>☐ 2. Actualizar tipo de cambio al último día del mes</t>
        </is>
      </c>
    </row>
    <row r="7">
      <c r="A7" s="38" t="inlineStr">
        <is>
          <t>☐ 3. Conciliar bancos (hoja CONCILIACION)</t>
        </is>
      </c>
    </row>
    <row r="8">
      <c r="A8" s="38" t="inlineStr">
        <is>
          <t>☐ 4. Revisar CxP/CxC pendientes</t>
        </is>
      </c>
    </row>
    <row r="9">
      <c r="A9" s="38" t="inlineStr">
        <is>
          <t>☐ 5. Generar asientos de ajuste (si aplica)</t>
        </is>
      </c>
    </row>
    <row r="10">
      <c r="A10" s="38" t="inlineStr">
        <is>
          <t>☐ 6. Validar que columna R en TRANSACCIONES = '✓ OK'</t>
        </is>
      </c>
    </row>
    <row r="11">
      <c r="A11" s="38" t="inlineStr">
        <is>
          <t>☐ 7. Actualizar 'Mes Actual' en CONFIG (B13)</t>
        </is>
      </c>
    </row>
    <row r="12">
      <c r="A12" s="38" t="inlineStr">
        <is>
          <t>☐ 8. Actualizar 'Último Cierre' en CONFIG (B14)</t>
        </is>
      </c>
    </row>
    <row r="13">
      <c r="A13" s="38" t="inlineStr">
        <is>
          <t>☐ 9. Registrar histórico TC en HISTORICO_TC</t>
        </is>
      </c>
    </row>
    <row r="14">
      <c r="A14" s="38" t="inlineStr">
        <is>
          <t>☐ 10. Revisar dashboard RESUMEN</t>
        </is>
      </c>
    </row>
    <row r="16">
      <c r="A16" s="39" t="inlineStr">
        <is>
          <t>SALDOS A ARRASTRAR AL PRÓXIMO MES</t>
        </is>
      </c>
    </row>
    <row r="18">
      <c r="A18" t="inlineStr">
        <is>
          <t>Total CxP a arrastrar:</t>
        </is>
      </c>
      <c r="B18" s="4">
        <f>SUM(CxP!H:H)</f>
        <v/>
      </c>
    </row>
    <row r="19">
      <c r="A19" t="inlineStr">
        <is>
          <t>Total CxC a arrastrar:</t>
        </is>
      </c>
      <c r="B19" s="4">
        <f>SUM(CxC!H:H)</f>
        <v/>
      </c>
    </row>
    <row r="20">
      <c r="A20" t="inlineStr">
        <is>
          <t>Saldo efectivo:</t>
        </is>
      </c>
      <c r="B20" s="4">
        <f>BALANCE_GENERAL!B5</f>
        <v/>
      </c>
    </row>
    <row r="21">
      <c r="A21" t="inlineStr">
        <is>
          <t>Utilidad neta mes:</t>
        </is>
      </c>
      <c r="B21" s="4">
        <f>ESTADO_RESULTADOS!B40</f>
        <v/>
      </c>
    </row>
    <row r="23">
      <c r="A23" s="40" t="inlineStr">
        <is>
          <t>HISTÓRICO DE CIERRES MENSUALES</t>
        </is>
      </c>
    </row>
    <row r="24">
      <c r="A24" s="41" t="inlineStr">
        <is>
          <t>Mes</t>
        </is>
      </c>
      <c r="B24" s="41" t="inlineStr">
        <is>
          <t>Ingresos</t>
        </is>
      </c>
      <c r="C24" s="41" t="inlineStr">
        <is>
          <t>Gastos</t>
        </is>
      </c>
      <c r="D24" s="41" t="inlineStr">
        <is>
          <t>Utilidad</t>
        </is>
      </c>
      <c r="E24" s="41" t="inlineStr">
        <is>
          <t>CxP</t>
        </is>
      </c>
      <c r="F24" s="41" t="inlineStr">
        <is>
          <t>CxC</t>
        </is>
      </c>
      <c r="G24" s="41" t="inlineStr">
        <is>
          <t>Efectivo</t>
        </is>
      </c>
      <c r="H24" s="41" t="inlineStr">
        <is>
          <t>Margen %</t>
        </is>
      </c>
    </row>
  </sheetData>
  <mergeCells count="4">
    <mergeCell ref="A23:H23"/>
    <mergeCell ref="A3:H3"/>
    <mergeCell ref="A16:H16"/>
    <mergeCell ref="A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5" customWidth="1" min="4" max="4"/>
    <col width="15" customWidth="1" min="5" max="5"/>
    <col width="20" customWidth="1" min="6" max="6"/>
    <col width="30" customWidth="1" min="7" max="7"/>
  </cols>
  <sheetData>
    <row r="1" ht="30" customHeight="1">
      <c r="A1" s="42" t="inlineStr">
        <is>
          <t>HISTÓRICO DE TIPO DE CAMBIO USD → CRC</t>
        </is>
      </c>
    </row>
    <row r="2">
      <c r="A2" s="43" t="inlineStr">
        <is>
          <t>⚠️ Registrar TC al finalizar cada mes - Crítico para notas de crédito retroactivas</t>
        </is>
      </c>
    </row>
    <row r="3">
      <c r="A3" s="41" t="inlineStr">
        <is>
          <t>Fecha Efectiva</t>
        </is>
      </c>
      <c r="B3" s="41" t="inlineStr">
        <is>
          <t>TC Compra</t>
        </is>
      </c>
      <c r="C3" s="41" t="inlineStr">
        <is>
          <t>TC Venta</t>
        </is>
      </c>
      <c r="D3" s="41" t="inlineStr">
        <is>
          <t>TC Promedio</t>
        </is>
      </c>
      <c r="E3" s="41" t="inlineStr">
        <is>
          <t>Fuente</t>
        </is>
      </c>
      <c r="F3" s="41" t="inlineStr">
        <is>
          <t>Registrado Por</t>
        </is>
      </c>
      <c r="G3" s="41" t="inlineStr">
        <is>
          <t>Notas</t>
        </is>
      </c>
    </row>
    <row r="4">
      <c r="A4" s="19" t="n">
        <v>45978</v>
      </c>
      <c r="B4" s="10" t="n">
        <v>539</v>
      </c>
      <c r="C4" s="10" t="n">
        <v>541</v>
      </c>
      <c r="D4" s="10">
        <f>(B4+C4)/2</f>
        <v/>
      </c>
      <c r="E4" t="inlineStr">
        <is>
          <t>BCCR</t>
        </is>
      </c>
      <c r="F4" t="inlineStr">
        <is>
          <t>Sistema</t>
        </is>
      </c>
      <c r="G4" t="inlineStr">
        <is>
          <t>TC actual</t>
        </is>
      </c>
    </row>
    <row r="5">
      <c r="A5" s="19" t="n">
        <v>45962</v>
      </c>
      <c r="B5" s="10" t="n">
        <v>538</v>
      </c>
      <c r="C5" s="10" t="n">
        <v>540</v>
      </c>
      <c r="D5" s="10">
        <f>(B5+C5)/2</f>
        <v/>
      </c>
      <c r="E5" t="inlineStr">
        <is>
          <t>BCCR</t>
        </is>
      </c>
      <c r="F5" t="inlineStr">
        <is>
          <t>Sistema</t>
        </is>
      </c>
      <c r="G5" t="inlineStr">
        <is>
          <t>Inicio noviembre</t>
        </is>
      </c>
    </row>
    <row r="6">
      <c r="A6" s="19" t="n">
        <v>45931</v>
      </c>
      <c r="B6" s="10" t="n">
        <v>535</v>
      </c>
      <c r="C6" s="10" t="n">
        <v>537</v>
      </c>
      <c r="D6" s="10">
        <f>(B6+C6)/2</f>
        <v/>
      </c>
      <c r="E6" t="inlineStr">
        <is>
          <t>BCCR</t>
        </is>
      </c>
      <c r="F6" t="inlineStr">
        <is>
          <t>Sistema</t>
        </is>
      </c>
      <c r="G6" t="inlineStr">
        <is>
          <t>Inicio octubre</t>
        </is>
      </c>
    </row>
    <row r="7">
      <c r="A7" s="19" t="n"/>
      <c r="B7" s="10" t="n"/>
      <c r="C7" s="10" t="n"/>
      <c r="D7" s="10" t="n"/>
    </row>
    <row r="8">
      <c r="A8" s="19" t="n"/>
      <c r="B8" s="10" t="n"/>
      <c r="C8" s="10" t="n"/>
      <c r="D8" s="10" t="n"/>
    </row>
    <row r="9">
      <c r="A9" s="19" t="n"/>
      <c r="B9" s="10" t="n"/>
      <c r="C9" s="10" t="n"/>
      <c r="D9" s="10" t="n"/>
    </row>
    <row r="10">
      <c r="A10" s="19" t="n"/>
      <c r="B10" s="10" t="n"/>
      <c r="C10" s="10" t="n"/>
      <c r="D10" s="10" t="n"/>
    </row>
    <row r="11">
      <c r="A11" s="19" t="n"/>
      <c r="B11" s="10" t="n"/>
      <c r="C11" s="10" t="n"/>
      <c r="D11" s="10" t="n"/>
    </row>
    <row r="12">
      <c r="A12" s="19" t="n"/>
      <c r="B12" s="10" t="n"/>
      <c r="C12" s="10" t="n"/>
      <c r="D12" s="10" t="n"/>
    </row>
    <row r="13">
      <c r="A13" s="19" t="n"/>
      <c r="B13" s="10" t="n"/>
      <c r="C13" s="10" t="n"/>
      <c r="D13" s="10" t="n"/>
    </row>
    <row r="14">
      <c r="A14" s="19" t="n"/>
      <c r="B14" s="10" t="n"/>
      <c r="C14" s="10" t="n"/>
      <c r="D14" s="10" t="n"/>
    </row>
    <row r="15">
      <c r="A15" s="19" t="n"/>
      <c r="B15" s="10" t="n"/>
      <c r="C15" s="10" t="n"/>
      <c r="D15" s="10" t="n"/>
    </row>
    <row r="16">
      <c r="A16" s="19" t="n"/>
      <c r="B16" s="10" t="n"/>
      <c r="C16" s="10" t="n"/>
      <c r="D16" s="10" t="n"/>
    </row>
    <row r="17">
      <c r="A17" s="19" t="n"/>
      <c r="B17" s="10" t="n"/>
      <c r="C17" s="10" t="n"/>
      <c r="D17" s="10" t="n"/>
    </row>
    <row r="18">
      <c r="A18" s="19" t="n"/>
      <c r="B18" s="10" t="n"/>
      <c r="C18" s="10" t="n"/>
      <c r="D18" s="10" t="n"/>
    </row>
    <row r="19">
      <c r="A19" s="19" t="n"/>
      <c r="B19" s="10" t="n"/>
      <c r="C19" s="10" t="n"/>
      <c r="D19" s="10" t="n"/>
    </row>
    <row r="20">
      <c r="A20" s="19" t="n"/>
      <c r="B20" s="10" t="n"/>
      <c r="C20" s="10" t="n"/>
      <c r="D20" s="10" t="n"/>
    </row>
    <row r="21">
      <c r="A21" s="19" t="n"/>
      <c r="B21" s="10" t="n"/>
      <c r="C21" s="10" t="n"/>
      <c r="D21" s="10" t="n"/>
    </row>
    <row r="22">
      <c r="A22" s="19" t="n"/>
      <c r="B22" s="10" t="n"/>
      <c r="C22" s="10" t="n"/>
      <c r="D22" s="10" t="n"/>
    </row>
    <row r="23">
      <c r="A23" s="19" t="n"/>
      <c r="B23" s="10" t="n"/>
      <c r="C23" s="10" t="n"/>
      <c r="D23" s="10" t="n"/>
    </row>
    <row r="24">
      <c r="A24" s="19" t="n"/>
      <c r="B24" s="10" t="n"/>
      <c r="C24" s="10" t="n"/>
      <c r="D24" s="10" t="n"/>
    </row>
    <row r="25">
      <c r="A25" s="19" t="n"/>
      <c r="B25" s="10" t="n"/>
      <c r="C25" s="10" t="n"/>
      <c r="D25" s="10" t="n"/>
    </row>
    <row r="26">
      <c r="A26" s="19" t="n"/>
      <c r="B26" s="10" t="n"/>
      <c r="C26" s="10" t="n"/>
      <c r="D26" s="10" t="n"/>
    </row>
    <row r="27">
      <c r="A27" s="19" t="n"/>
      <c r="B27" s="10" t="n"/>
      <c r="C27" s="10" t="n"/>
      <c r="D27" s="10" t="n"/>
    </row>
    <row r="28">
      <c r="A28" s="19" t="n"/>
      <c r="B28" s="10" t="n"/>
      <c r="C28" s="10" t="n"/>
      <c r="D28" s="10" t="n"/>
    </row>
    <row r="29">
      <c r="A29" s="19" t="n"/>
      <c r="B29" s="10" t="n"/>
      <c r="C29" s="10" t="n"/>
      <c r="D29" s="10" t="n"/>
    </row>
    <row r="30">
      <c r="A30" s="19" t="n"/>
      <c r="B30" s="10" t="n"/>
      <c r="C30" s="10" t="n"/>
      <c r="D30" s="10" t="n"/>
    </row>
    <row r="31">
      <c r="A31" s="19" t="n"/>
      <c r="B31" s="10" t="n"/>
      <c r="C31" s="10" t="n"/>
      <c r="D31" s="10" t="n"/>
    </row>
    <row r="32">
      <c r="A32" s="19" t="n"/>
      <c r="B32" s="10" t="n"/>
      <c r="C32" s="10" t="n"/>
      <c r="D32" s="10" t="n"/>
    </row>
    <row r="33">
      <c r="A33" s="19" t="n"/>
      <c r="B33" s="10" t="n"/>
      <c r="C33" s="10" t="n"/>
      <c r="D33" s="10" t="n"/>
    </row>
    <row r="34">
      <c r="A34" s="19" t="n"/>
      <c r="B34" s="10" t="n"/>
      <c r="C34" s="10" t="n"/>
      <c r="D34" s="10" t="n"/>
    </row>
    <row r="35">
      <c r="A35" s="19" t="n"/>
      <c r="B35" s="10" t="n"/>
      <c r="C35" s="10" t="n"/>
      <c r="D35" s="10" t="n"/>
    </row>
    <row r="36">
      <c r="A36" s="19" t="n"/>
      <c r="B36" s="10" t="n"/>
      <c r="C36" s="10" t="n"/>
      <c r="D36" s="10" t="n"/>
    </row>
    <row r="37">
      <c r="A37" s="19" t="n"/>
      <c r="B37" s="10" t="n"/>
      <c r="C37" s="10" t="n"/>
      <c r="D37" s="10" t="n"/>
    </row>
    <row r="38">
      <c r="A38" s="19" t="n"/>
      <c r="B38" s="10" t="n"/>
      <c r="C38" s="10" t="n"/>
      <c r="D38" s="10" t="n"/>
    </row>
    <row r="39">
      <c r="A39" s="19" t="n"/>
      <c r="B39" s="10" t="n"/>
      <c r="C39" s="10" t="n"/>
      <c r="D39" s="10" t="n"/>
    </row>
    <row r="40">
      <c r="A40" s="19" t="n"/>
      <c r="B40" s="10" t="n"/>
      <c r="C40" s="10" t="n"/>
      <c r="D40" s="10" t="n"/>
    </row>
    <row r="41">
      <c r="A41" s="19" t="n"/>
      <c r="B41" s="10" t="n"/>
      <c r="C41" s="10" t="n"/>
      <c r="D41" s="10" t="n"/>
    </row>
    <row r="42">
      <c r="A42" s="19" t="n"/>
      <c r="B42" s="10" t="n"/>
      <c r="C42" s="10" t="n"/>
      <c r="D42" s="10" t="n"/>
    </row>
    <row r="43">
      <c r="A43" s="19" t="n"/>
      <c r="B43" s="10" t="n"/>
      <c r="C43" s="10" t="n"/>
      <c r="D43" s="10" t="n"/>
    </row>
    <row r="44">
      <c r="A44" s="19" t="n"/>
      <c r="B44" s="10" t="n"/>
      <c r="C44" s="10" t="n"/>
      <c r="D44" s="10" t="n"/>
    </row>
    <row r="45">
      <c r="A45" s="19" t="n"/>
      <c r="B45" s="10" t="n"/>
      <c r="C45" s="10" t="n"/>
      <c r="D45" s="10" t="n"/>
    </row>
    <row r="46">
      <c r="A46" s="19" t="n"/>
      <c r="B46" s="10" t="n"/>
      <c r="C46" s="10" t="n"/>
      <c r="D46" s="10" t="n"/>
    </row>
    <row r="47">
      <c r="A47" s="19" t="n"/>
      <c r="B47" s="10" t="n"/>
      <c r="C47" s="10" t="n"/>
      <c r="D47" s="10" t="n"/>
    </row>
    <row r="48">
      <c r="A48" s="19" t="n"/>
      <c r="B48" s="10" t="n"/>
      <c r="C48" s="10" t="n"/>
      <c r="D48" s="10" t="n"/>
    </row>
    <row r="49">
      <c r="A49" s="19" t="n"/>
      <c r="B49" s="10" t="n"/>
      <c r="C49" s="10" t="n"/>
      <c r="D49" s="10" t="n"/>
    </row>
    <row r="50">
      <c r="A50" s="19" t="n"/>
      <c r="B50" s="10" t="n"/>
      <c r="C50" s="10" t="n"/>
      <c r="D50" s="10" t="n"/>
    </row>
    <row r="51">
      <c r="A51" s="19" t="n"/>
      <c r="B51" s="10" t="n"/>
      <c r="C51" s="10" t="n"/>
      <c r="D51" s="10" t="n"/>
    </row>
    <row r="52">
      <c r="A52" s="19" t="n"/>
      <c r="B52" s="10" t="n"/>
      <c r="C52" s="10" t="n"/>
      <c r="D52" s="10" t="n"/>
    </row>
    <row r="53">
      <c r="A53" s="19" t="n"/>
      <c r="B53" s="10" t="n"/>
      <c r="C53" s="10" t="n"/>
      <c r="D53" s="10" t="n"/>
    </row>
    <row r="54">
      <c r="A54" s="19" t="n"/>
      <c r="B54" s="10" t="n"/>
      <c r="C54" s="10" t="n"/>
      <c r="D54" s="10" t="n"/>
    </row>
    <row r="55">
      <c r="A55" s="19" t="n"/>
      <c r="B55" s="10" t="n"/>
      <c r="C55" s="10" t="n"/>
      <c r="D55" s="10" t="n"/>
    </row>
    <row r="56">
      <c r="A56" s="19" t="n"/>
      <c r="B56" s="10" t="n"/>
      <c r="C56" s="10" t="n"/>
      <c r="D56" s="10" t="n"/>
    </row>
    <row r="57">
      <c r="A57" s="19" t="n"/>
      <c r="B57" s="10" t="n"/>
      <c r="C57" s="10" t="n"/>
      <c r="D57" s="10" t="n"/>
    </row>
    <row r="58">
      <c r="A58" s="19" t="n"/>
      <c r="B58" s="10" t="n"/>
      <c r="C58" s="10" t="n"/>
      <c r="D58" s="10" t="n"/>
    </row>
    <row r="59">
      <c r="A59" s="19" t="n"/>
      <c r="B59" s="10" t="n"/>
      <c r="C59" s="10" t="n"/>
      <c r="D59" s="10" t="n"/>
    </row>
    <row r="60">
      <c r="A60" s="19" t="n"/>
      <c r="B60" s="10" t="n"/>
      <c r="C60" s="10" t="n"/>
      <c r="D60" s="10" t="n"/>
    </row>
    <row r="61">
      <c r="A61" s="19" t="n"/>
      <c r="B61" s="10" t="n"/>
      <c r="C61" s="10" t="n"/>
      <c r="D61" s="10" t="n"/>
    </row>
    <row r="62">
      <c r="A62" s="19" t="n"/>
      <c r="B62" s="10" t="n"/>
      <c r="C62" s="10" t="n"/>
      <c r="D62" s="10" t="n"/>
    </row>
    <row r="63">
      <c r="A63" s="19" t="n"/>
      <c r="B63" s="10" t="n"/>
      <c r="C63" s="10" t="n"/>
      <c r="D63" s="10" t="n"/>
    </row>
    <row r="64">
      <c r="A64" s="19" t="n"/>
      <c r="B64" s="10" t="n"/>
      <c r="C64" s="10" t="n"/>
      <c r="D64" s="10" t="n"/>
    </row>
    <row r="65">
      <c r="A65" s="19" t="n"/>
      <c r="B65" s="10" t="n"/>
      <c r="C65" s="10" t="n"/>
      <c r="D65" s="10" t="n"/>
    </row>
    <row r="66">
      <c r="A66" s="19" t="n"/>
      <c r="B66" s="10" t="n"/>
      <c r="C66" s="10" t="n"/>
      <c r="D66" s="10" t="n"/>
    </row>
    <row r="67">
      <c r="A67" s="19" t="n"/>
      <c r="B67" s="10" t="n"/>
      <c r="C67" s="10" t="n"/>
      <c r="D67" s="10" t="n"/>
    </row>
    <row r="68">
      <c r="A68" s="19" t="n"/>
      <c r="B68" s="10" t="n"/>
      <c r="C68" s="10" t="n"/>
      <c r="D68" s="10" t="n"/>
    </row>
    <row r="69">
      <c r="A69" s="19" t="n"/>
      <c r="B69" s="10" t="n"/>
      <c r="C69" s="10" t="n"/>
      <c r="D69" s="10" t="n"/>
    </row>
    <row r="70">
      <c r="A70" s="19" t="n"/>
      <c r="B70" s="10" t="n"/>
      <c r="C70" s="10" t="n"/>
      <c r="D70" s="10" t="n"/>
    </row>
    <row r="71">
      <c r="A71" s="19" t="n"/>
      <c r="B71" s="10" t="n"/>
      <c r="C71" s="10" t="n"/>
      <c r="D71" s="10" t="n"/>
    </row>
    <row r="72">
      <c r="A72" s="19" t="n"/>
      <c r="B72" s="10" t="n"/>
      <c r="C72" s="10" t="n"/>
      <c r="D72" s="10" t="n"/>
    </row>
    <row r="73">
      <c r="A73" s="19" t="n"/>
      <c r="B73" s="10" t="n"/>
      <c r="C73" s="10" t="n"/>
      <c r="D73" s="10" t="n"/>
    </row>
    <row r="74">
      <c r="A74" s="19" t="n"/>
      <c r="B74" s="10" t="n"/>
      <c r="C74" s="10" t="n"/>
      <c r="D74" s="10" t="n"/>
    </row>
    <row r="75">
      <c r="A75" s="19" t="n"/>
      <c r="B75" s="10" t="n"/>
      <c r="C75" s="10" t="n"/>
      <c r="D75" s="10" t="n"/>
    </row>
    <row r="76">
      <c r="A76" s="19" t="n"/>
      <c r="B76" s="10" t="n"/>
      <c r="C76" s="10" t="n"/>
      <c r="D76" s="10" t="n"/>
    </row>
    <row r="77">
      <c r="A77" s="19" t="n"/>
      <c r="B77" s="10" t="n"/>
      <c r="C77" s="10" t="n"/>
      <c r="D77" s="10" t="n"/>
    </row>
    <row r="78">
      <c r="A78" s="19" t="n"/>
      <c r="B78" s="10" t="n"/>
      <c r="C78" s="10" t="n"/>
      <c r="D78" s="10" t="n"/>
    </row>
    <row r="79">
      <c r="A79" s="19" t="n"/>
      <c r="B79" s="10" t="n"/>
      <c r="C79" s="10" t="n"/>
      <c r="D79" s="10" t="n"/>
    </row>
    <row r="80">
      <c r="A80" s="19" t="n"/>
      <c r="B80" s="10" t="n"/>
      <c r="C80" s="10" t="n"/>
      <c r="D80" s="10" t="n"/>
    </row>
    <row r="81">
      <c r="A81" s="19" t="n"/>
      <c r="B81" s="10" t="n"/>
      <c r="C81" s="10" t="n"/>
      <c r="D81" s="10" t="n"/>
    </row>
    <row r="82">
      <c r="A82" s="19" t="n"/>
      <c r="B82" s="10" t="n"/>
      <c r="C82" s="10" t="n"/>
      <c r="D82" s="10" t="n"/>
    </row>
    <row r="83">
      <c r="A83" s="19" t="n"/>
      <c r="B83" s="10" t="n"/>
      <c r="C83" s="10" t="n"/>
      <c r="D83" s="10" t="n"/>
    </row>
    <row r="84">
      <c r="A84" s="19" t="n"/>
      <c r="B84" s="10" t="n"/>
      <c r="C84" s="10" t="n"/>
      <c r="D84" s="10" t="n"/>
    </row>
    <row r="85">
      <c r="A85" s="19" t="n"/>
      <c r="B85" s="10" t="n"/>
      <c r="C85" s="10" t="n"/>
      <c r="D85" s="10" t="n"/>
    </row>
    <row r="86">
      <c r="A86" s="19" t="n"/>
      <c r="B86" s="10" t="n"/>
      <c r="C86" s="10" t="n"/>
      <c r="D86" s="10" t="n"/>
    </row>
    <row r="87">
      <c r="A87" s="19" t="n"/>
      <c r="B87" s="10" t="n"/>
      <c r="C87" s="10" t="n"/>
      <c r="D87" s="10" t="n"/>
    </row>
    <row r="88">
      <c r="A88" s="19" t="n"/>
      <c r="B88" s="10" t="n"/>
      <c r="C88" s="10" t="n"/>
      <c r="D88" s="10" t="n"/>
    </row>
    <row r="89">
      <c r="A89" s="19" t="n"/>
      <c r="B89" s="10" t="n"/>
      <c r="C89" s="10" t="n"/>
      <c r="D89" s="10" t="n"/>
    </row>
    <row r="90">
      <c r="A90" s="19" t="n"/>
      <c r="B90" s="10" t="n"/>
      <c r="C90" s="10" t="n"/>
      <c r="D90" s="10" t="n"/>
    </row>
    <row r="91">
      <c r="A91" s="19" t="n"/>
      <c r="B91" s="10" t="n"/>
      <c r="C91" s="10" t="n"/>
      <c r="D91" s="10" t="n"/>
    </row>
    <row r="92">
      <c r="A92" s="19" t="n"/>
      <c r="B92" s="10" t="n"/>
      <c r="C92" s="10" t="n"/>
      <c r="D92" s="10" t="n"/>
    </row>
    <row r="93">
      <c r="A93" s="19" t="n"/>
      <c r="B93" s="10" t="n"/>
      <c r="C93" s="10" t="n"/>
      <c r="D93" s="10" t="n"/>
    </row>
    <row r="94">
      <c r="A94" s="19" t="n"/>
      <c r="B94" s="10" t="n"/>
      <c r="C94" s="10" t="n"/>
      <c r="D94" s="10" t="n"/>
    </row>
    <row r="95">
      <c r="A95" s="19" t="n"/>
      <c r="B95" s="10" t="n"/>
      <c r="C95" s="10" t="n"/>
      <c r="D95" s="10" t="n"/>
    </row>
    <row r="96">
      <c r="A96" s="19" t="n"/>
      <c r="B96" s="10" t="n"/>
      <c r="C96" s="10" t="n"/>
      <c r="D96" s="10" t="n"/>
    </row>
    <row r="97">
      <c r="A97" s="19" t="n"/>
      <c r="B97" s="10" t="n"/>
      <c r="C97" s="10" t="n"/>
      <c r="D97" s="10" t="n"/>
    </row>
    <row r="98">
      <c r="A98" s="19" t="n"/>
      <c r="B98" s="10" t="n"/>
      <c r="C98" s="10" t="n"/>
      <c r="D98" s="10" t="n"/>
    </row>
    <row r="99">
      <c r="A99" s="19" t="n"/>
      <c r="B99" s="10" t="n"/>
      <c r="C99" s="10" t="n"/>
      <c r="D99" s="10" t="n"/>
    </row>
  </sheetData>
  <mergeCells count="2">
    <mergeCell ref="A2:G2"/>
    <mergeCell ref="A1:G1"/>
  </mergeCells>
  <dataValidations count="1">
    <dataValidation sqref="E4:E100" showDropDown="0" showInputMessage="0" showErrorMessage="0" allowBlank="0" errorTitle="Entrada inválida" error="Valor no válido" promptTitle="Opciones disponibles" prompt="Seleccione una opción" type="list">
      <formula1>"BCCR,Manual,Banco"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5" customWidth="1" min="3" max="3"/>
    <col width="25" customWidth="1" min="4" max="4"/>
    <col width="15" customWidth="1" min="5" max="5"/>
    <col width="15" customWidth="1" min="6" max="6"/>
    <col width="15" customWidth="1" min="7" max="7"/>
    <col width="10" customWidth="1" min="8" max="8"/>
    <col width="12" customWidth="1" min="9" max="9"/>
    <col width="35" customWidth="1" min="10" max="10"/>
    <col width="20" customWidth="1" min="11" max="11"/>
    <col width="15" customWidth="1" min="12" max="12"/>
  </cols>
  <sheetData>
    <row r="1" ht="30" customHeight="1">
      <c r="A1" s="44" t="inlineStr">
        <is>
          <t>ASIENTOS DE AJUSTE</t>
        </is>
      </c>
    </row>
    <row r="2">
      <c r="A2" s="45" t="inlineStr">
        <is>
          <t>Registrar aquí ajustes que NO son transacciones normales</t>
        </is>
      </c>
    </row>
    <row r="3">
      <c r="A3" s="46" t="inlineStr">
        <is>
          <t>Fecha Ajuste</t>
        </is>
      </c>
      <c r="B3" s="46" t="inlineStr">
        <is>
          <t>Tipo de Ajuste</t>
        </is>
      </c>
      <c r="C3" s="46" t="inlineStr">
        <is>
          <t>Referencia</t>
        </is>
      </c>
      <c r="D3" s="46" t="inlineStr">
        <is>
          <t>Cuenta Afectada</t>
        </is>
      </c>
      <c r="E3" s="46" t="inlineStr">
        <is>
          <t>Monto Original</t>
        </is>
      </c>
      <c r="F3" s="46" t="inlineStr">
        <is>
          <t>Monto Ajustado</t>
        </is>
      </c>
      <c r="G3" s="46" t="inlineStr">
        <is>
          <t>Diferencia</t>
        </is>
      </c>
      <c r="H3" s="46" t="inlineStr">
        <is>
          <t>Moneda</t>
        </is>
      </c>
      <c r="I3" s="46" t="inlineStr">
        <is>
          <t>TC Usado</t>
        </is>
      </c>
      <c r="J3" s="46" t="inlineStr">
        <is>
          <t>Explicación</t>
        </is>
      </c>
      <c r="K3" s="46" t="inlineStr">
        <is>
          <t>Aprobado Por</t>
        </is>
      </c>
      <c r="L3" s="46" t="inlineStr">
        <is>
          <t>Fecha Aprobación</t>
        </is>
      </c>
    </row>
    <row r="4">
      <c r="A4" s="19" t="n">
        <v>45991</v>
      </c>
      <c r="B4" t="inlineStr">
        <is>
          <t>Diferencia TC</t>
        </is>
      </c>
      <c r="C4" t="inlineStr">
        <is>
          <t>Factura #123</t>
        </is>
      </c>
      <c r="D4" t="inlineStr">
        <is>
          <t>CxP - Proveedor XYZ</t>
        </is>
      </c>
      <c r="E4" s="20" t="n">
        <v>540000</v>
      </c>
      <c r="F4" s="20" t="n">
        <v>550000</v>
      </c>
      <c r="G4" s="20">
        <f>F4-E4</f>
        <v/>
      </c>
      <c r="H4" t="inlineStr">
        <is>
          <t>CRC</t>
        </is>
      </c>
      <c r="I4" s="10" t="n">
        <v>550</v>
      </c>
      <c r="J4" t="inlineStr">
        <is>
          <t>Ajuste por cambio TC noviembre (540→550)</t>
        </is>
      </c>
      <c r="K4" t="inlineStr">
        <is>
          <t>Alvaro Velasco</t>
        </is>
      </c>
      <c r="L4" s="19" t="n">
        <v>45991</v>
      </c>
    </row>
    <row r="5">
      <c r="A5" s="19" t="n"/>
      <c r="E5" s="20" t="n"/>
      <c r="F5" s="20" t="n"/>
      <c r="G5" s="20" t="n"/>
      <c r="I5" s="10" t="n"/>
      <c r="L5" s="19" t="n"/>
    </row>
    <row r="6">
      <c r="A6" s="19" t="n"/>
      <c r="E6" s="20" t="n"/>
      <c r="F6" s="20" t="n"/>
      <c r="G6" s="20" t="n"/>
      <c r="I6" s="10" t="n"/>
      <c r="L6" s="19" t="n"/>
    </row>
    <row r="7">
      <c r="A7" s="19" t="n"/>
      <c r="E7" s="20" t="n"/>
      <c r="F7" s="20" t="n"/>
      <c r="G7" s="20" t="n"/>
      <c r="I7" s="10" t="n"/>
      <c r="L7" s="19" t="n"/>
    </row>
    <row r="8">
      <c r="A8" s="19" t="n"/>
      <c r="E8" s="20" t="n"/>
      <c r="F8" s="20" t="n"/>
      <c r="G8" s="20" t="n"/>
      <c r="I8" s="10" t="n"/>
      <c r="L8" s="19" t="n"/>
    </row>
    <row r="9">
      <c r="A9" s="19" t="n"/>
      <c r="E9" s="20" t="n"/>
      <c r="F9" s="20" t="n"/>
      <c r="G9" s="20" t="n"/>
      <c r="I9" s="10" t="n"/>
      <c r="L9" s="19" t="n"/>
    </row>
    <row r="10">
      <c r="A10" s="19" t="n"/>
      <c r="E10" s="20" t="n"/>
      <c r="F10" s="20" t="n"/>
      <c r="G10" s="20" t="n"/>
      <c r="I10" s="10" t="n"/>
      <c r="L10" s="19" t="n"/>
    </row>
    <row r="11">
      <c r="A11" s="19" t="n"/>
      <c r="E11" s="20" t="n"/>
      <c r="F11" s="20" t="n"/>
      <c r="G11" s="20" t="n"/>
      <c r="I11" s="10" t="n"/>
      <c r="L11" s="19" t="n"/>
    </row>
    <row r="12">
      <c r="A12" s="19" t="n"/>
      <c r="E12" s="20" t="n"/>
      <c r="F12" s="20" t="n"/>
      <c r="G12" s="20" t="n"/>
      <c r="I12" s="10" t="n"/>
      <c r="L12" s="19" t="n"/>
    </row>
    <row r="13">
      <c r="A13" s="19" t="n"/>
      <c r="E13" s="20" t="n"/>
      <c r="F13" s="20" t="n"/>
      <c r="G13" s="20" t="n"/>
      <c r="I13" s="10" t="n"/>
      <c r="L13" s="19" t="n"/>
    </row>
    <row r="14">
      <c r="A14" s="19" t="n"/>
      <c r="E14" s="20" t="n"/>
      <c r="F14" s="20" t="n"/>
      <c r="G14" s="20" t="n"/>
      <c r="I14" s="10" t="n"/>
      <c r="L14" s="19" t="n"/>
    </row>
    <row r="15">
      <c r="A15" s="19" t="n"/>
      <c r="E15" s="20" t="n"/>
      <c r="F15" s="20" t="n"/>
      <c r="G15" s="20" t="n"/>
      <c r="I15" s="10" t="n"/>
      <c r="L15" s="19" t="n"/>
    </row>
    <row r="16">
      <c r="A16" s="19" t="n"/>
      <c r="E16" s="20" t="n"/>
      <c r="F16" s="20" t="n"/>
      <c r="G16" s="20" t="n"/>
      <c r="I16" s="10" t="n"/>
      <c r="L16" s="19" t="n"/>
    </row>
    <row r="17">
      <c r="A17" s="19" t="n"/>
      <c r="E17" s="20" t="n"/>
      <c r="F17" s="20" t="n"/>
      <c r="G17" s="20" t="n"/>
      <c r="I17" s="10" t="n"/>
      <c r="L17" s="19" t="n"/>
    </row>
    <row r="18">
      <c r="A18" s="19" t="n"/>
      <c r="E18" s="20" t="n"/>
      <c r="F18" s="20" t="n"/>
      <c r="G18" s="20" t="n"/>
      <c r="I18" s="10" t="n"/>
      <c r="L18" s="19" t="n"/>
    </row>
    <row r="19">
      <c r="A19" s="19" t="n"/>
      <c r="E19" s="20" t="n"/>
      <c r="F19" s="20" t="n"/>
      <c r="G19" s="20" t="n"/>
      <c r="I19" s="10" t="n"/>
      <c r="L19" s="19" t="n"/>
    </row>
    <row r="20">
      <c r="A20" s="19" t="n"/>
      <c r="E20" s="20" t="n"/>
      <c r="F20" s="20" t="n"/>
      <c r="G20" s="20" t="n"/>
      <c r="I20" s="10" t="n"/>
      <c r="L20" s="19" t="n"/>
    </row>
    <row r="21">
      <c r="A21" s="19" t="n"/>
      <c r="E21" s="20" t="n"/>
      <c r="F21" s="20" t="n"/>
      <c r="G21" s="20" t="n"/>
      <c r="I21" s="10" t="n"/>
      <c r="L21" s="19" t="n"/>
    </row>
    <row r="22">
      <c r="A22" s="19" t="n"/>
      <c r="E22" s="20" t="n"/>
      <c r="F22" s="20" t="n"/>
      <c r="G22" s="20" t="n"/>
      <c r="I22" s="10" t="n"/>
      <c r="L22" s="19" t="n"/>
    </row>
    <row r="23">
      <c r="A23" s="19" t="n"/>
      <c r="E23" s="20" t="n"/>
      <c r="F23" s="20" t="n"/>
      <c r="G23" s="20" t="n"/>
      <c r="I23" s="10" t="n"/>
      <c r="L23" s="19" t="n"/>
    </row>
    <row r="24">
      <c r="A24" s="19" t="n"/>
      <c r="E24" s="20" t="n"/>
      <c r="F24" s="20" t="n"/>
      <c r="G24" s="20" t="n"/>
      <c r="I24" s="10" t="n"/>
      <c r="L24" s="19" t="n"/>
    </row>
    <row r="25">
      <c r="A25" s="19" t="n"/>
      <c r="E25" s="20" t="n"/>
      <c r="F25" s="20" t="n"/>
      <c r="G25" s="20" t="n"/>
      <c r="I25" s="10" t="n"/>
      <c r="L25" s="19" t="n"/>
    </row>
    <row r="26">
      <c r="A26" s="19" t="n"/>
      <c r="E26" s="20" t="n"/>
      <c r="F26" s="20" t="n"/>
      <c r="G26" s="20" t="n"/>
      <c r="I26" s="10" t="n"/>
      <c r="L26" s="19" t="n"/>
    </row>
    <row r="27">
      <c r="A27" s="19" t="n"/>
      <c r="E27" s="20" t="n"/>
      <c r="F27" s="20" t="n"/>
      <c r="G27" s="20" t="n"/>
      <c r="I27" s="10" t="n"/>
      <c r="L27" s="19" t="n"/>
    </row>
    <row r="28">
      <c r="A28" s="19" t="n"/>
      <c r="E28" s="20" t="n"/>
      <c r="F28" s="20" t="n"/>
      <c r="G28" s="20" t="n"/>
      <c r="I28" s="10" t="n"/>
      <c r="L28" s="19" t="n"/>
    </row>
    <row r="29">
      <c r="A29" s="19" t="n"/>
      <c r="E29" s="20" t="n"/>
      <c r="F29" s="20" t="n"/>
      <c r="G29" s="20" t="n"/>
      <c r="I29" s="10" t="n"/>
      <c r="L29" s="19" t="n"/>
    </row>
    <row r="30">
      <c r="A30" s="19" t="n"/>
      <c r="E30" s="20" t="n"/>
      <c r="F30" s="20" t="n"/>
      <c r="G30" s="20" t="n"/>
      <c r="I30" s="10" t="n"/>
      <c r="L30" s="19" t="n"/>
    </row>
    <row r="31">
      <c r="A31" s="19" t="n"/>
      <c r="E31" s="20" t="n"/>
      <c r="F31" s="20" t="n"/>
      <c r="G31" s="20" t="n"/>
      <c r="I31" s="10" t="n"/>
      <c r="L31" s="19" t="n"/>
    </row>
    <row r="32">
      <c r="A32" s="19" t="n"/>
      <c r="E32" s="20" t="n"/>
      <c r="F32" s="20" t="n"/>
      <c r="G32" s="20" t="n"/>
      <c r="I32" s="10" t="n"/>
      <c r="L32" s="19" t="n"/>
    </row>
    <row r="33">
      <c r="A33" s="19" t="n"/>
      <c r="E33" s="20" t="n"/>
      <c r="F33" s="20" t="n"/>
      <c r="G33" s="20" t="n"/>
      <c r="I33" s="10" t="n"/>
      <c r="L33" s="19" t="n"/>
    </row>
    <row r="34">
      <c r="A34" s="19" t="n"/>
      <c r="E34" s="20" t="n"/>
      <c r="F34" s="20" t="n"/>
      <c r="G34" s="20" t="n"/>
      <c r="I34" s="10" t="n"/>
      <c r="L34" s="19" t="n"/>
    </row>
    <row r="35">
      <c r="A35" s="19" t="n"/>
      <c r="E35" s="20" t="n"/>
      <c r="F35" s="20" t="n"/>
      <c r="G35" s="20" t="n"/>
      <c r="I35" s="10" t="n"/>
      <c r="L35" s="19" t="n"/>
    </row>
    <row r="36">
      <c r="A36" s="19" t="n"/>
      <c r="E36" s="20" t="n"/>
      <c r="F36" s="20" t="n"/>
      <c r="G36" s="20" t="n"/>
      <c r="I36" s="10" t="n"/>
      <c r="L36" s="19" t="n"/>
    </row>
    <row r="37">
      <c r="A37" s="19" t="n"/>
      <c r="E37" s="20" t="n"/>
      <c r="F37" s="20" t="n"/>
      <c r="G37" s="20" t="n"/>
      <c r="I37" s="10" t="n"/>
      <c r="L37" s="19" t="n"/>
    </row>
    <row r="38">
      <c r="A38" s="19" t="n"/>
      <c r="E38" s="20" t="n"/>
      <c r="F38" s="20" t="n"/>
      <c r="G38" s="20" t="n"/>
      <c r="I38" s="10" t="n"/>
      <c r="L38" s="19" t="n"/>
    </row>
    <row r="39">
      <c r="A39" s="19" t="n"/>
      <c r="E39" s="20" t="n"/>
      <c r="F39" s="20" t="n"/>
      <c r="G39" s="20" t="n"/>
      <c r="I39" s="10" t="n"/>
      <c r="L39" s="19" t="n"/>
    </row>
    <row r="40">
      <c r="A40" s="19" t="n"/>
      <c r="E40" s="20" t="n"/>
      <c r="F40" s="20" t="n"/>
      <c r="G40" s="20" t="n"/>
      <c r="I40" s="10" t="n"/>
      <c r="L40" s="19" t="n"/>
    </row>
    <row r="41">
      <c r="A41" s="19" t="n"/>
      <c r="E41" s="20" t="n"/>
      <c r="F41" s="20" t="n"/>
      <c r="G41" s="20" t="n"/>
      <c r="I41" s="10" t="n"/>
      <c r="L41" s="19" t="n"/>
    </row>
    <row r="42">
      <c r="A42" s="19" t="n"/>
      <c r="E42" s="20" t="n"/>
      <c r="F42" s="20" t="n"/>
      <c r="G42" s="20" t="n"/>
      <c r="I42" s="10" t="n"/>
      <c r="L42" s="19" t="n"/>
    </row>
    <row r="43">
      <c r="A43" s="19" t="n"/>
      <c r="E43" s="20" t="n"/>
      <c r="F43" s="20" t="n"/>
      <c r="G43" s="20" t="n"/>
      <c r="I43" s="10" t="n"/>
      <c r="L43" s="19" t="n"/>
    </row>
    <row r="44">
      <c r="A44" s="19" t="n"/>
      <c r="E44" s="20" t="n"/>
      <c r="F44" s="20" t="n"/>
      <c r="G44" s="20" t="n"/>
      <c r="I44" s="10" t="n"/>
      <c r="L44" s="19" t="n"/>
    </row>
    <row r="45">
      <c r="A45" s="19" t="n"/>
      <c r="E45" s="20" t="n"/>
      <c r="F45" s="20" t="n"/>
      <c r="G45" s="20" t="n"/>
      <c r="I45" s="10" t="n"/>
      <c r="L45" s="19" t="n"/>
    </row>
    <row r="46">
      <c r="A46" s="19" t="n"/>
      <c r="E46" s="20" t="n"/>
      <c r="F46" s="20" t="n"/>
      <c r="G46" s="20" t="n"/>
      <c r="I46" s="10" t="n"/>
      <c r="L46" s="19" t="n"/>
    </row>
    <row r="47">
      <c r="A47" s="19" t="n"/>
      <c r="E47" s="20" t="n"/>
      <c r="F47" s="20" t="n"/>
      <c r="G47" s="20" t="n"/>
      <c r="I47" s="10" t="n"/>
      <c r="L47" s="19" t="n"/>
    </row>
    <row r="48">
      <c r="A48" s="19" t="n"/>
      <c r="E48" s="20" t="n"/>
      <c r="F48" s="20" t="n"/>
      <c r="G48" s="20" t="n"/>
      <c r="I48" s="10" t="n"/>
      <c r="L48" s="19" t="n"/>
    </row>
    <row r="49">
      <c r="A49" s="19" t="n"/>
      <c r="E49" s="20" t="n"/>
      <c r="F49" s="20" t="n"/>
      <c r="G49" s="20" t="n"/>
      <c r="I49" s="10" t="n"/>
      <c r="L49" s="19" t="n"/>
    </row>
    <row r="50">
      <c r="A50" s="19" t="n"/>
      <c r="E50" s="20" t="n"/>
      <c r="F50" s="20" t="n"/>
      <c r="G50" s="20" t="n"/>
      <c r="I50" s="10" t="n"/>
      <c r="L50" s="19" t="n"/>
    </row>
    <row r="51">
      <c r="A51" s="19" t="n"/>
      <c r="E51" s="20" t="n"/>
      <c r="F51" s="20" t="n"/>
      <c r="G51" s="20" t="n"/>
      <c r="I51" s="10" t="n"/>
      <c r="L51" s="19" t="n"/>
    </row>
    <row r="52">
      <c r="A52" s="19" t="n"/>
      <c r="E52" s="20" t="n"/>
      <c r="F52" s="20" t="n"/>
      <c r="G52" s="20" t="n"/>
      <c r="I52" s="10" t="n"/>
      <c r="L52" s="19" t="n"/>
    </row>
    <row r="53">
      <c r="A53" s="19" t="n"/>
      <c r="E53" s="20" t="n"/>
      <c r="F53" s="20" t="n"/>
      <c r="G53" s="20" t="n"/>
      <c r="I53" s="10" t="n"/>
      <c r="L53" s="19" t="n"/>
    </row>
    <row r="54">
      <c r="A54" s="19" t="n"/>
      <c r="E54" s="20" t="n"/>
      <c r="F54" s="20" t="n"/>
      <c r="G54" s="20" t="n"/>
      <c r="I54" s="10" t="n"/>
      <c r="L54" s="19" t="n"/>
    </row>
    <row r="55">
      <c r="A55" s="19" t="n"/>
      <c r="E55" s="20" t="n"/>
      <c r="F55" s="20" t="n"/>
      <c r="G55" s="20" t="n"/>
      <c r="I55" s="10" t="n"/>
      <c r="L55" s="19" t="n"/>
    </row>
    <row r="56">
      <c r="A56" s="19" t="n"/>
      <c r="E56" s="20" t="n"/>
      <c r="F56" s="20" t="n"/>
      <c r="G56" s="20" t="n"/>
      <c r="I56" s="10" t="n"/>
      <c r="L56" s="19" t="n"/>
    </row>
    <row r="57">
      <c r="A57" s="19" t="n"/>
      <c r="E57" s="20" t="n"/>
      <c r="F57" s="20" t="n"/>
      <c r="G57" s="20" t="n"/>
      <c r="I57" s="10" t="n"/>
      <c r="L57" s="19" t="n"/>
    </row>
    <row r="58">
      <c r="A58" s="19" t="n"/>
      <c r="E58" s="20" t="n"/>
      <c r="F58" s="20" t="n"/>
      <c r="G58" s="20" t="n"/>
      <c r="I58" s="10" t="n"/>
      <c r="L58" s="19" t="n"/>
    </row>
    <row r="59">
      <c r="A59" s="19" t="n"/>
      <c r="E59" s="20" t="n"/>
      <c r="F59" s="20" t="n"/>
      <c r="G59" s="20" t="n"/>
      <c r="I59" s="10" t="n"/>
      <c r="L59" s="19" t="n"/>
    </row>
    <row r="60">
      <c r="A60" s="19" t="n"/>
      <c r="E60" s="20" t="n"/>
      <c r="F60" s="20" t="n"/>
      <c r="G60" s="20" t="n"/>
      <c r="I60" s="10" t="n"/>
      <c r="L60" s="19" t="n"/>
    </row>
    <row r="61">
      <c r="A61" s="19" t="n"/>
      <c r="E61" s="20" t="n"/>
      <c r="F61" s="20" t="n"/>
      <c r="G61" s="20" t="n"/>
      <c r="I61" s="10" t="n"/>
      <c r="L61" s="19" t="n"/>
    </row>
    <row r="62">
      <c r="A62" s="19" t="n"/>
      <c r="E62" s="20" t="n"/>
      <c r="F62" s="20" t="n"/>
      <c r="G62" s="20" t="n"/>
      <c r="I62" s="10" t="n"/>
      <c r="L62" s="19" t="n"/>
    </row>
    <row r="63">
      <c r="A63" s="19" t="n"/>
      <c r="E63" s="20" t="n"/>
      <c r="F63" s="20" t="n"/>
      <c r="G63" s="20" t="n"/>
      <c r="I63" s="10" t="n"/>
      <c r="L63" s="19" t="n"/>
    </row>
    <row r="64">
      <c r="A64" s="19" t="n"/>
      <c r="E64" s="20" t="n"/>
      <c r="F64" s="20" t="n"/>
      <c r="G64" s="20" t="n"/>
      <c r="I64" s="10" t="n"/>
      <c r="L64" s="19" t="n"/>
    </row>
    <row r="65">
      <c r="A65" s="19" t="n"/>
      <c r="E65" s="20" t="n"/>
      <c r="F65" s="20" t="n"/>
      <c r="G65" s="20" t="n"/>
      <c r="I65" s="10" t="n"/>
      <c r="L65" s="19" t="n"/>
    </row>
    <row r="66">
      <c r="A66" s="19" t="n"/>
      <c r="E66" s="20" t="n"/>
      <c r="F66" s="20" t="n"/>
      <c r="G66" s="20" t="n"/>
      <c r="I66" s="10" t="n"/>
      <c r="L66" s="19" t="n"/>
    </row>
    <row r="67">
      <c r="A67" s="19" t="n"/>
      <c r="E67" s="20" t="n"/>
      <c r="F67" s="20" t="n"/>
      <c r="G67" s="20" t="n"/>
      <c r="I67" s="10" t="n"/>
      <c r="L67" s="19" t="n"/>
    </row>
    <row r="68">
      <c r="A68" s="19" t="n"/>
      <c r="E68" s="20" t="n"/>
      <c r="F68" s="20" t="n"/>
      <c r="G68" s="20" t="n"/>
      <c r="I68" s="10" t="n"/>
      <c r="L68" s="19" t="n"/>
    </row>
    <row r="69">
      <c r="A69" s="19" t="n"/>
      <c r="E69" s="20" t="n"/>
      <c r="F69" s="20" t="n"/>
      <c r="G69" s="20" t="n"/>
      <c r="I69" s="10" t="n"/>
      <c r="L69" s="19" t="n"/>
    </row>
    <row r="70">
      <c r="A70" s="19" t="n"/>
      <c r="E70" s="20" t="n"/>
      <c r="F70" s="20" t="n"/>
      <c r="G70" s="20" t="n"/>
      <c r="I70" s="10" t="n"/>
      <c r="L70" s="19" t="n"/>
    </row>
    <row r="71">
      <c r="A71" s="19" t="n"/>
      <c r="E71" s="20" t="n"/>
      <c r="F71" s="20" t="n"/>
      <c r="G71" s="20" t="n"/>
      <c r="I71" s="10" t="n"/>
      <c r="L71" s="19" t="n"/>
    </row>
    <row r="72">
      <c r="A72" s="19" t="n"/>
      <c r="E72" s="20" t="n"/>
      <c r="F72" s="20" t="n"/>
      <c r="G72" s="20" t="n"/>
      <c r="I72" s="10" t="n"/>
      <c r="L72" s="19" t="n"/>
    </row>
    <row r="73">
      <c r="A73" s="19" t="n"/>
      <c r="E73" s="20" t="n"/>
      <c r="F73" s="20" t="n"/>
      <c r="G73" s="20" t="n"/>
      <c r="I73" s="10" t="n"/>
      <c r="L73" s="19" t="n"/>
    </row>
    <row r="74">
      <c r="A74" s="19" t="n"/>
      <c r="E74" s="20" t="n"/>
      <c r="F74" s="20" t="n"/>
      <c r="G74" s="20" t="n"/>
      <c r="I74" s="10" t="n"/>
      <c r="L74" s="19" t="n"/>
    </row>
    <row r="75">
      <c r="A75" s="19" t="n"/>
      <c r="E75" s="20" t="n"/>
      <c r="F75" s="20" t="n"/>
      <c r="G75" s="20" t="n"/>
      <c r="I75" s="10" t="n"/>
      <c r="L75" s="19" t="n"/>
    </row>
    <row r="76">
      <c r="A76" s="19" t="n"/>
      <c r="E76" s="20" t="n"/>
      <c r="F76" s="20" t="n"/>
      <c r="G76" s="20" t="n"/>
      <c r="I76" s="10" t="n"/>
      <c r="L76" s="19" t="n"/>
    </row>
    <row r="77">
      <c r="A77" s="19" t="n"/>
      <c r="E77" s="20" t="n"/>
      <c r="F77" s="20" t="n"/>
      <c r="G77" s="20" t="n"/>
      <c r="I77" s="10" t="n"/>
      <c r="L77" s="19" t="n"/>
    </row>
    <row r="78">
      <c r="A78" s="19" t="n"/>
      <c r="E78" s="20" t="n"/>
      <c r="F78" s="20" t="n"/>
      <c r="G78" s="20" t="n"/>
      <c r="I78" s="10" t="n"/>
      <c r="L78" s="19" t="n"/>
    </row>
    <row r="79">
      <c r="A79" s="19" t="n"/>
      <c r="E79" s="20" t="n"/>
      <c r="F79" s="20" t="n"/>
      <c r="G79" s="20" t="n"/>
      <c r="I79" s="10" t="n"/>
      <c r="L79" s="19" t="n"/>
    </row>
    <row r="80">
      <c r="A80" s="19" t="n"/>
      <c r="E80" s="20" t="n"/>
      <c r="F80" s="20" t="n"/>
      <c r="G80" s="20" t="n"/>
      <c r="I80" s="10" t="n"/>
      <c r="L80" s="19" t="n"/>
    </row>
    <row r="81">
      <c r="A81" s="19" t="n"/>
      <c r="E81" s="20" t="n"/>
      <c r="F81" s="20" t="n"/>
      <c r="G81" s="20" t="n"/>
      <c r="I81" s="10" t="n"/>
      <c r="L81" s="19" t="n"/>
    </row>
    <row r="82">
      <c r="A82" s="19" t="n"/>
      <c r="E82" s="20" t="n"/>
      <c r="F82" s="20" t="n"/>
      <c r="G82" s="20" t="n"/>
      <c r="I82" s="10" t="n"/>
      <c r="L82" s="19" t="n"/>
    </row>
    <row r="83">
      <c r="A83" s="19" t="n"/>
      <c r="E83" s="20" t="n"/>
      <c r="F83" s="20" t="n"/>
      <c r="G83" s="20" t="n"/>
      <c r="I83" s="10" t="n"/>
      <c r="L83" s="19" t="n"/>
    </row>
    <row r="84">
      <c r="A84" s="19" t="n"/>
      <c r="E84" s="20" t="n"/>
      <c r="F84" s="20" t="n"/>
      <c r="G84" s="20" t="n"/>
      <c r="I84" s="10" t="n"/>
      <c r="L84" s="19" t="n"/>
    </row>
    <row r="85">
      <c r="A85" s="19" t="n"/>
      <c r="E85" s="20" t="n"/>
      <c r="F85" s="20" t="n"/>
      <c r="G85" s="20" t="n"/>
      <c r="I85" s="10" t="n"/>
      <c r="L85" s="19" t="n"/>
    </row>
    <row r="86">
      <c r="A86" s="19" t="n"/>
      <c r="E86" s="20" t="n"/>
      <c r="F86" s="20" t="n"/>
      <c r="G86" s="20" t="n"/>
      <c r="I86" s="10" t="n"/>
      <c r="L86" s="19" t="n"/>
    </row>
    <row r="87">
      <c r="A87" s="19" t="n"/>
      <c r="E87" s="20" t="n"/>
      <c r="F87" s="20" t="n"/>
      <c r="G87" s="20" t="n"/>
      <c r="I87" s="10" t="n"/>
      <c r="L87" s="19" t="n"/>
    </row>
    <row r="88">
      <c r="A88" s="19" t="n"/>
      <c r="E88" s="20" t="n"/>
      <c r="F88" s="20" t="n"/>
      <c r="G88" s="20" t="n"/>
      <c r="I88" s="10" t="n"/>
      <c r="L88" s="19" t="n"/>
    </row>
    <row r="89">
      <c r="A89" s="19" t="n"/>
      <c r="E89" s="20" t="n"/>
      <c r="F89" s="20" t="n"/>
      <c r="G89" s="20" t="n"/>
      <c r="I89" s="10" t="n"/>
      <c r="L89" s="19" t="n"/>
    </row>
    <row r="90">
      <c r="A90" s="19" t="n"/>
      <c r="E90" s="20" t="n"/>
      <c r="F90" s="20" t="n"/>
      <c r="G90" s="20" t="n"/>
      <c r="I90" s="10" t="n"/>
      <c r="L90" s="19" t="n"/>
    </row>
    <row r="91">
      <c r="A91" s="19" t="n"/>
      <c r="E91" s="20" t="n"/>
      <c r="F91" s="20" t="n"/>
      <c r="G91" s="20" t="n"/>
      <c r="I91" s="10" t="n"/>
      <c r="L91" s="19" t="n"/>
    </row>
    <row r="92">
      <c r="A92" s="19" t="n"/>
      <c r="E92" s="20" t="n"/>
      <c r="F92" s="20" t="n"/>
      <c r="G92" s="20" t="n"/>
      <c r="I92" s="10" t="n"/>
      <c r="L92" s="19" t="n"/>
    </row>
    <row r="93">
      <c r="A93" s="19" t="n"/>
      <c r="E93" s="20" t="n"/>
      <c r="F93" s="20" t="n"/>
      <c r="G93" s="20" t="n"/>
      <c r="I93" s="10" t="n"/>
      <c r="L93" s="19" t="n"/>
    </row>
    <row r="94">
      <c r="A94" s="19" t="n"/>
      <c r="E94" s="20" t="n"/>
      <c r="F94" s="20" t="n"/>
      <c r="G94" s="20" t="n"/>
      <c r="I94" s="10" t="n"/>
      <c r="L94" s="19" t="n"/>
    </row>
    <row r="95">
      <c r="A95" s="19" t="n"/>
      <c r="E95" s="20" t="n"/>
      <c r="F95" s="20" t="n"/>
      <c r="G95" s="20" t="n"/>
      <c r="I95" s="10" t="n"/>
      <c r="L95" s="19" t="n"/>
    </row>
    <row r="96">
      <c r="A96" s="19" t="n"/>
      <c r="E96" s="20" t="n"/>
      <c r="F96" s="20" t="n"/>
      <c r="G96" s="20" t="n"/>
      <c r="I96" s="10" t="n"/>
      <c r="L96" s="19" t="n"/>
    </row>
    <row r="97">
      <c r="A97" s="19" t="n"/>
      <c r="E97" s="20" t="n"/>
      <c r="F97" s="20" t="n"/>
      <c r="G97" s="20" t="n"/>
      <c r="I97" s="10" t="n"/>
      <c r="L97" s="19" t="n"/>
    </row>
    <row r="98">
      <c r="A98" s="19" t="n"/>
      <c r="E98" s="20" t="n"/>
      <c r="F98" s="20" t="n"/>
      <c r="G98" s="20" t="n"/>
      <c r="I98" s="10" t="n"/>
      <c r="L98" s="19" t="n"/>
    </row>
    <row r="99">
      <c r="A99" s="19" t="n"/>
      <c r="E99" s="20" t="n"/>
      <c r="F99" s="20" t="n"/>
      <c r="G99" s="20" t="n"/>
      <c r="I99" s="10" t="n"/>
      <c r="L99" s="19" t="n"/>
    </row>
  </sheetData>
  <mergeCells count="2">
    <mergeCell ref="A2:L2"/>
    <mergeCell ref="A1:L1"/>
  </mergeCells>
  <dataValidations count="2">
    <dataValidation sqref="B4:B100" showDropDown="0" showInputMessage="0" showErrorMessage="0" allowBlank="0" errorTitle="Entrada inválida" error="Valor no válido" promptTitle="Opciones disponibles" prompt="Seleccione una opción" type="list">
      <formula1>"Diferencia TC,Corrección Error,Nota Crédito,Nota Débito,Depreciación,Provisión,Otros"</formula1>
    </dataValidation>
    <dataValidation sqref="H4:H100" showDropDown="0" showInputMessage="0" showErrorMessage="0" allowBlank="0" errorTitle="Entrada inválida" error="Valor no válido" promptTitle="Opciones disponibles" prompt="Seleccione una opción" type="list">
      <formula1>"USD,CRC"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5" customWidth="1" min="4" max="4"/>
  </cols>
  <sheetData>
    <row r="1" ht="30" customHeight="1">
      <c r="A1" s="47" t="inlineStr">
        <is>
          <t>BALANCE GENERAL / ESTADO SITUACIÓN FINANCIERA</t>
        </is>
      </c>
    </row>
    <row r="2">
      <c r="A2" s="45" t="inlineStr">
        <is>
          <t>Al 17 de November, 2025</t>
        </is>
      </c>
    </row>
    <row r="4">
      <c r="A4" s="48" t="inlineStr">
        <is>
          <t>ACTIVO CORRIENTE</t>
        </is>
      </c>
    </row>
    <row r="5">
      <c r="A5" t="inlineStr">
        <is>
          <t xml:space="preserve">  Efectivo y equivalentes</t>
        </is>
      </c>
      <c r="B5" s="4">
        <f>SUMIFS(TRANSACCIONES!F:F,TRANSACCIONES!C:C,"Ingreso",TRANSACCIONES!M:M,"Cobrado",TRANSACCIONES!E:E,"USD")-SUMIFS(TRANSACCIONES!F:F,TRANSACCIONES!C:C,"Gasto",TRANSACCIONES!M:M,"Pagado",TRANSACCIONES!E:E,"USD")</f>
        <v/>
      </c>
    </row>
    <row r="6">
      <c r="A6" t="inlineStr">
        <is>
          <t xml:space="preserve">  Cuentas por Cobrar (CxC)</t>
        </is>
      </c>
      <c r="B6" s="4">
        <f>SUM(CxC!H:H)</f>
        <v/>
      </c>
    </row>
    <row r="7">
      <c r="A7" t="inlineStr">
        <is>
          <t xml:space="preserve">  Inventario</t>
        </is>
      </c>
      <c r="B7" s="4">
        <f>SUMIFS(TRANSACCIONES!F:F,TRANSACCIONES!C:C,"Inventario",TRANSACCIONES!E:E,"USD")</f>
        <v/>
      </c>
    </row>
    <row r="8">
      <c r="A8" t="inlineStr">
        <is>
          <t xml:space="preserve">  Total Activo Corriente</t>
        </is>
      </c>
      <c r="B8" s="49">
        <f>SUM(B5:B7)</f>
        <v/>
      </c>
    </row>
    <row r="10">
      <c r="A10" s="48" t="inlineStr">
        <is>
          <t>ACTIVO NO CORRIENTE</t>
        </is>
      </c>
    </row>
    <row r="11">
      <c r="A11" t="inlineStr">
        <is>
          <t xml:space="preserve">  Propiedad, Planta y Equipo</t>
        </is>
      </c>
      <c r="B11" s="4" t="n">
        <v>0</v>
      </c>
    </row>
    <row r="12">
      <c r="A12" t="inlineStr">
        <is>
          <t xml:space="preserve">  Menos: Depreciación Acumulada</t>
        </is>
      </c>
      <c r="B12" s="4" t="n">
        <v>0</v>
      </c>
    </row>
    <row r="13">
      <c r="A13" t="inlineStr">
        <is>
          <t xml:space="preserve">  Activos Intangibles</t>
        </is>
      </c>
      <c r="B13" s="4" t="n">
        <v>0</v>
      </c>
    </row>
    <row r="14">
      <c r="A14" t="inlineStr">
        <is>
          <t xml:space="preserve">  Total Activo No Corriente</t>
        </is>
      </c>
      <c r="B14" s="49">
        <f>SUM(B11:B13)</f>
        <v/>
      </c>
    </row>
    <row r="16">
      <c r="A16" t="inlineStr">
        <is>
          <t>TOTAL ACTIVOS</t>
        </is>
      </c>
      <c r="B16" s="50">
        <f>B8+B14</f>
        <v/>
      </c>
    </row>
    <row r="18">
      <c r="A18" s="48" t="inlineStr">
        <is>
          <t>PASIVO CORRIENTE</t>
        </is>
      </c>
    </row>
    <row r="19">
      <c r="A19" t="inlineStr">
        <is>
          <t xml:space="preserve">  Cuentas por Pagar (CxP)</t>
        </is>
      </c>
      <c r="B19" s="4">
        <f>SUM(CxP!H:H)</f>
        <v/>
      </c>
    </row>
    <row r="20">
      <c r="A20" t="inlineStr">
        <is>
          <t xml:space="preserve">  Tarjetas de Crédito</t>
        </is>
      </c>
      <c r="B20" s="4">
        <f>SUMIFS(TRANSACCIONES!F:F,TRANSACCIONES!C:C,"CxP",TRANSACCIONES!D:D,"Tarjeta Crédito",TRANSACCIONES!M:M,"Pendiente",TRANSACCIONES!E:E,"USD")</f>
        <v/>
      </c>
    </row>
    <row r="21">
      <c r="A21" t="inlineStr">
        <is>
          <t xml:space="preserve">  Impuestos por Pagar (IVA)</t>
        </is>
      </c>
      <c r="B21" s="4">
        <f>SUMIFS(IVA_CONTROL!D:D,IVA_CONTROL!E:E,"Venta")-SUMIFS(IVA_CONTROL!D:D,IVA_CONTROL!E:E,"Compra")</f>
        <v/>
      </c>
    </row>
    <row r="22">
      <c r="A22" t="inlineStr">
        <is>
          <t xml:space="preserve">  Total Pasivo Corriente</t>
        </is>
      </c>
      <c r="B22" s="49">
        <f>SUM(B19:B21)</f>
        <v/>
      </c>
    </row>
    <row r="24">
      <c r="A24" s="48" t="inlineStr">
        <is>
          <t>PASIVO NO CORRIENTE</t>
        </is>
      </c>
    </row>
    <row r="25">
      <c r="A25" t="inlineStr">
        <is>
          <t xml:space="preserve">  Préstamos largo plazo</t>
        </is>
      </c>
      <c r="B25" s="4" t="n">
        <v>0</v>
      </c>
    </row>
    <row r="26">
      <c r="A26" t="inlineStr">
        <is>
          <t xml:space="preserve">  Total Pasivo No Corriente</t>
        </is>
      </c>
      <c r="B26" s="49">
        <f>B25</f>
        <v/>
      </c>
    </row>
    <row r="28">
      <c r="A28" t="inlineStr">
        <is>
          <t>TOTAL PASIVOS</t>
        </is>
      </c>
      <c r="B28" s="51">
        <f>B22+B26</f>
        <v/>
      </c>
    </row>
    <row r="30">
      <c r="A30" s="48" t="inlineStr">
        <is>
          <t>PATRIMONIO</t>
        </is>
      </c>
    </row>
    <row r="31">
      <c r="A31" t="inlineStr">
        <is>
          <t xml:space="preserve">  Capital Social</t>
        </is>
      </c>
      <c r="B31" s="4" t="n">
        <v>10000</v>
      </c>
    </row>
    <row r="32">
      <c r="A32" t="inlineStr">
        <is>
          <t xml:space="preserve">  Utilidades Retenidas</t>
        </is>
      </c>
      <c r="B32" s="4" t="n">
        <v>0</v>
      </c>
    </row>
    <row r="33">
      <c r="A33" t="inlineStr">
        <is>
          <t xml:space="preserve">  Utilidad del Ejercicio</t>
        </is>
      </c>
      <c r="B33" s="4">
        <f>ESTADO_RESULTADOS!B40</f>
        <v/>
      </c>
    </row>
    <row r="34">
      <c r="A34" t="inlineStr">
        <is>
          <t xml:space="preserve">  Total Patrimonio</t>
        </is>
      </c>
      <c r="B34" s="49">
        <f>SUM(B31:B33)</f>
        <v/>
      </c>
    </row>
    <row r="36">
      <c r="A36" t="inlineStr">
        <is>
          <t>TOTAL PASIVO + PATRIMONIO</t>
        </is>
      </c>
      <c r="B36" s="52">
        <f>B28+B34</f>
        <v/>
      </c>
    </row>
    <row r="38">
      <c r="A38" t="inlineStr">
        <is>
          <t>VERIFICACIÓN (Debe ser 0):</t>
        </is>
      </c>
      <c r="B38" s="53">
        <f>B16-B36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5" customWidth="1" min="4" max="4"/>
  </cols>
  <sheetData>
    <row r="1" ht="30" customHeight="1">
      <c r="A1" s="54" t="inlineStr">
        <is>
          <t>ESTADO DE RESULTADOS (P&amp;L)</t>
        </is>
      </c>
    </row>
    <row r="2">
      <c r="A2" s="45" t="inlineStr">
        <is>
          <t>Del 01 al 30 de Noviembre, 2025</t>
        </is>
      </c>
    </row>
    <row r="4">
      <c r="A4" s="48" t="inlineStr">
        <is>
          <t>INGRESOS</t>
        </is>
      </c>
    </row>
    <row r="5">
      <c r="A5" t="inlineStr">
        <is>
          <t xml:space="preserve">  Ingresos por Ventas</t>
        </is>
      </c>
      <c r="B5" s="4">
        <f>SUMIFS(TRANSACCIONES!F:F,TRANSACCIONES!C:C,"Ingreso",TRANSACCIONES!E:E,"USD")</f>
        <v/>
      </c>
    </row>
    <row r="6">
      <c r="A6" t="inlineStr">
        <is>
          <t xml:space="preserve">  Ingresos por Servicios</t>
        </is>
      </c>
      <c r="B6" s="4">
        <f>SUMIFS(TRANSACCIONES!F:F,TRANSACCIONES!C:C,"Servicios",TRANSACCIONES!E:E,"USD")</f>
        <v/>
      </c>
    </row>
    <row r="7">
      <c r="A7" t="inlineStr">
        <is>
          <t xml:space="preserve">  Otros Ingresos</t>
        </is>
      </c>
      <c r="B7" s="4" t="n">
        <v>0</v>
      </c>
    </row>
    <row r="8">
      <c r="A8" t="inlineStr">
        <is>
          <t xml:space="preserve">  Total Ingresos</t>
        </is>
      </c>
      <c r="B8" s="49">
        <f>SUM(B5:B7)</f>
        <v/>
      </c>
    </row>
    <row r="10">
      <c r="A10" s="48" t="inlineStr">
        <is>
          <t>COSTO DE VENTAS</t>
        </is>
      </c>
    </row>
    <row r="11">
      <c r="A11" t="inlineStr">
        <is>
          <t xml:space="preserve">  Costo Producto Vendido</t>
        </is>
      </c>
      <c r="B11" s="4">
        <f>SUMIFS(TRANSACCIONES!F:F,TRANSACCIONES!C:C,"Inventario",TRANSACCIONES!E:E,"USD")</f>
        <v/>
      </c>
    </row>
    <row r="12">
      <c r="A12" t="inlineStr">
        <is>
          <t xml:space="preserve">  Mano de Obra Directa</t>
        </is>
      </c>
      <c r="B12" s="4" t="n">
        <v>0</v>
      </c>
    </row>
    <row r="13">
      <c r="A13" t="inlineStr">
        <is>
          <t xml:space="preserve">  Total Costo Ventas</t>
        </is>
      </c>
      <c r="B13" s="49">
        <f>SUM(B11:B12)</f>
        <v/>
      </c>
    </row>
    <row r="15">
      <c r="A15" t="inlineStr">
        <is>
          <t>UTILIDAD BRUTA</t>
        </is>
      </c>
      <c r="B15" s="52">
        <f>B8-B13</f>
        <v/>
      </c>
    </row>
    <row r="16">
      <c r="A16" t="inlineStr">
        <is>
          <t>Margen Bruto %</t>
        </is>
      </c>
      <c r="B16" s="8">
        <f>IFERROR(B15/B8*100,0)</f>
        <v/>
      </c>
    </row>
    <row r="18">
      <c r="A18" s="48" t="inlineStr">
        <is>
          <t>GASTOS OPERACIONALES</t>
        </is>
      </c>
    </row>
    <row r="19">
      <c r="A19" t="inlineStr">
        <is>
          <t xml:space="preserve">  Gastos Administrativos</t>
        </is>
      </c>
      <c r="B19" s="4">
        <f>SUMIFS(TRANSACCIONES!F:F,TRANSACCIONES!C:C,"Gasto",TRANSACCIONES!E:E,"USD")</f>
        <v/>
      </c>
    </row>
    <row r="20">
      <c r="A20" t="inlineStr">
        <is>
          <t xml:space="preserve">  Gastos de Ventas</t>
        </is>
      </c>
      <c r="B20" s="4" t="n">
        <v>0</v>
      </c>
    </row>
    <row r="21">
      <c r="A21" t="inlineStr">
        <is>
          <t xml:space="preserve">  Gastos de Marketing</t>
        </is>
      </c>
      <c r="B21" s="4">
        <f>SUMIFS(TRANSACCIONES!F:F,TRANSACCIONES!C:C,"Marketing",TRANSACCIONES!E:E,"USD")</f>
        <v/>
      </c>
    </row>
    <row r="22">
      <c r="A22" t="inlineStr">
        <is>
          <t xml:space="preserve">  Otros Gastos</t>
        </is>
      </c>
      <c r="B22" s="4" t="n">
        <v>0</v>
      </c>
    </row>
    <row r="23">
      <c r="A23" t="inlineStr">
        <is>
          <t xml:space="preserve">  Total Gastos Operacionales</t>
        </is>
      </c>
      <c r="B23" s="49">
        <f>SUM(B19:B22)</f>
        <v/>
      </c>
    </row>
    <row r="25">
      <c r="A25" t="inlineStr">
        <is>
          <t>EBITDA</t>
        </is>
      </c>
      <c r="B25" s="55">
        <f>B15-B23</f>
        <v/>
      </c>
    </row>
    <row r="27">
      <c r="A27" t="inlineStr">
        <is>
          <t>Depreciación y Amortización</t>
        </is>
      </c>
      <c r="B27" s="4" t="n">
        <v>0</v>
      </c>
    </row>
    <row r="29">
      <c r="A29" t="inlineStr">
        <is>
          <t>EBIT (Utilidad Operacional)</t>
        </is>
      </c>
      <c r="B29" s="49">
        <f>B25-B27</f>
        <v/>
      </c>
    </row>
    <row r="31">
      <c r="A31" s="48" t="inlineStr">
        <is>
          <t>GASTOS FINANCIEROS</t>
        </is>
      </c>
    </row>
    <row r="32">
      <c r="A32" t="inlineStr">
        <is>
          <t xml:space="preserve">  Intereses Tarjetas</t>
        </is>
      </c>
      <c r="B32" s="4" t="n">
        <v>0</v>
      </c>
    </row>
    <row r="33">
      <c r="A33" t="inlineStr">
        <is>
          <t xml:space="preserve">  Intereses Préstamos</t>
        </is>
      </c>
      <c r="B33" s="4" t="n">
        <v>0</v>
      </c>
    </row>
    <row r="34">
      <c r="A34" t="inlineStr">
        <is>
          <t xml:space="preserve">  Total Gastos Financieros</t>
        </is>
      </c>
      <c r="B34" s="49">
        <f>SUM(B32:B33)</f>
        <v/>
      </c>
    </row>
    <row r="36">
      <c r="A36" t="inlineStr">
        <is>
          <t>UTILIDAD ANTES IMPUESTOS</t>
        </is>
      </c>
      <c r="B36" s="56">
        <f>B29-B34</f>
        <v/>
      </c>
    </row>
    <row r="38">
      <c r="A38" t="inlineStr">
        <is>
          <t>Impuesto Renta (30% est)</t>
        </is>
      </c>
      <c r="B38" s="4">
        <f>B36*0.30</f>
        <v/>
      </c>
    </row>
    <row r="40">
      <c r="A40" t="inlineStr">
        <is>
          <t>UTILIDAD NETA</t>
        </is>
      </c>
      <c r="B40" s="57">
        <f>B36-B38</f>
        <v/>
      </c>
    </row>
    <row r="41">
      <c r="A41" t="inlineStr">
        <is>
          <t>Margen Neto %</t>
        </is>
      </c>
      <c r="B41" s="8">
        <f>IFERROR(B40/B8*100,0)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58" t="inlineStr">
        <is>
          <t>GUÍA DE USO DEL SISTEMA ERP v5.0</t>
        </is>
      </c>
    </row>
    <row r="3">
      <c r="A3" s="59" t="inlineStr">
        <is>
          <t>ÍNDICE DE INSTRUCCIONES</t>
        </is>
      </c>
    </row>
    <row r="4">
      <c r="A4" t="inlineStr">
        <is>
          <t>1. Cómo registrar una transacción</t>
        </is>
      </c>
    </row>
    <row r="5">
      <c r="A5" t="inlineStr">
        <is>
          <t>2. Cómo hacer cierre mensual</t>
        </is>
      </c>
    </row>
    <row r="6">
      <c r="A6" t="inlineStr">
        <is>
          <t>3. Cómo ajustar diferencias de tipo de cambio</t>
        </is>
      </c>
    </row>
    <row r="7">
      <c r="A7" t="inlineStr">
        <is>
          <t>4. Cómo registrar nota de crédito/débito</t>
        </is>
      </c>
    </row>
    <row r="8">
      <c r="A8" t="inlineStr">
        <is>
          <t>5. Cómo registrar pagos parciales</t>
        </is>
      </c>
    </row>
    <row r="9">
      <c r="A9" t="inlineStr">
        <is>
          <t>6. Cómo usar zona franca (exención IVA)</t>
        </is>
      </c>
    </row>
    <row r="10">
      <c r="A10" t="inlineStr">
        <is>
          <t>7. Cómo interpretar el dashboard (RESUMEN)</t>
        </is>
      </c>
    </row>
    <row r="11">
      <c r="A11" t="inlineStr">
        <is>
          <t>8. Cómo conciliar bancos</t>
        </is>
      </c>
    </row>
    <row r="14">
      <c r="A14" s="60" t="inlineStr">
        <is>
          <t>1. CÓMO REGISTRAR UNA TRANSACCIÓN</t>
        </is>
      </c>
    </row>
    <row r="16">
      <c r="A16" t="inlineStr">
        <is>
          <t>Paso 1: Ir a hoja TRANSACCIONES</t>
        </is>
      </c>
    </row>
    <row r="17">
      <c r="A17" t="inlineStr">
        <is>
          <t>Paso 2: Buscar primera fila vacía (después de fila 6)</t>
        </is>
      </c>
    </row>
    <row r="18">
      <c r="A18" t="inlineStr">
        <is>
          <t>Paso 3: Llenar columnas A-P:</t>
        </is>
      </c>
    </row>
    <row r="19">
      <c r="A19" t="inlineStr">
        <is>
          <t xml:space="preserve">  • A: Fecha (formato DD/MM/YYYY)</t>
        </is>
      </c>
    </row>
    <row r="20">
      <c r="A20" t="inlineStr">
        <is>
          <t xml:space="preserve">  • B: Nombre banco/proveedor/cliente</t>
        </is>
      </c>
    </row>
    <row r="21">
      <c r="A21" t="inlineStr">
        <is>
          <t xml:space="preserve">  • C: Categoría (usar dropdown)</t>
        </is>
      </c>
    </row>
    <row r="22">
      <c r="A22" t="inlineStr">
        <is>
          <t xml:space="preserve">  • E: Moneda (USD o CRC)</t>
        </is>
      </c>
    </row>
    <row r="23">
      <c r="A23" t="inlineStr">
        <is>
          <t xml:space="preserve">  • F: Monto (solo número positivo)</t>
        </is>
      </c>
    </row>
    <row r="24">
      <c r="A24" t="inlineStr">
        <is>
          <t xml:space="preserve">  • H: Forma de Pago (usar dropdown)</t>
        </is>
      </c>
    </row>
    <row r="25">
      <c r="A25" t="inlineStr">
        <is>
          <t xml:space="preserve">  • I: IVA (Sí/No)</t>
        </is>
      </c>
    </row>
    <row r="26">
      <c r="A26" t="inlineStr">
        <is>
          <t xml:space="preserve">  • M: Estado (usar dropdown)</t>
        </is>
      </c>
    </row>
    <row r="27">
      <c r="A27" t="inlineStr">
        <is>
          <t xml:space="preserve">  • P: Personal/Negocio (usar dropdown)</t>
        </is>
      </c>
    </row>
    <row r="28">
      <c r="A28" t="inlineStr">
        <is>
          <t>Paso 4: Verificar columna R muestra '✓ OK'</t>
        </is>
      </c>
    </row>
    <row r="29">
      <c r="A29" t="inlineStr">
        <is>
          <t>Paso 5: Columna Q (TC Aplicado) se llena automático</t>
        </is>
      </c>
    </row>
    <row r="30">
      <c r="A30" s="61" t="inlineStr">
        <is>
          <t>⚠️ IMPORTANTE: NO editar otras hojas, solo TRANSACCIONES</t>
        </is>
      </c>
    </row>
    <row r="33">
      <c r="A33" s="60" t="inlineStr">
        <is>
          <t>2. CÓMO HACER CIERRE MENSUAL</t>
        </is>
      </c>
    </row>
    <row r="35">
      <c r="A35" t="inlineStr">
        <is>
          <t>Paso 1: Ir a hoja CIERRE_MENSUAL</t>
        </is>
      </c>
    </row>
    <row r="36">
      <c r="A36" t="inlineStr">
        <is>
          <t>Paso 2: Completar TODOS los ítems del checklist (A5:A14)</t>
        </is>
      </c>
    </row>
    <row r="37">
      <c r="A37" t="inlineStr">
        <is>
          <t>Paso 3: Verificar saldos de arrastre (A18:A22)</t>
        </is>
      </c>
    </row>
    <row r="38">
      <c r="A38" t="inlineStr">
        <is>
          <t>Paso 4: Registrar datos del mes en tabla histórica</t>
        </is>
      </c>
    </row>
    <row r="39">
      <c r="A39" t="inlineStr">
        <is>
          <t>Paso 5: Actualizar TC final del mes en HISTORICO_TC</t>
        </is>
      </c>
    </row>
    <row r="40">
      <c r="A40" t="inlineStr">
        <is>
          <t>Paso 6: Cambiar 'Mes Actual' en CONFIG (celda B13)</t>
        </is>
      </c>
    </row>
    <row r="41">
      <c r="A41" t="inlineStr">
        <is>
          <t>Paso 7: Actualizar fecha en CONFIG (celda B14)</t>
        </is>
      </c>
    </row>
    <row r="42">
      <c r="A42" s="61" t="inlineStr">
        <is>
          <t>⚠️ NO BORRAR transacciones del mes anterior</t>
        </is>
      </c>
    </row>
    <row r="43">
      <c r="A43" t="inlineStr">
        <is>
          <t>El sistema las filtra automáticamente por fecha</t>
        </is>
      </c>
    </row>
    <row r="46">
      <c r="A46" s="60" t="inlineStr">
        <is>
          <t>3. CÓMO AJUSTAR DIFERENCIAS DE TIPO DE CAMBIO</t>
        </is>
      </c>
    </row>
    <row r="48">
      <c r="A48" t="inlineStr">
        <is>
          <t>Escenario: Factura $1,000 USD registrada con TC=540</t>
        </is>
      </c>
    </row>
    <row r="49">
      <c r="A49" t="inlineStr">
        <is>
          <t xml:space="preserve">           Al fin de mes, TC cambió a 550</t>
        </is>
      </c>
    </row>
    <row r="50">
      <c r="A50" t="inlineStr">
        <is>
          <t xml:space="preserve">           Diferencia: $1,000 * (550-540) = ₡10,000</t>
        </is>
      </c>
    </row>
    <row r="51">
      <c r="A51" t="inlineStr"/>
    </row>
    <row r="52">
      <c r="A52" t="inlineStr">
        <is>
          <t>Paso 1: Ir a hoja ASIENTOS_AJUSTE</t>
        </is>
      </c>
    </row>
    <row r="53">
      <c r="A53" t="inlineStr">
        <is>
          <t>Paso 2: Llenar nueva fila:</t>
        </is>
      </c>
    </row>
    <row r="54">
      <c r="A54" t="inlineStr">
        <is>
          <t xml:space="preserve">  • Fecha: 30/11/2025</t>
        </is>
      </c>
    </row>
    <row r="55">
      <c r="A55" t="inlineStr">
        <is>
          <t xml:space="preserve">  • Tipo: 'Diferencia TC'</t>
        </is>
      </c>
    </row>
    <row r="56">
      <c r="A56" t="inlineStr">
        <is>
          <t xml:space="preserve">  • Referencia: # factura original</t>
        </is>
      </c>
    </row>
    <row r="57">
      <c r="A57" t="inlineStr">
        <is>
          <t xml:space="preserve">  • Cuenta Afectada: CxP - Proveedor XYZ</t>
        </is>
      </c>
    </row>
    <row r="58">
      <c r="A58" t="inlineStr">
        <is>
          <t xml:space="preserve">  • Monto Original: ₡540,000</t>
        </is>
      </c>
    </row>
    <row r="59">
      <c r="A59" t="inlineStr">
        <is>
          <t xml:space="preserve">  • Monto Ajustado: ₡550,000</t>
        </is>
      </c>
    </row>
    <row r="60">
      <c r="A60" t="inlineStr">
        <is>
          <t xml:space="preserve">  • Diferencia: ₡10,000 (auto-calculado)</t>
        </is>
      </c>
    </row>
    <row r="61">
      <c r="A61" t="inlineStr">
        <is>
          <t xml:space="preserve">  • Explicación: 'Ajuste por cambio TC nov (540→550)'</t>
        </is>
      </c>
    </row>
    <row r="62">
      <c r="A62" t="inlineStr">
        <is>
          <t>Paso 3: Aprobar y fechar</t>
        </is>
      </c>
    </row>
  </sheetData>
  <mergeCells count="4">
    <mergeCell ref="A14:F14"/>
    <mergeCell ref="A33:F33"/>
    <mergeCell ref="A1:F1"/>
    <mergeCell ref="A46:F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2025-11-17T00:33:28Z</dcterms:created>
  <dcterms:modified xsi:type="dcterms:W3CDTF">2025-11-17T00:33:28Z</dcterms:modified>
</cp:coreProperties>
</file>