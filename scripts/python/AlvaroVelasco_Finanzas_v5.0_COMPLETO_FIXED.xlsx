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varo Velasco\desktop\RepForClaude\scripts\python\"/>
    </mc:Choice>
  </mc:AlternateContent>
  <xr:revisionPtr revIDLastSave="0" documentId="13_ncr:1_{69B5AC4C-4472-492B-A026-BCB63878B31D}" xr6:coauthVersionLast="47" xr6:coauthVersionMax="47" xr10:uidLastSave="{00000000-0000-0000-0000-000000000000}"/>
  <bookViews>
    <workbookView xWindow="3120" yWindow="3120" windowWidth="28800" windowHeight="15345" tabRatio="748" activeTab="1" xr2:uid="{00000000-000D-0000-FFFF-FFFF00000000}"/>
  </bookViews>
  <sheets>
    <sheet name="RESUMEN" sheetId="1" r:id="rId1"/>
    <sheet name="TRANSACCIONES" sheetId="2" r:id="rId2"/>
    <sheet name="CONFIG" sheetId="3" r:id="rId3"/>
    <sheet name="FLUJO_CAJA" sheetId="4" r:id="rId4"/>
    <sheet name="IVA_CONTROL" sheetId="5" r:id="rId5"/>
    <sheet name="TARJETAS" sheetId="6" r:id="rId6"/>
    <sheet name="CONCILIACION" sheetId="7" r:id="rId7"/>
    <sheet name="CxP" sheetId="20" r:id="rId8"/>
    <sheet name="CxC" sheetId="21" r:id="rId9"/>
    <sheet name="PERSONAL_VS_NEGOCIO" sheetId="8" r:id="rId10"/>
    <sheet name="CATEGORIAS" sheetId="9" r:id="rId11"/>
    <sheet name="PROYECTOS" sheetId="10" r:id="rId12"/>
    <sheet name="PROVEEDORES" sheetId="11" r:id="rId13"/>
    <sheet name="CLIENTES" sheetId="12" r:id="rId14"/>
    <sheet name="AUDITORIA" sheetId="13" r:id="rId15"/>
    <sheet name="CIERRE_MENSUAL" sheetId="14" r:id="rId16"/>
    <sheet name="HISTORICO_TC" sheetId="15" r:id="rId17"/>
    <sheet name="ASIENTOS_AJUSTE" sheetId="16" r:id="rId18"/>
    <sheet name="BALANCE_GENERAL" sheetId="17" r:id="rId19"/>
    <sheet name="ESTADO_RESULTADOS" sheetId="18" r:id="rId20"/>
    <sheet name="INSTRUCCIONES" sheetId="19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R842" i="2" s="1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R988" i="2" s="1"/>
  <c r="Q989" i="2"/>
  <c r="R989" i="2" s="1"/>
  <c r="Q990" i="2"/>
  <c r="R990" i="2" s="1"/>
  <c r="Q991" i="2"/>
  <c r="R991" i="2" s="1"/>
  <c r="Q992" i="2"/>
  <c r="R992" i="2" s="1"/>
  <c r="Q993" i="2"/>
  <c r="R993" i="2" s="1"/>
  <c r="Q994" i="2"/>
  <c r="R994" i="2" s="1"/>
  <c r="Q995" i="2"/>
  <c r="R995" i="2" s="1"/>
  <c r="Q996" i="2"/>
  <c r="R996" i="2" s="1"/>
  <c r="Q997" i="2"/>
  <c r="R997" i="2" s="1"/>
  <c r="Q998" i="2"/>
  <c r="R998" i="2" s="1"/>
  <c r="Q999" i="2"/>
  <c r="R999" i="2" s="1"/>
  <c r="Q1000" i="2"/>
  <c r="R1000" i="2" s="1"/>
  <c r="R4" i="2"/>
  <c r="Q3" i="2"/>
  <c r="K3" i="21" a="1"/>
  <c r="K3" i="21" s="1"/>
  <c r="J3" i="21" a="1"/>
  <c r="J3" i="21" s="1"/>
  <c r="I3" i="21" a="1"/>
  <c r="I3" i="21" s="1"/>
  <c r="H3" i="21" a="1"/>
  <c r="H3" i="21" s="1"/>
  <c r="G3" i="21" a="1"/>
  <c r="G3" i="21" s="1"/>
  <c r="F3" i="21" a="1"/>
  <c r="F3" i="21" s="1"/>
  <c r="E3" i="21" a="1"/>
  <c r="E3" i="21" s="1"/>
  <c r="D3" i="21" a="1"/>
  <c r="D3" i="21" s="1"/>
  <c r="C3" i="21" a="1"/>
  <c r="C3" i="21" s="1"/>
  <c r="B3" i="21" a="1"/>
  <c r="B3" i="21" s="1"/>
  <c r="A3" i="21" a="1"/>
  <c r="A3" i="21" s="1"/>
  <c r="K3" i="20" a="1"/>
  <c r="K3" i="20" s="1"/>
  <c r="J3" i="20" a="1"/>
  <c r="J3" i="20" s="1"/>
  <c r="I3" i="20" a="1"/>
  <c r="I3" i="20" s="1"/>
  <c r="H3" i="20" a="1"/>
  <c r="H3" i="20" s="1"/>
  <c r="G3" i="20" a="1"/>
  <c r="G3" i="20" s="1"/>
  <c r="F3" i="20" a="1"/>
  <c r="F3" i="20" s="1"/>
  <c r="E3" i="20" a="1"/>
  <c r="E3" i="20" s="1"/>
  <c r="D3" i="20" a="1"/>
  <c r="D3" i="20" s="1"/>
  <c r="C3" i="20" a="1"/>
  <c r="C3" i="20" s="1"/>
  <c r="B3" i="20" a="1"/>
  <c r="B3" i="20" s="1"/>
  <c r="A3" i="20" a="1"/>
  <c r="A3" i="20" s="1"/>
  <c r="B34" i="18"/>
  <c r="B21" i="18"/>
  <c r="B19" i="18"/>
  <c r="B23" i="18" s="1"/>
  <c r="B11" i="18"/>
  <c r="B13" i="18" s="1"/>
  <c r="B6" i="18"/>
  <c r="B5" i="18"/>
  <c r="B8" i="18" s="1"/>
  <c r="B26" i="17"/>
  <c r="B21" i="17"/>
  <c r="B20" i="17"/>
  <c r="B14" i="17"/>
  <c r="B7" i="17"/>
  <c r="B5" i="17"/>
  <c r="G4" i="16"/>
  <c r="D6" i="15"/>
  <c r="D5" i="15"/>
  <c r="D4" i="15"/>
  <c r="B20" i="14"/>
  <c r="C3" i="8"/>
  <c r="B3" i="8"/>
  <c r="D3" i="8" s="1"/>
  <c r="B19" i="7"/>
  <c r="A15" i="7"/>
  <c r="A8" i="7"/>
  <c r="D3" i="5"/>
  <c r="U1000" i="2"/>
  <c r="T1000" i="2"/>
  <c r="S1000" i="2"/>
  <c r="U999" i="2"/>
  <c r="T999" i="2"/>
  <c r="S999" i="2"/>
  <c r="U998" i="2"/>
  <c r="T998" i="2"/>
  <c r="S998" i="2"/>
  <c r="U997" i="2"/>
  <c r="T997" i="2"/>
  <c r="S997" i="2"/>
  <c r="U996" i="2"/>
  <c r="T996" i="2"/>
  <c r="S996" i="2"/>
  <c r="U995" i="2"/>
  <c r="T995" i="2"/>
  <c r="S995" i="2"/>
  <c r="U994" i="2"/>
  <c r="T994" i="2"/>
  <c r="S994" i="2"/>
  <c r="U993" i="2"/>
  <c r="T993" i="2"/>
  <c r="S993" i="2"/>
  <c r="U992" i="2"/>
  <c r="T992" i="2"/>
  <c r="S992" i="2"/>
  <c r="U991" i="2"/>
  <c r="T991" i="2"/>
  <c r="S991" i="2"/>
  <c r="U990" i="2"/>
  <c r="T990" i="2"/>
  <c r="S990" i="2"/>
  <c r="U989" i="2"/>
  <c r="T989" i="2"/>
  <c r="S989" i="2"/>
  <c r="U988" i="2"/>
  <c r="T988" i="2"/>
  <c r="S988" i="2"/>
  <c r="U987" i="2"/>
  <c r="T987" i="2"/>
  <c r="S987" i="2"/>
  <c r="R987" i="2"/>
  <c r="U986" i="2"/>
  <c r="T986" i="2"/>
  <c r="S986" i="2"/>
  <c r="R986" i="2"/>
  <c r="U985" i="2"/>
  <c r="T985" i="2"/>
  <c r="S985" i="2"/>
  <c r="R985" i="2"/>
  <c r="U984" i="2"/>
  <c r="T984" i="2"/>
  <c r="S984" i="2"/>
  <c r="R984" i="2"/>
  <c r="U983" i="2"/>
  <c r="T983" i="2"/>
  <c r="S983" i="2"/>
  <c r="R983" i="2"/>
  <c r="U982" i="2"/>
  <c r="T982" i="2"/>
  <c r="S982" i="2"/>
  <c r="R982" i="2"/>
  <c r="U981" i="2"/>
  <c r="T981" i="2"/>
  <c r="S981" i="2"/>
  <c r="R981" i="2"/>
  <c r="U980" i="2"/>
  <c r="T980" i="2"/>
  <c r="S980" i="2"/>
  <c r="R980" i="2"/>
  <c r="U979" i="2"/>
  <c r="T979" i="2"/>
  <c r="S979" i="2"/>
  <c r="R979" i="2"/>
  <c r="U978" i="2"/>
  <c r="T978" i="2"/>
  <c r="S978" i="2"/>
  <c r="R978" i="2"/>
  <c r="U977" i="2"/>
  <c r="T977" i="2"/>
  <c r="S977" i="2"/>
  <c r="R977" i="2"/>
  <c r="U976" i="2"/>
  <c r="T976" i="2"/>
  <c r="S976" i="2"/>
  <c r="R976" i="2"/>
  <c r="U975" i="2"/>
  <c r="T975" i="2"/>
  <c r="S975" i="2"/>
  <c r="R975" i="2"/>
  <c r="U974" i="2"/>
  <c r="T974" i="2"/>
  <c r="S974" i="2"/>
  <c r="R974" i="2"/>
  <c r="U973" i="2"/>
  <c r="T973" i="2"/>
  <c r="S973" i="2"/>
  <c r="R973" i="2"/>
  <c r="U972" i="2"/>
  <c r="T972" i="2"/>
  <c r="S972" i="2"/>
  <c r="R972" i="2"/>
  <c r="U971" i="2"/>
  <c r="T971" i="2"/>
  <c r="S971" i="2"/>
  <c r="R971" i="2"/>
  <c r="U970" i="2"/>
  <c r="T970" i="2"/>
  <c r="S970" i="2"/>
  <c r="R970" i="2"/>
  <c r="U969" i="2"/>
  <c r="T969" i="2"/>
  <c r="S969" i="2"/>
  <c r="R969" i="2"/>
  <c r="U968" i="2"/>
  <c r="T968" i="2"/>
  <c r="S968" i="2"/>
  <c r="R968" i="2"/>
  <c r="U967" i="2"/>
  <c r="T967" i="2"/>
  <c r="S967" i="2"/>
  <c r="R967" i="2"/>
  <c r="U966" i="2"/>
  <c r="T966" i="2"/>
  <c r="S966" i="2"/>
  <c r="R966" i="2"/>
  <c r="U965" i="2"/>
  <c r="T965" i="2"/>
  <c r="S965" i="2"/>
  <c r="R965" i="2"/>
  <c r="U964" i="2"/>
  <c r="T964" i="2"/>
  <c r="S964" i="2"/>
  <c r="R964" i="2"/>
  <c r="U963" i="2"/>
  <c r="T963" i="2"/>
  <c r="S963" i="2"/>
  <c r="R963" i="2"/>
  <c r="U962" i="2"/>
  <c r="T962" i="2"/>
  <c r="S962" i="2"/>
  <c r="R962" i="2"/>
  <c r="U961" i="2"/>
  <c r="T961" i="2"/>
  <c r="S961" i="2"/>
  <c r="R961" i="2"/>
  <c r="U960" i="2"/>
  <c r="T960" i="2"/>
  <c r="S960" i="2"/>
  <c r="R960" i="2"/>
  <c r="U959" i="2"/>
  <c r="T959" i="2"/>
  <c r="S959" i="2"/>
  <c r="R959" i="2"/>
  <c r="U958" i="2"/>
  <c r="T958" i="2"/>
  <c r="S958" i="2"/>
  <c r="R958" i="2"/>
  <c r="U957" i="2"/>
  <c r="T957" i="2"/>
  <c r="S957" i="2"/>
  <c r="R957" i="2"/>
  <c r="U956" i="2"/>
  <c r="T956" i="2"/>
  <c r="S956" i="2"/>
  <c r="R956" i="2"/>
  <c r="U955" i="2"/>
  <c r="T955" i="2"/>
  <c r="S955" i="2"/>
  <c r="R955" i="2"/>
  <c r="U954" i="2"/>
  <c r="T954" i="2"/>
  <c r="S954" i="2"/>
  <c r="R954" i="2"/>
  <c r="U953" i="2"/>
  <c r="T953" i="2"/>
  <c r="S953" i="2"/>
  <c r="R953" i="2"/>
  <c r="U952" i="2"/>
  <c r="T952" i="2"/>
  <c r="S952" i="2"/>
  <c r="R952" i="2"/>
  <c r="U951" i="2"/>
  <c r="T951" i="2"/>
  <c r="S951" i="2"/>
  <c r="R951" i="2"/>
  <c r="U950" i="2"/>
  <c r="T950" i="2"/>
  <c r="S950" i="2"/>
  <c r="R950" i="2"/>
  <c r="U949" i="2"/>
  <c r="T949" i="2"/>
  <c r="S949" i="2"/>
  <c r="R949" i="2"/>
  <c r="U948" i="2"/>
  <c r="T948" i="2"/>
  <c r="S948" i="2"/>
  <c r="R948" i="2"/>
  <c r="U947" i="2"/>
  <c r="T947" i="2"/>
  <c r="S947" i="2"/>
  <c r="R947" i="2"/>
  <c r="U946" i="2"/>
  <c r="T946" i="2"/>
  <c r="S946" i="2"/>
  <c r="R946" i="2"/>
  <c r="U945" i="2"/>
  <c r="T945" i="2"/>
  <c r="S945" i="2"/>
  <c r="R945" i="2"/>
  <c r="U944" i="2"/>
  <c r="T944" i="2"/>
  <c r="S944" i="2"/>
  <c r="R944" i="2"/>
  <c r="U943" i="2"/>
  <c r="T943" i="2"/>
  <c r="S943" i="2"/>
  <c r="R943" i="2"/>
  <c r="U942" i="2"/>
  <c r="T942" i="2"/>
  <c r="S942" i="2"/>
  <c r="R942" i="2"/>
  <c r="U941" i="2"/>
  <c r="T941" i="2"/>
  <c r="S941" i="2"/>
  <c r="R941" i="2"/>
  <c r="U940" i="2"/>
  <c r="T940" i="2"/>
  <c r="S940" i="2"/>
  <c r="R940" i="2"/>
  <c r="U939" i="2"/>
  <c r="T939" i="2"/>
  <c r="S939" i="2"/>
  <c r="R939" i="2"/>
  <c r="U938" i="2"/>
  <c r="T938" i="2"/>
  <c r="S938" i="2"/>
  <c r="R938" i="2"/>
  <c r="U937" i="2"/>
  <c r="T937" i="2"/>
  <c r="S937" i="2"/>
  <c r="R937" i="2"/>
  <c r="U936" i="2"/>
  <c r="T936" i="2"/>
  <c r="S936" i="2"/>
  <c r="R936" i="2"/>
  <c r="U935" i="2"/>
  <c r="T935" i="2"/>
  <c r="S935" i="2"/>
  <c r="R935" i="2"/>
  <c r="U934" i="2"/>
  <c r="T934" i="2"/>
  <c r="S934" i="2"/>
  <c r="R934" i="2"/>
  <c r="U933" i="2"/>
  <c r="T933" i="2"/>
  <c r="S933" i="2"/>
  <c r="R933" i="2"/>
  <c r="U932" i="2"/>
  <c r="T932" i="2"/>
  <c r="S932" i="2"/>
  <c r="R932" i="2"/>
  <c r="U931" i="2"/>
  <c r="T931" i="2"/>
  <c r="S931" i="2"/>
  <c r="R931" i="2"/>
  <c r="U930" i="2"/>
  <c r="T930" i="2"/>
  <c r="S930" i="2"/>
  <c r="R930" i="2"/>
  <c r="U929" i="2"/>
  <c r="T929" i="2"/>
  <c r="S929" i="2"/>
  <c r="R929" i="2"/>
  <c r="U928" i="2"/>
  <c r="T928" i="2"/>
  <c r="S928" i="2"/>
  <c r="R928" i="2"/>
  <c r="U927" i="2"/>
  <c r="T927" i="2"/>
  <c r="S927" i="2"/>
  <c r="R927" i="2"/>
  <c r="U926" i="2"/>
  <c r="T926" i="2"/>
  <c r="S926" i="2"/>
  <c r="R926" i="2"/>
  <c r="U925" i="2"/>
  <c r="T925" i="2"/>
  <c r="S925" i="2"/>
  <c r="R925" i="2"/>
  <c r="U924" i="2"/>
  <c r="T924" i="2"/>
  <c r="S924" i="2"/>
  <c r="R924" i="2"/>
  <c r="U923" i="2"/>
  <c r="T923" i="2"/>
  <c r="S923" i="2"/>
  <c r="R923" i="2"/>
  <c r="U922" i="2"/>
  <c r="T922" i="2"/>
  <c r="S922" i="2"/>
  <c r="R922" i="2"/>
  <c r="U921" i="2"/>
  <c r="T921" i="2"/>
  <c r="S921" i="2"/>
  <c r="R921" i="2"/>
  <c r="U920" i="2"/>
  <c r="T920" i="2"/>
  <c r="S920" i="2"/>
  <c r="R920" i="2"/>
  <c r="U919" i="2"/>
  <c r="T919" i="2"/>
  <c r="S919" i="2"/>
  <c r="R919" i="2"/>
  <c r="U918" i="2"/>
  <c r="T918" i="2"/>
  <c r="S918" i="2"/>
  <c r="R918" i="2"/>
  <c r="U917" i="2"/>
  <c r="T917" i="2"/>
  <c r="S917" i="2"/>
  <c r="R917" i="2"/>
  <c r="U916" i="2"/>
  <c r="T916" i="2"/>
  <c r="S916" i="2"/>
  <c r="R916" i="2"/>
  <c r="U915" i="2"/>
  <c r="T915" i="2"/>
  <c r="S915" i="2"/>
  <c r="R915" i="2"/>
  <c r="U914" i="2"/>
  <c r="T914" i="2"/>
  <c r="S914" i="2"/>
  <c r="R914" i="2"/>
  <c r="U913" i="2"/>
  <c r="T913" i="2"/>
  <c r="S913" i="2"/>
  <c r="R913" i="2"/>
  <c r="U912" i="2"/>
  <c r="T912" i="2"/>
  <c r="S912" i="2"/>
  <c r="R912" i="2"/>
  <c r="U911" i="2"/>
  <c r="T911" i="2"/>
  <c r="S911" i="2"/>
  <c r="R911" i="2"/>
  <c r="U910" i="2"/>
  <c r="T910" i="2"/>
  <c r="S910" i="2"/>
  <c r="R910" i="2"/>
  <c r="U909" i="2"/>
  <c r="T909" i="2"/>
  <c r="S909" i="2"/>
  <c r="R909" i="2"/>
  <c r="U908" i="2"/>
  <c r="T908" i="2"/>
  <c r="S908" i="2"/>
  <c r="R908" i="2"/>
  <c r="U907" i="2"/>
  <c r="T907" i="2"/>
  <c r="S907" i="2"/>
  <c r="R907" i="2"/>
  <c r="U906" i="2"/>
  <c r="T906" i="2"/>
  <c r="S906" i="2"/>
  <c r="R906" i="2"/>
  <c r="U905" i="2"/>
  <c r="T905" i="2"/>
  <c r="S905" i="2"/>
  <c r="R905" i="2"/>
  <c r="U904" i="2"/>
  <c r="T904" i="2"/>
  <c r="S904" i="2"/>
  <c r="R904" i="2"/>
  <c r="U903" i="2"/>
  <c r="T903" i="2"/>
  <c r="S903" i="2"/>
  <c r="R903" i="2"/>
  <c r="U902" i="2"/>
  <c r="T902" i="2"/>
  <c r="S902" i="2"/>
  <c r="R902" i="2"/>
  <c r="U901" i="2"/>
  <c r="T901" i="2"/>
  <c r="S901" i="2"/>
  <c r="R901" i="2"/>
  <c r="U900" i="2"/>
  <c r="T900" i="2"/>
  <c r="S900" i="2"/>
  <c r="R900" i="2"/>
  <c r="U899" i="2"/>
  <c r="T899" i="2"/>
  <c r="S899" i="2"/>
  <c r="R899" i="2"/>
  <c r="U898" i="2"/>
  <c r="T898" i="2"/>
  <c r="S898" i="2"/>
  <c r="R898" i="2"/>
  <c r="U897" i="2"/>
  <c r="T897" i="2"/>
  <c r="S897" i="2"/>
  <c r="R897" i="2"/>
  <c r="U896" i="2"/>
  <c r="T896" i="2"/>
  <c r="S896" i="2"/>
  <c r="R896" i="2"/>
  <c r="U895" i="2"/>
  <c r="T895" i="2"/>
  <c r="S895" i="2"/>
  <c r="R895" i="2"/>
  <c r="U894" i="2"/>
  <c r="T894" i="2"/>
  <c r="S894" i="2"/>
  <c r="R894" i="2"/>
  <c r="U893" i="2"/>
  <c r="T893" i="2"/>
  <c r="S893" i="2"/>
  <c r="R893" i="2"/>
  <c r="U892" i="2"/>
  <c r="T892" i="2"/>
  <c r="S892" i="2"/>
  <c r="R892" i="2"/>
  <c r="U891" i="2"/>
  <c r="T891" i="2"/>
  <c r="S891" i="2"/>
  <c r="R891" i="2"/>
  <c r="U890" i="2"/>
  <c r="T890" i="2"/>
  <c r="S890" i="2"/>
  <c r="R890" i="2"/>
  <c r="U889" i="2"/>
  <c r="T889" i="2"/>
  <c r="S889" i="2"/>
  <c r="R889" i="2"/>
  <c r="U888" i="2"/>
  <c r="T888" i="2"/>
  <c r="S888" i="2"/>
  <c r="R888" i="2"/>
  <c r="U887" i="2"/>
  <c r="T887" i="2"/>
  <c r="S887" i="2"/>
  <c r="R887" i="2"/>
  <c r="U886" i="2"/>
  <c r="T886" i="2"/>
  <c r="S886" i="2"/>
  <c r="R886" i="2"/>
  <c r="U885" i="2"/>
  <c r="T885" i="2"/>
  <c r="S885" i="2"/>
  <c r="R885" i="2"/>
  <c r="U884" i="2"/>
  <c r="T884" i="2"/>
  <c r="S884" i="2"/>
  <c r="R884" i="2"/>
  <c r="U883" i="2"/>
  <c r="T883" i="2"/>
  <c r="S883" i="2"/>
  <c r="R883" i="2"/>
  <c r="U882" i="2"/>
  <c r="T882" i="2"/>
  <c r="S882" i="2"/>
  <c r="R882" i="2"/>
  <c r="U881" i="2"/>
  <c r="T881" i="2"/>
  <c r="S881" i="2"/>
  <c r="R881" i="2"/>
  <c r="U880" i="2"/>
  <c r="T880" i="2"/>
  <c r="S880" i="2"/>
  <c r="R880" i="2"/>
  <c r="U879" i="2"/>
  <c r="T879" i="2"/>
  <c r="S879" i="2"/>
  <c r="R879" i="2"/>
  <c r="U878" i="2"/>
  <c r="T878" i="2"/>
  <c r="S878" i="2"/>
  <c r="R878" i="2"/>
  <c r="U877" i="2"/>
  <c r="T877" i="2"/>
  <c r="S877" i="2"/>
  <c r="R877" i="2"/>
  <c r="U876" i="2"/>
  <c r="T876" i="2"/>
  <c r="S876" i="2"/>
  <c r="R876" i="2"/>
  <c r="U875" i="2"/>
  <c r="T875" i="2"/>
  <c r="S875" i="2"/>
  <c r="R875" i="2"/>
  <c r="U874" i="2"/>
  <c r="T874" i="2"/>
  <c r="S874" i="2"/>
  <c r="R874" i="2"/>
  <c r="U873" i="2"/>
  <c r="T873" i="2"/>
  <c r="S873" i="2"/>
  <c r="R873" i="2"/>
  <c r="U872" i="2"/>
  <c r="T872" i="2"/>
  <c r="S872" i="2"/>
  <c r="R872" i="2"/>
  <c r="U871" i="2"/>
  <c r="T871" i="2"/>
  <c r="S871" i="2"/>
  <c r="R871" i="2"/>
  <c r="U870" i="2"/>
  <c r="T870" i="2"/>
  <c r="S870" i="2"/>
  <c r="R870" i="2"/>
  <c r="U869" i="2"/>
  <c r="T869" i="2"/>
  <c r="S869" i="2"/>
  <c r="R869" i="2"/>
  <c r="U868" i="2"/>
  <c r="T868" i="2"/>
  <c r="S868" i="2"/>
  <c r="R868" i="2"/>
  <c r="U867" i="2"/>
  <c r="T867" i="2"/>
  <c r="S867" i="2"/>
  <c r="R867" i="2"/>
  <c r="U866" i="2"/>
  <c r="T866" i="2"/>
  <c r="S866" i="2"/>
  <c r="R866" i="2"/>
  <c r="U865" i="2"/>
  <c r="T865" i="2"/>
  <c r="S865" i="2"/>
  <c r="R865" i="2"/>
  <c r="U864" i="2"/>
  <c r="T864" i="2"/>
  <c r="S864" i="2"/>
  <c r="R864" i="2"/>
  <c r="U863" i="2"/>
  <c r="T863" i="2"/>
  <c r="S863" i="2"/>
  <c r="R863" i="2"/>
  <c r="U862" i="2"/>
  <c r="T862" i="2"/>
  <c r="S862" i="2"/>
  <c r="R862" i="2"/>
  <c r="U861" i="2"/>
  <c r="T861" i="2"/>
  <c r="S861" i="2"/>
  <c r="R861" i="2"/>
  <c r="U860" i="2"/>
  <c r="T860" i="2"/>
  <c r="S860" i="2"/>
  <c r="R860" i="2"/>
  <c r="U859" i="2"/>
  <c r="T859" i="2"/>
  <c r="S859" i="2"/>
  <c r="R859" i="2"/>
  <c r="U858" i="2"/>
  <c r="T858" i="2"/>
  <c r="S858" i="2"/>
  <c r="R858" i="2"/>
  <c r="U857" i="2"/>
  <c r="T857" i="2"/>
  <c r="S857" i="2"/>
  <c r="R857" i="2"/>
  <c r="U856" i="2"/>
  <c r="T856" i="2"/>
  <c r="S856" i="2"/>
  <c r="R856" i="2"/>
  <c r="U855" i="2"/>
  <c r="T855" i="2"/>
  <c r="S855" i="2"/>
  <c r="R855" i="2"/>
  <c r="U854" i="2"/>
  <c r="T854" i="2"/>
  <c r="S854" i="2"/>
  <c r="R854" i="2"/>
  <c r="U853" i="2"/>
  <c r="T853" i="2"/>
  <c r="S853" i="2"/>
  <c r="R853" i="2"/>
  <c r="U852" i="2"/>
  <c r="T852" i="2"/>
  <c r="S852" i="2"/>
  <c r="R852" i="2"/>
  <c r="U851" i="2"/>
  <c r="T851" i="2"/>
  <c r="S851" i="2"/>
  <c r="R851" i="2"/>
  <c r="U850" i="2"/>
  <c r="T850" i="2"/>
  <c r="S850" i="2"/>
  <c r="R850" i="2"/>
  <c r="U849" i="2"/>
  <c r="T849" i="2"/>
  <c r="S849" i="2"/>
  <c r="R849" i="2"/>
  <c r="U848" i="2"/>
  <c r="T848" i="2"/>
  <c r="S848" i="2"/>
  <c r="R848" i="2"/>
  <c r="U847" i="2"/>
  <c r="T847" i="2"/>
  <c r="S847" i="2"/>
  <c r="R847" i="2"/>
  <c r="U846" i="2"/>
  <c r="T846" i="2"/>
  <c r="S846" i="2"/>
  <c r="R846" i="2"/>
  <c r="U845" i="2"/>
  <c r="T845" i="2"/>
  <c r="S845" i="2"/>
  <c r="R845" i="2"/>
  <c r="U844" i="2"/>
  <c r="T844" i="2"/>
  <c r="S844" i="2"/>
  <c r="R844" i="2"/>
  <c r="U843" i="2"/>
  <c r="T843" i="2"/>
  <c r="S843" i="2"/>
  <c r="R843" i="2"/>
  <c r="U842" i="2"/>
  <c r="T842" i="2"/>
  <c r="S842" i="2"/>
  <c r="U841" i="2"/>
  <c r="T841" i="2"/>
  <c r="S841" i="2"/>
  <c r="R841" i="2"/>
  <c r="U840" i="2"/>
  <c r="T840" i="2"/>
  <c r="S840" i="2"/>
  <c r="R840" i="2"/>
  <c r="U839" i="2"/>
  <c r="T839" i="2"/>
  <c r="S839" i="2"/>
  <c r="R839" i="2"/>
  <c r="U838" i="2"/>
  <c r="T838" i="2"/>
  <c r="S838" i="2"/>
  <c r="R838" i="2"/>
  <c r="U837" i="2"/>
  <c r="T837" i="2"/>
  <c r="S837" i="2"/>
  <c r="R837" i="2"/>
  <c r="U836" i="2"/>
  <c r="T836" i="2"/>
  <c r="S836" i="2"/>
  <c r="R836" i="2"/>
  <c r="U835" i="2"/>
  <c r="T835" i="2"/>
  <c r="S835" i="2"/>
  <c r="R835" i="2"/>
  <c r="U834" i="2"/>
  <c r="T834" i="2"/>
  <c r="S834" i="2"/>
  <c r="R834" i="2"/>
  <c r="U833" i="2"/>
  <c r="T833" i="2"/>
  <c r="S833" i="2"/>
  <c r="R833" i="2"/>
  <c r="U832" i="2"/>
  <c r="T832" i="2"/>
  <c r="S832" i="2"/>
  <c r="R832" i="2"/>
  <c r="U831" i="2"/>
  <c r="T831" i="2"/>
  <c r="S831" i="2"/>
  <c r="R831" i="2"/>
  <c r="U830" i="2"/>
  <c r="T830" i="2"/>
  <c r="S830" i="2"/>
  <c r="R830" i="2"/>
  <c r="U829" i="2"/>
  <c r="T829" i="2"/>
  <c r="S829" i="2"/>
  <c r="R829" i="2"/>
  <c r="U828" i="2"/>
  <c r="T828" i="2"/>
  <c r="S828" i="2"/>
  <c r="R828" i="2"/>
  <c r="U827" i="2"/>
  <c r="T827" i="2"/>
  <c r="S827" i="2"/>
  <c r="R827" i="2"/>
  <c r="U826" i="2"/>
  <c r="T826" i="2"/>
  <c r="S826" i="2"/>
  <c r="R826" i="2"/>
  <c r="U825" i="2"/>
  <c r="T825" i="2"/>
  <c r="S825" i="2"/>
  <c r="R825" i="2"/>
  <c r="U824" i="2"/>
  <c r="T824" i="2"/>
  <c r="S824" i="2"/>
  <c r="R824" i="2"/>
  <c r="U823" i="2"/>
  <c r="T823" i="2"/>
  <c r="S823" i="2"/>
  <c r="R823" i="2"/>
  <c r="U822" i="2"/>
  <c r="T822" i="2"/>
  <c r="S822" i="2"/>
  <c r="R822" i="2"/>
  <c r="U821" i="2"/>
  <c r="T821" i="2"/>
  <c r="S821" i="2"/>
  <c r="R821" i="2"/>
  <c r="U820" i="2"/>
  <c r="T820" i="2"/>
  <c r="S820" i="2"/>
  <c r="R820" i="2"/>
  <c r="U819" i="2"/>
  <c r="T819" i="2"/>
  <c r="S819" i="2"/>
  <c r="R819" i="2"/>
  <c r="U818" i="2"/>
  <c r="T818" i="2"/>
  <c r="S818" i="2"/>
  <c r="R818" i="2"/>
  <c r="U817" i="2"/>
  <c r="T817" i="2"/>
  <c r="S817" i="2"/>
  <c r="R817" i="2"/>
  <c r="U816" i="2"/>
  <c r="T816" i="2"/>
  <c r="S816" i="2"/>
  <c r="R816" i="2"/>
  <c r="U815" i="2"/>
  <c r="T815" i="2"/>
  <c r="S815" i="2"/>
  <c r="R815" i="2"/>
  <c r="U814" i="2"/>
  <c r="T814" i="2"/>
  <c r="S814" i="2"/>
  <c r="R814" i="2"/>
  <c r="U813" i="2"/>
  <c r="T813" i="2"/>
  <c r="S813" i="2"/>
  <c r="R813" i="2"/>
  <c r="U812" i="2"/>
  <c r="T812" i="2"/>
  <c r="S812" i="2"/>
  <c r="R812" i="2"/>
  <c r="U811" i="2"/>
  <c r="T811" i="2"/>
  <c r="S811" i="2"/>
  <c r="R811" i="2"/>
  <c r="U810" i="2"/>
  <c r="T810" i="2"/>
  <c r="S810" i="2"/>
  <c r="R810" i="2"/>
  <c r="U809" i="2"/>
  <c r="T809" i="2"/>
  <c r="S809" i="2"/>
  <c r="R809" i="2"/>
  <c r="U808" i="2"/>
  <c r="T808" i="2"/>
  <c r="S808" i="2"/>
  <c r="R808" i="2"/>
  <c r="U807" i="2"/>
  <c r="T807" i="2"/>
  <c r="S807" i="2"/>
  <c r="R807" i="2"/>
  <c r="U806" i="2"/>
  <c r="T806" i="2"/>
  <c r="S806" i="2"/>
  <c r="R806" i="2"/>
  <c r="U805" i="2"/>
  <c r="T805" i="2"/>
  <c r="S805" i="2"/>
  <c r="R805" i="2"/>
  <c r="U804" i="2"/>
  <c r="T804" i="2"/>
  <c r="S804" i="2"/>
  <c r="R804" i="2"/>
  <c r="U803" i="2"/>
  <c r="T803" i="2"/>
  <c r="S803" i="2"/>
  <c r="R803" i="2"/>
  <c r="U802" i="2"/>
  <c r="T802" i="2"/>
  <c r="S802" i="2"/>
  <c r="R802" i="2"/>
  <c r="U801" i="2"/>
  <c r="T801" i="2"/>
  <c r="S801" i="2"/>
  <c r="R801" i="2"/>
  <c r="U800" i="2"/>
  <c r="T800" i="2"/>
  <c r="S800" i="2"/>
  <c r="R800" i="2"/>
  <c r="U799" i="2"/>
  <c r="T799" i="2"/>
  <c r="S799" i="2"/>
  <c r="R799" i="2"/>
  <c r="U798" i="2"/>
  <c r="T798" i="2"/>
  <c r="S798" i="2"/>
  <c r="R798" i="2"/>
  <c r="U797" i="2"/>
  <c r="T797" i="2"/>
  <c r="S797" i="2"/>
  <c r="R797" i="2"/>
  <c r="U796" i="2"/>
  <c r="T796" i="2"/>
  <c r="S796" i="2"/>
  <c r="R796" i="2"/>
  <c r="U795" i="2"/>
  <c r="T795" i="2"/>
  <c r="S795" i="2"/>
  <c r="R795" i="2"/>
  <c r="U794" i="2"/>
  <c r="T794" i="2"/>
  <c r="S794" i="2"/>
  <c r="R794" i="2"/>
  <c r="U793" i="2"/>
  <c r="T793" i="2"/>
  <c r="S793" i="2"/>
  <c r="R793" i="2"/>
  <c r="U792" i="2"/>
  <c r="T792" i="2"/>
  <c r="S792" i="2"/>
  <c r="R792" i="2"/>
  <c r="U791" i="2"/>
  <c r="T791" i="2"/>
  <c r="S791" i="2"/>
  <c r="R791" i="2"/>
  <c r="U790" i="2"/>
  <c r="T790" i="2"/>
  <c r="S790" i="2"/>
  <c r="R790" i="2"/>
  <c r="U789" i="2"/>
  <c r="T789" i="2"/>
  <c r="S789" i="2"/>
  <c r="R789" i="2"/>
  <c r="U788" i="2"/>
  <c r="T788" i="2"/>
  <c r="S788" i="2"/>
  <c r="R788" i="2"/>
  <c r="U787" i="2"/>
  <c r="T787" i="2"/>
  <c r="S787" i="2"/>
  <c r="R787" i="2"/>
  <c r="U786" i="2"/>
  <c r="T786" i="2"/>
  <c r="S786" i="2"/>
  <c r="R786" i="2"/>
  <c r="U785" i="2"/>
  <c r="T785" i="2"/>
  <c r="S785" i="2"/>
  <c r="R785" i="2"/>
  <c r="U784" i="2"/>
  <c r="T784" i="2"/>
  <c r="S784" i="2"/>
  <c r="R784" i="2"/>
  <c r="U783" i="2"/>
  <c r="T783" i="2"/>
  <c r="S783" i="2"/>
  <c r="R783" i="2"/>
  <c r="U782" i="2"/>
  <c r="T782" i="2"/>
  <c r="S782" i="2"/>
  <c r="R782" i="2"/>
  <c r="U781" i="2"/>
  <c r="T781" i="2"/>
  <c r="S781" i="2"/>
  <c r="R781" i="2"/>
  <c r="U780" i="2"/>
  <c r="T780" i="2"/>
  <c r="S780" i="2"/>
  <c r="R780" i="2"/>
  <c r="U779" i="2"/>
  <c r="T779" i="2"/>
  <c r="S779" i="2"/>
  <c r="R779" i="2"/>
  <c r="U778" i="2"/>
  <c r="T778" i="2"/>
  <c r="S778" i="2"/>
  <c r="R778" i="2"/>
  <c r="U777" i="2"/>
  <c r="T777" i="2"/>
  <c r="S777" i="2"/>
  <c r="R777" i="2"/>
  <c r="U776" i="2"/>
  <c r="T776" i="2"/>
  <c r="S776" i="2"/>
  <c r="R776" i="2"/>
  <c r="U775" i="2"/>
  <c r="T775" i="2"/>
  <c r="S775" i="2"/>
  <c r="R775" i="2"/>
  <c r="U774" i="2"/>
  <c r="T774" i="2"/>
  <c r="S774" i="2"/>
  <c r="R774" i="2"/>
  <c r="U773" i="2"/>
  <c r="T773" i="2"/>
  <c r="S773" i="2"/>
  <c r="R773" i="2"/>
  <c r="U772" i="2"/>
  <c r="T772" i="2"/>
  <c r="S772" i="2"/>
  <c r="R772" i="2"/>
  <c r="U771" i="2"/>
  <c r="T771" i="2"/>
  <c r="S771" i="2"/>
  <c r="R771" i="2"/>
  <c r="U770" i="2"/>
  <c r="T770" i="2"/>
  <c r="S770" i="2"/>
  <c r="R770" i="2"/>
  <c r="U769" i="2"/>
  <c r="T769" i="2"/>
  <c r="S769" i="2"/>
  <c r="R769" i="2"/>
  <c r="U768" i="2"/>
  <c r="T768" i="2"/>
  <c r="S768" i="2"/>
  <c r="R768" i="2"/>
  <c r="U767" i="2"/>
  <c r="T767" i="2"/>
  <c r="S767" i="2"/>
  <c r="R767" i="2"/>
  <c r="U766" i="2"/>
  <c r="T766" i="2"/>
  <c r="S766" i="2"/>
  <c r="R766" i="2"/>
  <c r="U765" i="2"/>
  <c r="T765" i="2"/>
  <c r="S765" i="2"/>
  <c r="R765" i="2"/>
  <c r="U764" i="2"/>
  <c r="T764" i="2"/>
  <c r="S764" i="2"/>
  <c r="R764" i="2"/>
  <c r="U763" i="2"/>
  <c r="T763" i="2"/>
  <c r="S763" i="2"/>
  <c r="R763" i="2"/>
  <c r="U762" i="2"/>
  <c r="T762" i="2"/>
  <c r="S762" i="2"/>
  <c r="R762" i="2"/>
  <c r="U761" i="2"/>
  <c r="T761" i="2"/>
  <c r="S761" i="2"/>
  <c r="R761" i="2"/>
  <c r="U760" i="2"/>
  <c r="T760" i="2"/>
  <c r="S760" i="2"/>
  <c r="R760" i="2"/>
  <c r="U759" i="2"/>
  <c r="T759" i="2"/>
  <c r="S759" i="2"/>
  <c r="R759" i="2"/>
  <c r="U758" i="2"/>
  <c r="T758" i="2"/>
  <c r="S758" i="2"/>
  <c r="R758" i="2"/>
  <c r="U757" i="2"/>
  <c r="T757" i="2"/>
  <c r="S757" i="2"/>
  <c r="R757" i="2"/>
  <c r="U756" i="2"/>
  <c r="T756" i="2"/>
  <c r="S756" i="2"/>
  <c r="R756" i="2"/>
  <c r="U755" i="2"/>
  <c r="T755" i="2"/>
  <c r="S755" i="2"/>
  <c r="R755" i="2"/>
  <c r="U754" i="2"/>
  <c r="T754" i="2"/>
  <c r="S754" i="2"/>
  <c r="R754" i="2"/>
  <c r="U753" i="2"/>
  <c r="T753" i="2"/>
  <c r="S753" i="2"/>
  <c r="R753" i="2"/>
  <c r="U752" i="2"/>
  <c r="T752" i="2"/>
  <c r="S752" i="2"/>
  <c r="R752" i="2"/>
  <c r="U751" i="2"/>
  <c r="T751" i="2"/>
  <c r="S751" i="2"/>
  <c r="R751" i="2"/>
  <c r="U750" i="2"/>
  <c r="T750" i="2"/>
  <c r="S750" i="2"/>
  <c r="R750" i="2"/>
  <c r="U749" i="2"/>
  <c r="T749" i="2"/>
  <c r="S749" i="2"/>
  <c r="R749" i="2"/>
  <c r="U748" i="2"/>
  <c r="T748" i="2"/>
  <c r="S748" i="2"/>
  <c r="R748" i="2"/>
  <c r="U747" i="2"/>
  <c r="T747" i="2"/>
  <c r="S747" i="2"/>
  <c r="R747" i="2"/>
  <c r="U746" i="2"/>
  <c r="T746" i="2"/>
  <c r="S746" i="2"/>
  <c r="R746" i="2"/>
  <c r="U745" i="2"/>
  <c r="T745" i="2"/>
  <c r="S745" i="2"/>
  <c r="R745" i="2"/>
  <c r="U744" i="2"/>
  <c r="T744" i="2"/>
  <c r="S744" i="2"/>
  <c r="R744" i="2"/>
  <c r="U743" i="2"/>
  <c r="T743" i="2"/>
  <c r="S743" i="2"/>
  <c r="R743" i="2"/>
  <c r="U742" i="2"/>
  <c r="T742" i="2"/>
  <c r="S742" i="2"/>
  <c r="R742" i="2"/>
  <c r="U741" i="2"/>
  <c r="T741" i="2"/>
  <c r="S741" i="2"/>
  <c r="R741" i="2"/>
  <c r="U740" i="2"/>
  <c r="T740" i="2"/>
  <c r="S740" i="2"/>
  <c r="R740" i="2"/>
  <c r="U739" i="2"/>
  <c r="T739" i="2"/>
  <c r="S739" i="2"/>
  <c r="R739" i="2"/>
  <c r="U738" i="2"/>
  <c r="T738" i="2"/>
  <c r="S738" i="2"/>
  <c r="R738" i="2"/>
  <c r="U737" i="2"/>
  <c r="T737" i="2"/>
  <c r="S737" i="2"/>
  <c r="R737" i="2"/>
  <c r="U736" i="2"/>
  <c r="T736" i="2"/>
  <c r="S736" i="2"/>
  <c r="R736" i="2"/>
  <c r="U735" i="2"/>
  <c r="T735" i="2"/>
  <c r="S735" i="2"/>
  <c r="R735" i="2"/>
  <c r="U734" i="2"/>
  <c r="T734" i="2"/>
  <c r="S734" i="2"/>
  <c r="R734" i="2"/>
  <c r="U733" i="2"/>
  <c r="T733" i="2"/>
  <c r="S733" i="2"/>
  <c r="R733" i="2"/>
  <c r="U732" i="2"/>
  <c r="T732" i="2"/>
  <c r="S732" i="2"/>
  <c r="R732" i="2"/>
  <c r="U731" i="2"/>
  <c r="T731" i="2"/>
  <c r="S731" i="2"/>
  <c r="R731" i="2"/>
  <c r="U730" i="2"/>
  <c r="T730" i="2"/>
  <c r="S730" i="2"/>
  <c r="R730" i="2"/>
  <c r="U729" i="2"/>
  <c r="T729" i="2"/>
  <c r="S729" i="2"/>
  <c r="R729" i="2"/>
  <c r="U728" i="2"/>
  <c r="T728" i="2"/>
  <c r="S728" i="2"/>
  <c r="R728" i="2"/>
  <c r="U727" i="2"/>
  <c r="T727" i="2"/>
  <c r="S727" i="2"/>
  <c r="R727" i="2"/>
  <c r="U726" i="2"/>
  <c r="T726" i="2"/>
  <c r="S726" i="2"/>
  <c r="R726" i="2"/>
  <c r="U725" i="2"/>
  <c r="T725" i="2"/>
  <c r="S725" i="2"/>
  <c r="R725" i="2"/>
  <c r="U724" i="2"/>
  <c r="T724" i="2"/>
  <c r="S724" i="2"/>
  <c r="R724" i="2"/>
  <c r="U723" i="2"/>
  <c r="T723" i="2"/>
  <c r="S723" i="2"/>
  <c r="R723" i="2"/>
  <c r="U722" i="2"/>
  <c r="T722" i="2"/>
  <c r="S722" i="2"/>
  <c r="R722" i="2"/>
  <c r="U721" i="2"/>
  <c r="T721" i="2"/>
  <c r="S721" i="2"/>
  <c r="R721" i="2"/>
  <c r="U720" i="2"/>
  <c r="T720" i="2"/>
  <c r="S720" i="2"/>
  <c r="R720" i="2"/>
  <c r="U719" i="2"/>
  <c r="T719" i="2"/>
  <c r="S719" i="2"/>
  <c r="R719" i="2"/>
  <c r="U718" i="2"/>
  <c r="T718" i="2"/>
  <c r="S718" i="2"/>
  <c r="R718" i="2"/>
  <c r="U717" i="2"/>
  <c r="T717" i="2"/>
  <c r="S717" i="2"/>
  <c r="R717" i="2"/>
  <c r="U716" i="2"/>
  <c r="T716" i="2"/>
  <c r="S716" i="2"/>
  <c r="R716" i="2"/>
  <c r="U715" i="2"/>
  <c r="T715" i="2"/>
  <c r="S715" i="2"/>
  <c r="R715" i="2"/>
  <c r="U714" i="2"/>
  <c r="T714" i="2"/>
  <c r="S714" i="2"/>
  <c r="R714" i="2"/>
  <c r="U713" i="2"/>
  <c r="T713" i="2"/>
  <c r="S713" i="2"/>
  <c r="R713" i="2"/>
  <c r="U712" i="2"/>
  <c r="T712" i="2"/>
  <c r="S712" i="2"/>
  <c r="R712" i="2"/>
  <c r="U711" i="2"/>
  <c r="T711" i="2"/>
  <c r="S711" i="2"/>
  <c r="R711" i="2"/>
  <c r="U710" i="2"/>
  <c r="T710" i="2"/>
  <c r="S710" i="2"/>
  <c r="R710" i="2"/>
  <c r="U709" i="2"/>
  <c r="T709" i="2"/>
  <c r="S709" i="2"/>
  <c r="R709" i="2"/>
  <c r="U708" i="2"/>
  <c r="T708" i="2"/>
  <c r="S708" i="2"/>
  <c r="R708" i="2"/>
  <c r="U707" i="2"/>
  <c r="T707" i="2"/>
  <c r="S707" i="2"/>
  <c r="R707" i="2"/>
  <c r="U706" i="2"/>
  <c r="T706" i="2"/>
  <c r="S706" i="2"/>
  <c r="R706" i="2"/>
  <c r="U705" i="2"/>
  <c r="T705" i="2"/>
  <c r="S705" i="2"/>
  <c r="R705" i="2"/>
  <c r="U704" i="2"/>
  <c r="T704" i="2"/>
  <c r="S704" i="2"/>
  <c r="R704" i="2"/>
  <c r="U703" i="2"/>
  <c r="T703" i="2"/>
  <c r="S703" i="2"/>
  <c r="R703" i="2"/>
  <c r="U702" i="2"/>
  <c r="T702" i="2"/>
  <c r="S702" i="2"/>
  <c r="R702" i="2"/>
  <c r="U701" i="2"/>
  <c r="T701" i="2"/>
  <c r="S701" i="2"/>
  <c r="R701" i="2"/>
  <c r="U700" i="2"/>
  <c r="T700" i="2"/>
  <c r="S700" i="2"/>
  <c r="R700" i="2"/>
  <c r="U699" i="2"/>
  <c r="T699" i="2"/>
  <c r="S699" i="2"/>
  <c r="R699" i="2"/>
  <c r="U698" i="2"/>
  <c r="T698" i="2"/>
  <c r="S698" i="2"/>
  <c r="R698" i="2"/>
  <c r="U697" i="2"/>
  <c r="T697" i="2"/>
  <c r="S697" i="2"/>
  <c r="R697" i="2"/>
  <c r="U696" i="2"/>
  <c r="T696" i="2"/>
  <c r="S696" i="2"/>
  <c r="R696" i="2"/>
  <c r="U695" i="2"/>
  <c r="T695" i="2"/>
  <c r="S695" i="2"/>
  <c r="R695" i="2"/>
  <c r="U694" i="2"/>
  <c r="T694" i="2"/>
  <c r="S694" i="2"/>
  <c r="R694" i="2"/>
  <c r="U693" i="2"/>
  <c r="T693" i="2"/>
  <c r="S693" i="2"/>
  <c r="R693" i="2"/>
  <c r="U692" i="2"/>
  <c r="T692" i="2"/>
  <c r="S692" i="2"/>
  <c r="R692" i="2"/>
  <c r="U691" i="2"/>
  <c r="T691" i="2"/>
  <c r="S691" i="2"/>
  <c r="R691" i="2"/>
  <c r="U690" i="2"/>
  <c r="T690" i="2"/>
  <c r="S690" i="2"/>
  <c r="R690" i="2"/>
  <c r="U689" i="2"/>
  <c r="T689" i="2"/>
  <c r="S689" i="2"/>
  <c r="R689" i="2"/>
  <c r="U688" i="2"/>
  <c r="T688" i="2"/>
  <c r="S688" i="2"/>
  <c r="R688" i="2"/>
  <c r="U687" i="2"/>
  <c r="T687" i="2"/>
  <c r="S687" i="2"/>
  <c r="R687" i="2"/>
  <c r="U686" i="2"/>
  <c r="T686" i="2"/>
  <c r="S686" i="2"/>
  <c r="R686" i="2"/>
  <c r="U685" i="2"/>
  <c r="T685" i="2"/>
  <c r="S685" i="2"/>
  <c r="R685" i="2"/>
  <c r="U684" i="2"/>
  <c r="T684" i="2"/>
  <c r="S684" i="2"/>
  <c r="R684" i="2"/>
  <c r="U683" i="2"/>
  <c r="T683" i="2"/>
  <c r="S683" i="2"/>
  <c r="R683" i="2"/>
  <c r="U682" i="2"/>
  <c r="T682" i="2"/>
  <c r="S682" i="2"/>
  <c r="R682" i="2"/>
  <c r="U681" i="2"/>
  <c r="T681" i="2"/>
  <c r="S681" i="2"/>
  <c r="R681" i="2"/>
  <c r="U680" i="2"/>
  <c r="T680" i="2"/>
  <c r="S680" i="2"/>
  <c r="R680" i="2"/>
  <c r="U679" i="2"/>
  <c r="T679" i="2"/>
  <c r="S679" i="2"/>
  <c r="R679" i="2"/>
  <c r="U678" i="2"/>
  <c r="T678" i="2"/>
  <c r="S678" i="2"/>
  <c r="R678" i="2"/>
  <c r="U677" i="2"/>
  <c r="T677" i="2"/>
  <c r="S677" i="2"/>
  <c r="R677" i="2"/>
  <c r="U676" i="2"/>
  <c r="T676" i="2"/>
  <c r="S676" i="2"/>
  <c r="R676" i="2"/>
  <c r="U675" i="2"/>
  <c r="T675" i="2"/>
  <c r="S675" i="2"/>
  <c r="R675" i="2"/>
  <c r="U674" i="2"/>
  <c r="T674" i="2"/>
  <c r="S674" i="2"/>
  <c r="R674" i="2"/>
  <c r="U673" i="2"/>
  <c r="T673" i="2"/>
  <c r="S673" i="2"/>
  <c r="R673" i="2"/>
  <c r="U672" i="2"/>
  <c r="T672" i="2"/>
  <c r="S672" i="2"/>
  <c r="R672" i="2"/>
  <c r="U671" i="2"/>
  <c r="T671" i="2"/>
  <c r="S671" i="2"/>
  <c r="R671" i="2"/>
  <c r="U670" i="2"/>
  <c r="T670" i="2"/>
  <c r="S670" i="2"/>
  <c r="R670" i="2"/>
  <c r="U669" i="2"/>
  <c r="T669" i="2"/>
  <c r="S669" i="2"/>
  <c r="R669" i="2"/>
  <c r="U668" i="2"/>
  <c r="T668" i="2"/>
  <c r="S668" i="2"/>
  <c r="R668" i="2"/>
  <c r="U667" i="2"/>
  <c r="T667" i="2"/>
  <c r="S667" i="2"/>
  <c r="R667" i="2"/>
  <c r="U666" i="2"/>
  <c r="T666" i="2"/>
  <c r="S666" i="2"/>
  <c r="R666" i="2"/>
  <c r="U665" i="2"/>
  <c r="T665" i="2"/>
  <c r="S665" i="2"/>
  <c r="R665" i="2"/>
  <c r="U664" i="2"/>
  <c r="T664" i="2"/>
  <c r="S664" i="2"/>
  <c r="R664" i="2"/>
  <c r="U663" i="2"/>
  <c r="T663" i="2"/>
  <c r="S663" i="2"/>
  <c r="R663" i="2"/>
  <c r="U662" i="2"/>
  <c r="T662" i="2"/>
  <c r="S662" i="2"/>
  <c r="R662" i="2"/>
  <c r="U661" i="2"/>
  <c r="T661" i="2"/>
  <c r="S661" i="2"/>
  <c r="R661" i="2"/>
  <c r="U660" i="2"/>
  <c r="T660" i="2"/>
  <c r="S660" i="2"/>
  <c r="R660" i="2"/>
  <c r="U659" i="2"/>
  <c r="T659" i="2"/>
  <c r="S659" i="2"/>
  <c r="R659" i="2"/>
  <c r="U658" i="2"/>
  <c r="T658" i="2"/>
  <c r="S658" i="2"/>
  <c r="R658" i="2"/>
  <c r="U657" i="2"/>
  <c r="T657" i="2"/>
  <c r="S657" i="2"/>
  <c r="R657" i="2"/>
  <c r="U656" i="2"/>
  <c r="T656" i="2"/>
  <c r="S656" i="2"/>
  <c r="R656" i="2"/>
  <c r="U655" i="2"/>
  <c r="T655" i="2"/>
  <c r="S655" i="2"/>
  <c r="R655" i="2"/>
  <c r="U654" i="2"/>
  <c r="T654" i="2"/>
  <c r="S654" i="2"/>
  <c r="R654" i="2"/>
  <c r="U653" i="2"/>
  <c r="T653" i="2"/>
  <c r="S653" i="2"/>
  <c r="R653" i="2"/>
  <c r="U652" i="2"/>
  <c r="T652" i="2"/>
  <c r="S652" i="2"/>
  <c r="R652" i="2"/>
  <c r="U651" i="2"/>
  <c r="T651" i="2"/>
  <c r="S651" i="2"/>
  <c r="R651" i="2"/>
  <c r="U650" i="2"/>
  <c r="T650" i="2"/>
  <c r="S650" i="2"/>
  <c r="R650" i="2"/>
  <c r="U649" i="2"/>
  <c r="T649" i="2"/>
  <c r="S649" i="2"/>
  <c r="R649" i="2"/>
  <c r="U648" i="2"/>
  <c r="T648" i="2"/>
  <c r="S648" i="2"/>
  <c r="R648" i="2"/>
  <c r="U647" i="2"/>
  <c r="T647" i="2"/>
  <c r="S647" i="2"/>
  <c r="R647" i="2"/>
  <c r="U646" i="2"/>
  <c r="T646" i="2"/>
  <c r="S646" i="2"/>
  <c r="R646" i="2"/>
  <c r="U645" i="2"/>
  <c r="T645" i="2"/>
  <c r="S645" i="2"/>
  <c r="R645" i="2"/>
  <c r="U644" i="2"/>
  <c r="T644" i="2"/>
  <c r="S644" i="2"/>
  <c r="R644" i="2"/>
  <c r="U643" i="2"/>
  <c r="T643" i="2"/>
  <c r="S643" i="2"/>
  <c r="R643" i="2"/>
  <c r="U642" i="2"/>
  <c r="T642" i="2"/>
  <c r="S642" i="2"/>
  <c r="R642" i="2"/>
  <c r="U641" i="2"/>
  <c r="T641" i="2"/>
  <c r="S641" i="2"/>
  <c r="R641" i="2"/>
  <c r="U640" i="2"/>
  <c r="T640" i="2"/>
  <c r="S640" i="2"/>
  <c r="R640" i="2"/>
  <c r="U639" i="2"/>
  <c r="T639" i="2"/>
  <c r="S639" i="2"/>
  <c r="R639" i="2"/>
  <c r="U638" i="2"/>
  <c r="T638" i="2"/>
  <c r="S638" i="2"/>
  <c r="R638" i="2"/>
  <c r="U637" i="2"/>
  <c r="T637" i="2"/>
  <c r="S637" i="2"/>
  <c r="R637" i="2"/>
  <c r="U636" i="2"/>
  <c r="T636" i="2"/>
  <c r="S636" i="2"/>
  <c r="R636" i="2"/>
  <c r="U635" i="2"/>
  <c r="T635" i="2"/>
  <c r="S635" i="2"/>
  <c r="R635" i="2"/>
  <c r="U634" i="2"/>
  <c r="T634" i="2"/>
  <c r="S634" i="2"/>
  <c r="R634" i="2"/>
  <c r="U633" i="2"/>
  <c r="T633" i="2"/>
  <c r="S633" i="2"/>
  <c r="R633" i="2"/>
  <c r="U632" i="2"/>
  <c r="T632" i="2"/>
  <c r="S632" i="2"/>
  <c r="R632" i="2"/>
  <c r="U631" i="2"/>
  <c r="T631" i="2"/>
  <c r="S631" i="2"/>
  <c r="R631" i="2"/>
  <c r="U630" i="2"/>
  <c r="T630" i="2"/>
  <c r="S630" i="2"/>
  <c r="R630" i="2"/>
  <c r="U629" i="2"/>
  <c r="T629" i="2"/>
  <c r="S629" i="2"/>
  <c r="R629" i="2"/>
  <c r="U628" i="2"/>
  <c r="T628" i="2"/>
  <c r="S628" i="2"/>
  <c r="R628" i="2"/>
  <c r="U627" i="2"/>
  <c r="T627" i="2"/>
  <c r="S627" i="2"/>
  <c r="R627" i="2"/>
  <c r="U626" i="2"/>
  <c r="T626" i="2"/>
  <c r="S626" i="2"/>
  <c r="R626" i="2"/>
  <c r="U625" i="2"/>
  <c r="T625" i="2"/>
  <c r="S625" i="2"/>
  <c r="R625" i="2"/>
  <c r="U624" i="2"/>
  <c r="T624" i="2"/>
  <c r="S624" i="2"/>
  <c r="R624" i="2"/>
  <c r="U623" i="2"/>
  <c r="T623" i="2"/>
  <c r="S623" i="2"/>
  <c r="R623" i="2"/>
  <c r="U622" i="2"/>
  <c r="T622" i="2"/>
  <c r="S622" i="2"/>
  <c r="R622" i="2"/>
  <c r="U621" i="2"/>
  <c r="T621" i="2"/>
  <c r="S621" i="2"/>
  <c r="R621" i="2"/>
  <c r="U620" i="2"/>
  <c r="T620" i="2"/>
  <c r="S620" i="2"/>
  <c r="R620" i="2"/>
  <c r="U619" i="2"/>
  <c r="T619" i="2"/>
  <c r="S619" i="2"/>
  <c r="R619" i="2"/>
  <c r="U618" i="2"/>
  <c r="T618" i="2"/>
  <c r="S618" i="2"/>
  <c r="R618" i="2"/>
  <c r="U617" i="2"/>
  <c r="T617" i="2"/>
  <c r="S617" i="2"/>
  <c r="R617" i="2"/>
  <c r="U616" i="2"/>
  <c r="T616" i="2"/>
  <c r="S616" i="2"/>
  <c r="R616" i="2"/>
  <c r="U615" i="2"/>
  <c r="T615" i="2"/>
  <c r="S615" i="2"/>
  <c r="R615" i="2"/>
  <c r="U614" i="2"/>
  <c r="T614" i="2"/>
  <c r="S614" i="2"/>
  <c r="R614" i="2"/>
  <c r="U613" i="2"/>
  <c r="T613" i="2"/>
  <c r="S613" i="2"/>
  <c r="R613" i="2"/>
  <c r="U612" i="2"/>
  <c r="T612" i="2"/>
  <c r="S612" i="2"/>
  <c r="R612" i="2"/>
  <c r="U611" i="2"/>
  <c r="T611" i="2"/>
  <c r="S611" i="2"/>
  <c r="R611" i="2"/>
  <c r="U610" i="2"/>
  <c r="T610" i="2"/>
  <c r="S610" i="2"/>
  <c r="R610" i="2"/>
  <c r="U609" i="2"/>
  <c r="T609" i="2"/>
  <c r="S609" i="2"/>
  <c r="R609" i="2"/>
  <c r="U608" i="2"/>
  <c r="T608" i="2"/>
  <c r="S608" i="2"/>
  <c r="R608" i="2"/>
  <c r="U607" i="2"/>
  <c r="T607" i="2"/>
  <c r="S607" i="2"/>
  <c r="R607" i="2"/>
  <c r="U606" i="2"/>
  <c r="T606" i="2"/>
  <c r="S606" i="2"/>
  <c r="R606" i="2"/>
  <c r="U605" i="2"/>
  <c r="T605" i="2"/>
  <c r="S605" i="2"/>
  <c r="R605" i="2"/>
  <c r="U604" i="2"/>
  <c r="T604" i="2"/>
  <c r="S604" i="2"/>
  <c r="R604" i="2"/>
  <c r="U603" i="2"/>
  <c r="T603" i="2"/>
  <c r="S603" i="2"/>
  <c r="R603" i="2"/>
  <c r="U602" i="2"/>
  <c r="T602" i="2"/>
  <c r="S602" i="2"/>
  <c r="R602" i="2"/>
  <c r="U601" i="2"/>
  <c r="T601" i="2"/>
  <c r="S601" i="2"/>
  <c r="R601" i="2"/>
  <c r="U600" i="2"/>
  <c r="T600" i="2"/>
  <c r="S600" i="2"/>
  <c r="R600" i="2"/>
  <c r="U599" i="2"/>
  <c r="T599" i="2"/>
  <c r="S599" i="2"/>
  <c r="R599" i="2"/>
  <c r="U598" i="2"/>
  <c r="T598" i="2"/>
  <c r="S598" i="2"/>
  <c r="R598" i="2"/>
  <c r="U597" i="2"/>
  <c r="T597" i="2"/>
  <c r="S597" i="2"/>
  <c r="R597" i="2"/>
  <c r="U596" i="2"/>
  <c r="T596" i="2"/>
  <c r="S596" i="2"/>
  <c r="R596" i="2"/>
  <c r="U595" i="2"/>
  <c r="T595" i="2"/>
  <c r="S595" i="2"/>
  <c r="R595" i="2"/>
  <c r="U594" i="2"/>
  <c r="T594" i="2"/>
  <c r="S594" i="2"/>
  <c r="R594" i="2"/>
  <c r="U593" i="2"/>
  <c r="T593" i="2"/>
  <c r="S593" i="2"/>
  <c r="R593" i="2"/>
  <c r="U592" i="2"/>
  <c r="T592" i="2"/>
  <c r="S592" i="2"/>
  <c r="R592" i="2"/>
  <c r="U591" i="2"/>
  <c r="T591" i="2"/>
  <c r="S591" i="2"/>
  <c r="R591" i="2"/>
  <c r="U590" i="2"/>
  <c r="T590" i="2"/>
  <c r="S590" i="2"/>
  <c r="R590" i="2"/>
  <c r="U589" i="2"/>
  <c r="T589" i="2"/>
  <c r="S589" i="2"/>
  <c r="R589" i="2"/>
  <c r="U588" i="2"/>
  <c r="T588" i="2"/>
  <c r="S588" i="2"/>
  <c r="R588" i="2"/>
  <c r="U587" i="2"/>
  <c r="T587" i="2"/>
  <c r="S587" i="2"/>
  <c r="R587" i="2"/>
  <c r="U586" i="2"/>
  <c r="T586" i="2"/>
  <c r="S586" i="2"/>
  <c r="R586" i="2"/>
  <c r="U585" i="2"/>
  <c r="T585" i="2"/>
  <c r="S585" i="2"/>
  <c r="R585" i="2"/>
  <c r="U584" i="2"/>
  <c r="T584" i="2"/>
  <c r="S584" i="2"/>
  <c r="R584" i="2"/>
  <c r="U583" i="2"/>
  <c r="T583" i="2"/>
  <c r="S583" i="2"/>
  <c r="R583" i="2"/>
  <c r="U582" i="2"/>
  <c r="T582" i="2"/>
  <c r="S582" i="2"/>
  <c r="R582" i="2"/>
  <c r="U581" i="2"/>
  <c r="T581" i="2"/>
  <c r="S581" i="2"/>
  <c r="R581" i="2"/>
  <c r="U580" i="2"/>
  <c r="T580" i="2"/>
  <c r="S580" i="2"/>
  <c r="R580" i="2"/>
  <c r="U579" i="2"/>
  <c r="T579" i="2"/>
  <c r="S579" i="2"/>
  <c r="R579" i="2"/>
  <c r="U578" i="2"/>
  <c r="T578" i="2"/>
  <c r="S578" i="2"/>
  <c r="R578" i="2"/>
  <c r="U577" i="2"/>
  <c r="T577" i="2"/>
  <c r="S577" i="2"/>
  <c r="R577" i="2"/>
  <c r="U576" i="2"/>
  <c r="T576" i="2"/>
  <c r="S576" i="2"/>
  <c r="R576" i="2"/>
  <c r="U575" i="2"/>
  <c r="T575" i="2"/>
  <c r="S575" i="2"/>
  <c r="R575" i="2"/>
  <c r="U574" i="2"/>
  <c r="T574" i="2"/>
  <c r="S574" i="2"/>
  <c r="R574" i="2"/>
  <c r="U573" i="2"/>
  <c r="T573" i="2"/>
  <c r="S573" i="2"/>
  <c r="R573" i="2"/>
  <c r="U572" i="2"/>
  <c r="T572" i="2"/>
  <c r="S572" i="2"/>
  <c r="R572" i="2"/>
  <c r="U571" i="2"/>
  <c r="T571" i="2"/>
  <c r="S571" i="2"/>
  <c r="R571" i="2"/>
  <c r="U570" i="2"/>
  <c r="T570" i="2"/>
  <c r="S570" i="2"/>
  <c r="R570" i="2"/>
  <c r="U569" i="2"/>
  <c r="T569" i="2"/>
  <c r="S569" i="2"/>
  <c r="R569" i="2"/>
  <c r="U568" i="2"/>
  <c r="T568" i="2"/>
  <c r="S568" i="2"/>
  <c r="R568" i="2"/>
  <c r="U567" i="2"/>
  <c r="T567" i="2"/>
  <c r="S567" i="2"/>
  <c r="R567" i="2"/>
  <c r="U566" i="2"/>
  <c r="T566" i="2"/>
  <c r="S566" i="2"/>
  <c r="R566" i="2"/>
  <c r="U565" i="2"/>
  <c r="T565" i="2"/>
  <c r="S565" i="2"/>
  <c r="R565" i="2"/>
  <c r="U564" i="2"/>
  <c r="T564" i="2"/>
  <c r="S564" i="2"/>
  <c r="R564" i="2"/>
  <c r="U563" i="2"/>
  <c r="T563" i="2"/>
  <c r="S563" i="2"/>
  <c r="R563" i="2"/>
  <c r="U562" i="2"/>
  <c r="T562" i="2"/>
  <c r="S562" i="2"/>
  <c r="R562" i="2"/>
  <c r="U561" i="2"/>
  <c r="T561" i="2"/>
  <c r="S561" i="2"/>
  <c r="R561" i="2"/>
  <c r="U560" i="2"/>
  <c r="T560" i="2"/>
  <c r="S560" i="2"/>
  <c r="R560" i="2"/>
  <c r="U559" i="2"/>
  <c r="T559" i="2"/>
  <c r="S559" i="2"/>
  <c r="R559" i="2"/>
  <c r="U558" i="2"/>
  <c r="T558" i="2"/>
  <c r="S558" i="2"/>
  <c r="R558" i="2"/>
  <c r="U557" i="2"/>
  <c r="T557" i="2"/>
  <c r="S557" i="2"/>
  <c r="R557" i="2"/>
  <c r="U556" i="2"/>
  <c r="T556" i="2"/>
  <c r="S556" i="2"/>
  <c r="R556" i="2"/>
  <c r="U555" i="2"/>
  <c r="T555" i="2"/>
  <c r="S555" i="2"/>
  <c r="R555" i="2"/>
  <c r="U554" i="2"/>
  <c r="T554" i="2"/>
  <c r="S554" i="2"/>
  <c r="R554" i="2"/>
  <c r="U553" i="2"/>
  <c r="T553" i="2"/>
  <c r="S553" i="2"/>
  <c r="R553" i="2"/>
  <c r="U552" i="2"/>
  <c r="T552" i="2"/>
  <c r="S552" i="2"/>
  <c r="R552" i="2"/>
  <c r="U551" i="2"/>
  <c r="T551" i="2"/>
  <c r="S551" i="2"/>
  <c r="R551" i="2"/>
  <c r="U550" i="2"/>
  <c r="T550" i="2"/>
  <c r="S550" i="2"/>
  <c r="R550" i="2"/>
  <c r="U549" i="2"/>
  <c r="T549" i="2"/>
  <c r="S549" i="2"/>
  <c r="R549" i="2"/>
  <c r="U548" i="2"/>
  <c r="T548" i="2"/>
  <c r="S548" i="2"/>
  <c r="R548" i="2"/>
  <c r="U547" i="2"/>
  <c r="T547" i="2"/>
  <c r="S547" i="2"/>
  <c r="R547" i="2"/>
  <c r="U546" i="2"/>
  <c r="T546" i="2"/>
  <c r="S546" i="2"/>
  <c r="R546" i="2"/>
  <c r="U545" i="2"/>
  <c r="T545" i="2"/>
  <c r="S545" i="2"/>
  <c r="R545" i="2"/>
  <c r="U544" i="2"/>
  <c r="T544" i="2"/>
  <c r="S544" i="2"/>
  <c r="R544" i="2"/>
  <c r="U543" i="2"/>
  <c r="T543" i="2"/>
  <c r="S543" i="2"/>
  <c r="R543" i="2"/>
  <c r="U542" i="2"/>
  <c r="T542" i="2"/>
  <c r="S542" i="2"/>
  <c r="R542" i="2"/>
  <c r="U541" i="2"/>
  <c r="T541" i="2"/>
  <c r="S541" i="2"/>
  <c r="R541" i="2"/>
  <c r="U540" i="2"/>
  <c r="T540" i="2"/>
  <c r="S540" i="2"/>
  <c r="R540" i="2"/>
  <c r="U539" i="2"/>
  <c r="T539" i="2"/>
  <c r="S539" i="2"/>
  <c r="R539" i="2"/>
  <c r="U538" i="2"/>
  <c r="T538" i="2"/>
  <c r="S538" i="2"/>
  <c r="R538" i="2"/>
  <c r="U537" i="2"/>
  <c r="T537" i="2"/>
  <c r="S537" i="2"/>
  <c r="R537" i="2"/>
  <c r="U536" i="2"/>
  <c r="T536" i="2"/>
  <c r="S536" i="2"/>
  <c r="R536" i="2"/>
  <c r="U535" i="2"/>
  <c r="T535" i="2"/>
  <c r="S535" i="2"/>
  <c r="R535" i="2"/>
  <c r="U534" i="2"/>
  <c r="T534" i="2"/>
  <c r="S534" i="2"/>
  <c r="R534" i="2"/>
  <c r="U533" i="2"/>
  <c r="T533" i="2"/>
  <c r="S533" i="2"/>
  <c r="R533" i="2"/>
  <c r="U532" i="2"/>
  <c r="T532" i="2"/>
  <c r="S532" i="2"/>
  <c r="R532" i="2"/>
  <c r="U531" i="2"/>
  <c r="T531" i="2"/>
  <c r="S531" i="2"/>
  <c r="R531" i="2"/>
  <c r="U530" i="2"/>
  <c r="T530" i="2"/>
  <c r="S530" i="2"/>
  <c r="R530" i="2"/>
  <c r="U529" i="2"/>
  <c r="T529" i="2"/>
  <c r="S529" i="2"/>
  <c r="R529" i="2"/>
  <c r="U528" i="2"/>
  <c r="T528" i="2"/>
  <c r="S528" i="2"/>
  <c r="R528" i="2"/>
  <c r="U527" i="2"/>
  <c r="T527" i="2"/>
  <c r="S527" i="2"/>
  <c r="R527" i="2"/>
  <c r="U526" i="2"/>
  <c r="T526" i="2"/>
  <c r="S526" i="2"/>
  <c r="R526" i="2"/>
  <c r="U525" i="2"/>
  <c r="T525" i="2"/>
  <c r="S525" i="2"/>
  <c r="R525" i="2"/>
  <c r="U524" i="2"/>
  <c r="T524" i="2"/>
  <c r="S524" i="2"/>
  <c r="R524" i="2"/>
  <c r="U523" i="2"/>
  <c r="T523" i="2"/>
  <c r="S523" i="2"/>
  <c r="R523" i="2"/>
  <c r="U522" i="2"/>
  <c r="T522" i="2"/>
  <c r="S522" i="2"/>
  <c r="R522" i="2"/>
  <c r="U521" i="2"/>
  <c r="T521" i="2"/>
  <c r="S521" i="2"/>
  <c r="R521" i="2"/>
  <c r="U520" i="2"/>
  <c r="T520" i="2"/>
  <c r="S520" i="2"/>
  <c r="R520" i="2"/>
  <c r="U519" i="2"/>
  <c r="T519" i="2"/>
  <c r="S519" i="2"/>
  <c r="R519" i="2"/>
  <c r="U518" i="2"/>
  <c r="T518" i="2"/>
  <c r="S518" i="2"/>
  <c r="R518" i="2"/>
  <c r="U517" i="2"/>
  <c r="T517" i="2"/>
  <c r="S517" i="2"/>
  <c r="R517" i="2"/>
  <c r="U516" i="2"/>
  <c r="T516" i="2"/>
  <c r="S516" i="2"/>
  <c r="R516" i="2"/>
  <c r="U515" i="2"/>
  <c r="T515" i="2"/>
  <c r="S515" i="2"/>
  <c r="R515" i="2"/>
  <c r="U514" i="2"/>
  <c r="T514" i="2"/>
  <c r="S514" i="2"/>
  <c r="R514" i="2"/>
  <c r="U513" i="2"/>
  <c r="T513" i="2"/>
  <c r="S513" i="2"/>
  <c r="R513" i="2"/>
  <c r="U512" i="2"/>
  <c r="T512" i="2"/>
  <c r="S512" i="2"/>
  <c r="R512" i="2"/>
  <c r="U511" i="2"/>
  <c r="T511" i="2"/>
  <c r="S511" i="2"/>
  <c r="R511" i="2"/>
  <c r="U510" i="2"/>
  <c r="T510" i="2"/>
  <c r="S510" i="2"/>
  <c r="R510" i="2"/>
  <c r="U509" i="2"/>
  <c r="T509" i="2"/>
  <c r="S509" i="2"/>
  <c r="R509" i="2"/>
  <c r="U508" i="2"/>
  <c r="T508" i="2"/>
  <c r="S508" i="2"/>
  <c r="R508" i="2"/>
  <c r="U507" i="2"/>
  <c r="T507" i="2"/>
  <c r="S507" i="2"/>
  <c r="R507" i="2"/>
  <c r="U506" i="2"/>
  <c r="T506" i="2"/>
  <c r="S506" i="2"/>
  <c r="R506" i="2"/>
  <c r="U505" i="2"/>
  <c r="T505" i="2"/>
  <c r="S505" i="2"/>
  <c r="R505" i="2"/>
  <c r="U504" i="2"/>
  <c r="T504" i="2"/>
  <c r="S504" i="2"/>
  <c r="R504" i="2"/>
  <c r="U503" i="2"/>
  <c r="T503" i="2"/>
  <c r="S503" i="2"/>
  <c r="R503" i="2"/>
  <c r="U502" i="2"/>
  <c r="T502" i="2"/>
  <c r="S502" i="2"/>
  <c r="R502" i="2"/>
  <c r="U501" i="2"/>
  <c r="T501" i="2"/>
  <c r="S501" i="2"/>
  <c r="R501" i="2"/>
  <c r="U500" i="2"/>
  <c r="T500" i="2"/>
  <c r="S500" i="2"/>
  <c r="R500" i="2"/>
  <c r="U499" i="2"/>
  <c r="T499" i="2"/>
  <c r="S499" i="2"/>
  <c r="R499" i="2"/>
  <c r="U498" i="2"/>
  <c r="T498" i="2"/>
  <c r="S498" i="2"/>
  <c r="R498" i="2"/>
  <c r="U497" i="2"/>
  <c r="T497" i="2"/>
  <c r="S497" i="2"/>
  <c r="R497" i="2"/>
  <c r="U496" i="2"/>
  <c r="T496" i="2"/>
  <c r="S496" i="2"/>
  <c r="R496" i="2"/>
  <c r="U495" i="2"/>
  <c r="T495" i="2"/>
  <c r="S495" i="2"/>
  <c r="R495" i="2"/>
  <c r="U494" i="2"/>
  <c r="T494" i="2"/>
  <c r="S494" i="2"/>
  <c r="R494" i="2"/>
  <c r="U493" i="2"/>
  <c r="T493" i="2"/>
  <c r="S493" i="2"/>
  <c r="R493" i="2"/>
  <c r="U492" i="2"/>
  <c r="T492" i="2"/>
  <c r="S492" i="2"/>
  <c r="R492" i="2"/>
  <c r="U491" i="2"/>
  <c r="T491" i="2"/>
  <c r="S491" i="2"/>
  <c r="R491" i="2"/>
  <c r="U490" i="2"/>
  <c r="T490" i="2"/>
  <c r="S490" i="2"/>
  <c r="R490" i="2"/>
  <c r="U489" i="2"/>
  <c r="T489" i="2"/>
  <c r="S489" i="2"/>
  <c r="R489" i="2"/>
  <c r="U488" i="2"/>
  <c r="T488" i="2"/>
  <c r="S488" i="2"/>
  <c r="R488" i="2"/>
  <c r="U487" i="2"/>
  <c r="T487" i="2"/>
  <c r="S487" i="2"/>
  <c r="R487" i="2"/>
  <c r="U486" i="2"/>
  <c r="T486" i="2"/>
  <c r="S486" i="2"/>
  <c r="R486" i="2"/>
  <c r="U485" i="2"/>
  <c r="T485" i="2"/>
  <c r="S485" i="2"/>
  <c r="R485" i="2"/>
  <c r="U484" i="2"/>
  <c r="T484" i="2"/>
  <c r="S484" i="2"/>
  <c r="R484" i="2"/>
  <c r="U483" i="2"/>
  <c r="T483" i="2"/>
  <c r="S483" i="2"/>
  <c r="R483" i="2"/>
  <c r="U482" i="2"/>
  <c r="T482" i="2"/>
  <c r="S482" i="2"/>
  <c r="R482" i="2"/>
  <c r="U481" i="2"/>
  <c r="T481" i="2"/>
  <c r="S481" i="2"/>
  <c r="R481" i="2"/>
  <c r="U480" i="2"/>
  <c r="T480" i="2"/>
  <c r="S480" i="2"/>
  <c r="R480" i="2"/>
  <c r="U479" i="2"/>
  <c r="T479" i="2"/>
  <c r="S479" i="2"/>
  <c r="R479" i="2"/>
  <c r="U478" i="2"/>
  <c r="T478" i="2"/>
  <c r="S478" i="2"/>
  <c r="R478" i="2"/>
  <c r="U477" i="2"/>
  <c r="T477" i="2"/>
  <c r="S477" i="2"/>
  <c r="R477" i="2"/>
  <c r="U476" i="2"/>
  <c r="T476" i="2"/>
  <c r="S476" i="2"/>
  <c r="R476" i="2"/>
  <c r="U475" i="2"/>
  <c r="T475" i="2"/>
  <c r="S475" i="2"/>
  <c r="R475" i="2"/>
  <c r="U474" i="2"/>
  <c r="T474" i="2"/>
  <c r="S474" i="2"/>
  <c r="R474" i="2"/>
  <c r="U473" i="2"/>
  <c r="T473" i="2"/>
  <c r="S473" i="2"/>
  <c r="R473" i="2"/>
  <c r="U472" i="2"/>
  <c r="T472" i="2"/>
  <c r="S472" i="2"/>
  <c r="R472" i="2"/>
  <c r="U471" i="2"/>
  <c r="T471" i="2"/>
  <c r="S471" i="2"/>
  <c r="R471" i="2"/>
  <c r="U470" i="2"/>
  <c r="T470" i="2"/>
  <c r="S470" i="2"/>
  <c r="R470" i="2"/>
  <c r="U469" i="2"/>
  <c r="T469" i="2"/>
  <c r="S469" i="2"/>
  <c r="R469" i="2"/>
  <c r="U468" i="2"/>
  <c r="T468" i="2"/>
  <c r="S468" i="2"/>
  <c r="R468" i="2"/>
  <c r="U467" i="2"/>
  <c r="T467" i="2"/>
  <c r="S467" i="2"/>
  <c r="R467" i="2"/>
  <c r="U466" i="2"/>
  <c r="T466" i="2"/>
  <c r="S466" i="2"/>
  <c r="R466" i="2"/>
  <c r="U465" i="2"/>
  <c r="T465" i="2"/>
  <c r="S465" i="2"/>
  <c r="R465" i="2"/>
  <c r="U464" i="2"/>
  <c r="T464" i="2"/>
  <c r="S464" i="2"/>
  <c r="R464" i="2"/>
  <c r="U463" i="2"/>
  <c r="T463" i="2"/>
  <c r="S463" i="2"/>
  <c r="R463" i="2"/>
  <c r="U462" i="2"/>
  <c r="T462" i="2"/>
  <c r="S462" i="2"/>
  <c r="R462" i="2"/>
  <c r="U461" i="2"/>
  <c r="T461" i="2"/>
  <c r="S461" i="2"/>
  <c r="R461" i="2"/>
  <c r="U460" i="2"/>
  <c r="T460" i="2"/>
  <c r="S460" i="2"/>
  <c r="R460" i="2"/>
  <c r="U459" i="2"/>
  <c r="T459" i="2"/>
  <c r="S459" i="2"/>
  <c r="R459" i="2"/>
  <c r="U458" i="2"/>
  <c r="T458" i="2"/>
  <c r="S458" i="2"/>
  <c r="R458" i="2"/>
  <c r="U457" i="2"/>
  <c r="T457" i="2"/>
  <c r="S457" i="2"/>
  <c r="R457" i="2"/>
  <c r="U456" i="2"/>
  <c r="T456" i="2"/>
  <c r="S456" i="2"/>
  <c r="R456" i="2"/>
  <c r="U455" i="2"/>
  <c r="T455" i="2"/>
  <c r="S455" i="2"/>
  <c r="R455" i="2"/>
  <c r="U454" i="2"/>
  <c r="T454" i="2"/>
  <c r="S454" i="2"/>
  <c r="R454" i="2"/>
  <c r="U453" i="2"/>
  <c r="T453" i="2"/>
  <c r="S453" i="2"/>
  <c r="R453" i="2"/>
  <c r="U452" i="2"/>
  <c r="T452" i="2"/>
  <c r="S452" i="2"/>
  <c r="R452" i="2"/>
  <c r="U451" i="2"/>
  <c r="T451" i="2"/>
  <c r="S451" i="2"/>
  <c r="R451" i="2"/>
  <c r="U450" i="2"/>
  <c r="T450" i="2"/>
  <c r="S450" i="2"/>
  <c r="R450" i="2"/>
  <c r="U449" i="2"/>
  <c r="T449" i="2"/>
  <c r="S449" i="2"/>
  <c r="R449" i="2"/>
  <c r="U448" i="2"/>
  <c r="T448" i="2"/>
  <c r="S448" i="2"/>
  <c r="R448" i="2"/>
  <c r="U447" i="2"/>
  <c r="T447" i="2"/>
  <c r="S447" i="2"/>
  <c r="R447" i="2"/>
  <c r="U446" i="2"/>
  <c r="T446" i="2"/>
  <c r="S446" i="2"/>
  <c r="R446" i="2"/>
  <c r="U445" i="2"/>
  <c r="T445" i="2"/>
  <c r="S445" i="2"/>
  <c r="R445" i="2"/>
  <c r="U444" i="2"/>
  <c r="T444" i="2"/>
  <c r="S444" i="2"/>
  <c r="R444" i="2"/>
  <c r="U443" i="2"/>
  <c r="T443" i="2"/>
  <c r="S443" i="2"/>
  <c r="R443" i="2"/>
  <c r="U442" i="2"/>
  <c r="T442" i="2"/>
  <c r="S442" i="2"/>
  <c r="R442" i="2"/>
  <c r="U441" i="2"/>
  <c r="T441" i="2"/>
  <c r="S441" i="2"/>
  <c r="R441" i="2"/>
  <c r="U440" i="2"/>
  <c r="T440" i="2"/>
  <c r="S440" i="2"/>
  <c r="R440" i="2"/>
  <c r="U439" i="2"/>
  <c r="T439" i="2"/>
  <c r="S439" i="2"/>
  <c r="R439" i="2"/>
  <c r="U438" i="2"/>
  <c r="T438" i="2"/>
  <c r="S438" i="2"/>
  <c r="R438" i="2"/>
  <c r="U437" i="2"/>
  <c r="T437" i="2"/>
  <c r="S437" i="2"/>
  <c r="R437" i="2"/>
  <c r="U436" i="2"/>
  <c r="T436" i="2"/>
  <c r="S436" i="2"/>
  <c r="R436" i="2"/>
  <c r="U435" i="2"/>
  <c r="T435" i="2"/>
  <c r="S435" i="2"/>
  <c r="R435" i="2"/>
  <c r="U434" i="2"/>
  <c r="T434" i="2"/>
  <c r="S434" i="2"/>
  <c r="R434" i="2"/>
  <c r="U433" i="2"/>
  <c r="T433" i="2"/>
  <c r="S433" i="2"/>
  <c r="R433" i="2"/>
  <c r="U432" i="2"/>
  <c r="T432" i="2"/>
  <c r="S432" i="2"/>
  <c r="R432" i="2"/>
  <c r="U431" i="2"/>
  <c r="T431" i="2"/>
  <c r="S431" i="2"/>
  <c r="R431" i="2"/>
  <c r="U430" i="2"/>
  <c r="T430" i="2"/>
  <c r="S430" i="2"/>
  <c r="R430" i="2"/>
  <c r="U429" i="2"/>
  <c r="T429" i="2"/>
  <c r="S429" i="2"/>
  <c r="R429" i="2"/>
  <c r="U428" i="2"/>
  <c r="T428" i="2"/>
  <c r="S428" i="2"/>
  <c r="R428" i="2"/>
  <c r="U427" i="2"/>
  <c r="T427" i="2"/>
  <c r="S427" i="2"/>
  <c r="R427" i="2"/>
  <c r="U426" i="2"/>
  <c r="T426" i="2"/>
  <c r="S426" i="2"/>
  <c r="R426" i="2"/>
  <c r="U425" i="2"/>
  <c r="T425" i="2"/>
  <c r="S425" i="2"/>
  <c r="R425" i="2"/>
  <c r="U424" i="2"/>
  <c r="T424" i="2"/>
  <c r="S424" i="2"/>
  <c r="R424" i="2"/>
  <c r="U423" i="2"/>
  <c r="T423" i="2"/>
  <c r="S423" i="2"/>
  <c r="R423" i="2"/>
  <c r="U422" i="2"/>
  <c r="T422" i="2"/>
  <c r="S422" i="2"/>
  <c r="R422" i="2"/>
  <c r="U421" i="2"/>
  <c r="T421" i="2"/>
  <c r="S421" i="2"/>
  <c r="R421" i="2"/>
  <c r="U420" i="2"/>
  <c r="T420" i="2"/>
  <c r="S420" i="2"/>
  <c r="R420" i="2"/>
  <c r="U419" i="2"/>
  <c r="T419" i="2"/>
  <c r="S419" i="2"/>
  <c r="R419" i="2"/>
  <c r="U418" i="2"/>
  <c r="T418" i="2"/>
  <c r="S418" i="2"/>
  <c r="R418" i="2"/>
  <c r="U417" i="2"/>
  <c r="T417" i="2"/>
  <c r="S417" i="2"/>
  <c r="R417" i="2"/>
  <c r="U416" i="2"/>
  <c r="T416" i="2"/>
  <c r="S416" i="2"/>
  <c r="R416" i="2"/>
  <c r="U415" i="2"/>
  <c r="T415" i="2"/>
  <c r="S415" i="2"/>
  <c r="R415" i="2"/>
  <c r="U414" i="2"/>
  <c r="T414" i="2"/>
  <c r="S414" i="2"/>
  <c r="R414" i="2"/>
  <c r="U413" i="2"/>
  <c r="T413" i="2"/>
  <c r="S413" i="2"/>
  <c r="R413" i="2"/>
  <c r="U412" i="2"/>
  <c r="T412" i="2"/>
  <c r="S412" i="2"/>
  <c r="R412" i="2"/>
  <c r="U411" i="2"/>
  <c r="T411" i="2"/>
  <c r="S411" i="2"/>
  <c r="R411" i="2"/>
  <c r="U410" i="2"/>
  <c r="T410" i="2"/>
  <c r="S410" i="2"/>
  <c r="R410" i="2"/>
  <c r="U409" i="2"/>
  <c r="T409" i="2"/>
  <c r="S409" i="2"/>
  <c r="R409" i="2"/>
  <c r="U408" i="2"/>
  <c r="T408" i="2"/>
  <c r="S408" i="2"/>
  <c r="R408" i="2"/>
  <c r="U407" i="2"/>
  <c r="T407" i="2"/>
  <c r="S407" i="2"/>
  <c r="R407" i="2"/>
  <c r="U406" i="2"/>
  <c r="T406" i="2"/>
  <c r="S406" i="2"/>
  <c r="R406" i="2"/>
  <c r="U405" i="2"/>
  <c r="T405" i="2"/>
  <c r="S405" i="2"/>
  <c r="R405" i="2"/>
  <c r="U404" i="2"/>
  <c r="T404" i="2"/>
  <c r="S404" i="2"/>
  <c r="R404" i="2"/>
  <c r="U403" i="2"/>
  <c r="T403" i="2"/>
  <c r="S403" i="2"/>
  <c r="R403" i="2"/>
  <c r="U402" i="2"/>
  <c r="T402" i="2"/>
  <c r="S402" i="2"/>
  <c r="R402" i="2"/>
  <c r="U401" i="2"/>
  <c r="T401" i="2"/>
  <c r="S401" i="2"/>
  <c r="R401" i="2"/>
  <c r="U400" i="2"/>
  <c r="T400" i="2"/>
  <c r="S400" i="2"/>
  <c r="R400" i="2"/>
  <c r="U399" i="2"/>
  <c r="T399" i="2"/>
  <c r="S399" i="2"/>
  <c r="R399" i="2"/>
  <c r="U398" i="2"/>
  <c r="T398" i="2"/>
  <c r="S398" i="2"/>
  <c r="R398" i="2"/>
  <c r="U397" i="2"/>
  <c r="T397" i="2"/>
  <c r="S397" i="2"/>
  <c r="R397" i="2"/>
  <c r="U396" i="2"/>
  <c r="T396" i="2"/>
  <c r="S396" i="2"/>
  <c r="R396" i="2"/>
  <c r="U395" i="2"/>
  <c r="T395" i="2"/>
  <c r="S395" i="2"/>
  <c r="R395" i="2"/>
  <c r="U394" i="2"/>
  <c r="T394" i="2"/>
  <c r="S394" i="2"/>
  <c r="R394" i="2"/>
  <c r="U393" i="2"/>
  <c r="T393" i="2"/>
  <c r="S393" i="2"/>
  <c r="R393" i="2"/>
  <c r="U392" i="2"/>
  <c r="T392" i="2"/>
  <c r="S392" i="2"/>
  <c r="R392" i="2"/>
  <c r="U391" i="2"/>
  <c r="T391" i="2"/>
  <c r="S391" i="2"/>
  <c r="R391" i="2"/>
  <c r="U390" i="2"/>
  <c r="T390" i="2"/>
  <c r="S390" i="2"/>
  <c r="R390" i="2"/>
  <c r="U389" i="2"/>
  <c r="T389" i="2"/>
  <c r="S389" i="2"/>
  <c r="R389" i="2"/>
  <c r="U388" i="2"/>
  <c r="T388" i="2"/>
  <c r="S388" i="2"/>
  <c r="R388" i="2"/>
  <c r="U387" i="2"/>
  <c r="T387" i="2"/>
  <c r="S387" i="2"/>
  <c r="R387" i="2"/>
  <c r="U386" i="2"/>
  <c r="T386" i="2"/>
  <c r="S386" i="2"/>
  <c r="R386" i="2"/>
  <c r="U385" i="2"/>
  <c r="T385" i="2"/>
  <c r="S385" i="2"/>
  <c r="R385" i="2"/>
  <c r="U384" i="2"/>
  <c r="T384" i="2"/>
  <c r="S384" i="2"/>
  <c r="R384" i="2"/>
  <c r="U383" i="2"/>
  <c r="T383" i="2"/>
  <c r="S383" i="2"/>
  <c r="R383" i="2"/>
  <c r="U382" i="2"/>
  <c r="T382" i="2"/>
  <c r="S382" i="2"/>
  <c r="R382" i="2"/>
  <c r="U381" i="2"/>
  <c r="T381" i="2"/>
  <c r="S381" i="2"/>
  <c r="R381" i="2"/>
  <c r="U380" i="2"/>
  <c r="T380" i="2"/>
  <c r="S380" i="2"/>
  <c r="R380" i="2"/>
  <c r="U379" i="2"/>
  <c r="T379" i="2"/>
  <c r="S379" i="2"/>
  <c r="R379" i="2"/>
  <c r="U378" i="2"/>
  <c r="T378" i="2"/>
  <c r="S378" i="2"/>
  <c r="R378" i="2"/>
  <c r="U377" i="2"/>
  <c r="T377" i="2"/>
  <c r="S377" i="2"/>
  <c r="R377" i="2"/>
  <c r="U376" i="2"/>
  <c r="T376" i="2"/>
  <c r="S376" i="2"/>
  <c r="R376" i="2"/>
  <c r="U375" i="2"/>
  <c r="T375" i="2"/>
  <c r="S375" i="2"/>
  <c r="R375" i="2"/>
  <c r="U374" i="2"/>
  <c r="T374" i="2"/>
  <c r="S374" i="2"/>
  <c r="R374" i="2"/>
  <c r="U373" i="2"/>
  <c r="T373" i="2"/>
  <c r="S373" i="2"/>
  <c r="R373" i="2"/>
  <c r="U372" i="2"/>
  <c r="T372" i="2"/>
  <c r="S372" i="2"/>
  <c r="R372" i="2"/>
  <c r="U371" i="2"/>
  <c r="T371" i="2"/>
  <c r="S371" i="2"/>
  <c r="R371" i="2"/>
  <c r="U370" i="2"/>
  <c r="T370" i="2"/>
  <c r="S370" i="2"/>
  <c r="R370" i="2"/>
  <c r="U369" i="2"/>
  <c r="T369" i="2"/>
  <c r="S369" i="2"/>
  <c r="R369" i="2"/>
  <c r="U368" i="2"/>
  <c r="T368" i="2"/>
  <c r="S368" i="2"/>
  <c r="R368" i="2"/>
  <c r="U367" i="2"/>
  <c r="T367" i="2"/>
  <c r="S367" i="2"/>
  <c r="R367" i="2"/>
  <c r="U366" i="2"/>
  <c r="T366" i="2"/>
  <c r="S366" i="2"/>
  <c r="R366" i="2"/>
  <c r="U365" i="2"/>
  <c r="T365" i="2"/>
  <c r="S365" i="2"/>
  <c r="R365" i="2"/>
  <c r="U364" i="2"/>
  <c r="T364" i="2"/>
  <c r="S364" i="2"/>
  <c r="R364" i="2"/>
  <c r="U363" i="2"/>
  <c r="T363" i="2"/>
  <c r="S363" i="2"/>
  <c r="R363" i="2"/>
  <c r="U362" i="2"/>
  <c r="T362" i="2"/>
  <c r="S362" i="2"/>
  <c r="R362" i="2"/>
  <c r="U361" i="2"/>
  <c r="T361" i="2"/>
  <c r="S361" i="2"/>
  <c r="R361" i="2"/>
  <c r="U360" i="2"/>
  <c r="T360" i="2"/>
  <c r="S360" i="2"/>
  <c r="R360" i="2"/>
  <c r="U359" i="2"/>
  <c r="T359" i="2"/>
  <c r="S359" i="2"/>
  <c r="R359" i="2"/>
  <c r="U358" i="2"/>
  <c r="T358" i="2"/>
  <c r="S358" i="2"/>
  <c r="R358" i="2"/>
  <c r="U357" i="2"/>
  <c r="T357" i="2"/>
  <c r="S357" i="2"/>
  <c r="R357" i="2"/>
  <c r="U356" i="2"/>
  <c r="T356" i="2"/>
  <c r="S356" i="2"/>
  <c r="R356" i="2"/>
  <c r="U355" i="2"/>
  <c r="T355" i="2"/>
  <c r="S355" i="2"/>
  <c r="R355" i="2"/>
  <c r="U354" i="2"/>
  <c r="T354" i="2"/>
  <c r="S354" i="2"/>
  <c r="R354" i="2"/>
  <c r="U353" i="2"/>
  <c r="T353" i="2"/>
  <c r="S353" i="2"/>
  <c r="R353" i="2"/>
  <c r="U352" i="2"/>
  <c r="T352" i="2"/>
  <c r="S352" i="2"/>
  <c r="R352" i="2"/>
  <c r="U351" i="2"/>
  <c r="T351" i="2"/>
  <c r="S351" i="2"/>
  <c r="R351" i="2"/>
  <c r="U350" i="2"/>
  <c r="T350" i="2"/>
  <c r="S350" i="2"/>
  <c r="R350" i="2"/>
  <c r="U349" i="2"/>
  <c r="T349" i="2"/>
  <c r="S349" i="2"/>
  <c r="R349" i="2"/>
  <c r="U348" i="2"/>
  <c r="T348" i="2"/>
  <c r="S348" i="2"/>
  <c r="R348" i="2"/>
  <c r="U347" i="2"/>
  <c r="T347" i="2"/>
  <c r="S347" i="2"/>
  <c r="R347" i="2"/>
  <c r="U346" i="2"/>
  <c r="T346" i="2"/>
  <c r="S346" i="2"/>
  <c r="R346" i="2"/>
  <c r="U345" i="2"/>
  <c r="T345" i="2"/>
  <c r="S345" i="2"/>
  <c r="R345" i="2"/>
  <c r="U344" i="2"/>
  <c r="T344" i="2"/>
  <c r="S344" i="2"/>
  <c r="R344" i="2"/>
  <c r="U343" i="2"/>
  <c r="T343" i="2"/>
  <c r="S343" i="2"/>
  <c r="R343" i="2"/>
  <c r="U342" i="2"/>
  <c r="T342" i="2"/>
  <c r="S342" i="2"/>
  <c r="R342" i="2"/>
  <c r="U341" i="2"/>
  <c r="T341" i="2"/>
  <c r="S341" i="2"/>
  <c r="R341" i="2"/>
  <c r="U340" i="2"/>
  <c r="T340" i="2"/>
  <c r="S340" i="2"/>
  <c r="R340" i="2"/>
  <c r="U339" i="2"/>
  <c r="T339" i="2"/>
  <c r="S339" i="2"/>
  <c r="R339" i="2"/>
  <c r="U338" i="2"/>
  <c r="T338" i="2"/>
  <c r="S338" i="2"/>
  <c r="R338" i="2"/>
  <c r="U337" i="2"/>
  <c r="T337" i="2"/>
  <c r="S337" i="2"/>
  <c r="R337" i="2"/>
  <c r="U336" i="2"/>
  <c r="T336" i="2"/>
  <c r="S336" i="2"/>
  <c r="R336" i="2"/>
  <c r="U335" i="2"/>
  <c r="T335" i="2"/>
  <c r="S335" i="2"/>
  <c r="R335" i="2"/>
  <c r="U334" i="2"/>
  <c r="T334" i="2"/>
  <c r="S334" i="2"/>
  <c r="R334" i="2"/>
  <c r="U333" i="2"/>
  <c r="T333" i="2"/>
  <c r="S333" i="2"/>
  <c r="R333" i="2"/>
  <c r="U332" i="2"/>
  <c r="T332" i="2"/>
  <c r="S332" i="2"/>
  <c r="R332" i="2"/>
  <c r="U331" i="2"/>
  <c r="T331" i="2"/>
  <c r="S331" i="2"/>
  <c r="R331" i="2"/>
  <c r="U330" i="2"/>
  <c r="T330" i="2"/>
  <c r="S330" i="2"/>
  <c r="R330" i="2"/>
  <c r="U329" i="2"/>
  <c r="T329" i="2"/>
  <c r="S329" i="2"/>
  <c r="R329" i="2"/>
  <c r="U328" i="2"/>
  <c r="T328" i="2"/>
  <c r="S328" i="2"/>
  <c r="R328" i="2"/>
  <c r="U327" i="2"/>
  <c r="T327" i="2"/>
  <c r="S327" i="2"/>
  <c r="R327" i="2"/>
  <c r="U326" i="2"/>
  <c r="T326" i="2"/>
  <c r="S326" i="2"/>
  <c r="R326" i="2"/>
  <c r="U325" i="2"/>
  <c r="T325" i="2"/>
  <c r="S325" i="2"/>
  <c r="R325" i="2"/>
  <c r="U324" i="2"/>
  <c r="T324" i="2"/>
  <c r="S324" i="2"/>
  <c r="R324" i="2"/>
  <c r="U323" i="2"/>
  <c r="T323" i="2"/>
  <c r="S323" i="2"/>
  <c r="R323" i="2"/>
  <c r="U322" i="2"/>
  <c r="T322" i="2"/>
  <c r="S322" i="2"/>
  <c r="R322" i="2"/>
  <c r="U321" i="2"/>
  <c r="T321" i="2"/>
  <c r="S321" i="2"/>
  <c r="R321" i="2"/>
  <c r="U320" i="2"/>
  <c r="T320" i="2"/>
  <c r="S320" i="2"/>
  <c r="R320" i="2"/>
  <c r="U319" i="2"/>
  <c r="T319" i="2"/>
  <c r="S319" i="2"/>
  <c r="R319" i="2"/>
  <c r="U318" i="2"/>
  <c r="T318" i="2"/>
  <c r="S318" i="2"/>
  <c r="R318" i="2"/>
  <c r="U317" i="2"/>
  <c r="T317" i="2"/>
  <c r="S317" i="2"/>
  <c r="R317" i="2"/>
  <c r="U316" i="2"/>
  <c r="T316" i="2"/>
  <c r="S316" i="2"/>
  <c r="R316" i="2"/>
  <c r="U315" i="2"/>
  <c r="T315" i="2"/>
  <c r="S315" i="2"/>
  <c r="R315" i="2"/>
  <c r="U314" i="2"/>
  <c r="T314" i="2"/>
  <c r="S314" i="2"/>
  <c r="R314" i="2"/>
  <c r="U313" i="2"/>
  <c r="T313" i="2"/>
  <c r="S313" i="2"/>
  <c r="R313" i="2"/>
  <c r="U312" i="2"/>
  <c r="T312" i="2"/>
  <c r="S312" i="2"/>
  <c r="R312" i="2"/>
  <c r="U311" i="2"/>
  <c r="T311" i="2"/>
  <c r="S311" i="2"/>
  <c r="R311" i="2"/>
  <c r="U310" i="2"/>
  <c r="T310" i="2"/>
  <c r="S310" i="2"/>
  <c r="R310" i="2"/>
  <c r="U309" i="2"/>
  <c r="T309" i="2"/>
  <c r="S309" i="2"/>
  <c r="R309" i="2"/>
  <c r="U308" i="2"/>
  <c r="T308" i="2"/>
  <c r="S308" i="2"/>
  <c r="R308" i="2"/>
  <c r="U307" i="2"/>
  <c r="T307" i="2"/>
  <c r="S307" i="2"/>
  <c r="R307" i="2"/>
  <c r="U306" i="2"/>
  <c r="T306" i="2"/>
  <c r="S306" i="2"/>
  <c r="R306" i="2"/>
  <c r="U305" i="2"/>
  <c r="T305" i="2"/>
  <c r="S305" i="2"/>
  <c r="R305" i="2"/>
  <c r="U304" i="2"/>
  <c r="T304" i="2"/>
  <c r="S304" i="2"/>
  <c r="R304" i="2"/>
  <c r="U303" i="2"/>
  <c r="T303" i="2"/>
  <c r="S303" i="2"/>
  <c r="R303" i="2"/>
  <c r="U302" i="2"/>
  <c r="T302" i="2"/>
  <c r="S302" i="2"/>
  <c r="R302" i="2"/>
  <c r="U301" i="2"/>
  <c r="T301" i="2"/>
  <c r="S301" i="2"/>
  <c r="R301" i="2"/>
  <c r="U300" i="2"/>
  <c r="T300" i="2"/>
  <c r="S300" i="2"/>
  <c r="R300" i="2"/>
  <c r="U299" i="2"/>
  <c r="T299" i="2"/>
  <c r="S299" i="2"/>
  <c r="R299" i="2"/>
  <c r="U298" i="2"/>
  <c r="T298" i="2"/>
  <c r="S298" i="2"/>
  <c r="R298" i="2"/>
  <c r="U297" i="2"/>
  <c r="T297" i="2"/>
  <c r="S297" i="2"/>
  <c r="R297" i="2"/>
  <c r="U296" i="2"/>
  <c r="T296" i="2"/>
  <c r="S296" i="2"/>
  <c r="R296" i="2"/>
  <c r="U295" i="2"/>
  <c r="T295" i="2"/>
  <c r="S295" i="2"/>
  <c r="R295" i="2"/>
  <c r="U294" i="2"/>
  <c r="T294" i="2"/>
  <c r="S294" i="2"/>
  <c r="R294" i="2"/>
  <c r="U293" i="2"/>
  <c r="T293" i="2"/>
  <c r="S293" i="2"/>
  <c r="R293" i="2"/>
  <c r="U292" i="2"/>
  <c r="T292" i="2"/>
  <c r="S292" i="2"/>
  <c r="R292" i="2"/>
  <c r="U291" i="2"/>
  <c r="T291" i="2"/>
  <c r="S291" i="2"/>
  <c r="R291" i="2"/>
  <c r="U290" i="2"/>
  <c r="T290" i="2"/>
  <c r="S290" i="2"/>
  <c r="R290" i="2"/>
  <c r="U289" i="2"/>
  <c r="T289" i="2"/>
  <c r="S289" i="2"/>
  <c r="R289" i="2"/>
  <c r="U288" i="2"/>
  <c r="T288" i="2"/>
  <c r="S288" i="2"/>
  <c r="R288" i="2"/>
  <c r="U287" i="2"/>
  <c r="T287" i="2"/>
  <c r="S287" i="2"/>
  <c r="R287" i="2"/>
  <c r="U286" i="2"/>
  <c r="T286" i="2"/>
  <c r="S286" i="2"/>
  <c r="R286" i="2"/>
  <c r="U285" i="2"/>
  <c r="T285" i="2"/>
  <c r="S285" i="2"/>
  <c r="R285" i="2"/>
  <c r="U284" i="2"/>
  <c r="T284" i="2"/>
  <c r="S284" i="2"/>
  <c r="R284" i="2"/>
  <c r="U283" i="2"/>
  <c r="T283" i="2"/>
  <c r="S283" i="2"/>
  <c r="R283" i="2"/>
  <c r="U282" i="2"/>
  <c r="T282" i="2"/>
  <c r="S282" i="2"/>
  <c r="R282" i="2"/>
  <c r="U281" i="2"/>
  <c r="T281" i="2"/>
  <c r="S281" i="2"/>
  <c r="R281" i="2"/>
  <c r="U280" i="2"/>
  <c r="T280" i="2"/>
  <c r="S280" i="2"/>
  <c r="R280" i="2"/>
  <c r="U279" i="2"/>
  <c r="T279" i="2"/>
  <c r="S279" i="2"/>
  <c r="R279" i="2"/>
  <c r="U278" i="2"/>
  <c r="T278" i="2"/>
  <c r="S278" i="2"/>
  <c r="R278" i="2"/>
  <c r="U277" i="2"/>
  <c r="T277" i="2"/>
  <c r="S277" i="2"/>
  <c r="R277" i="2"/>
  <c r="U276" i="2"/>
  <c r="T276" i="2"/>
  <c r="S276" i="2"/>
  <c r="R276" i="2"/>
  <c r="U275" i="2"/>
  <c r="T275" i="2"/>
  <c r="S275" i="2"/>
  <c r="R275" i="2"/>
  <c r="U274" i="2"/>
  <c r="T274" i="2"/>
  <c r="S274" i="2"/>
  <c r="R274" i="2"/>
  <c r="U273" i="2"/>
  <c r="T273" i="2"/>
  <c r="S273" i="2"/>
  <c r="R273" i="2"/>
  <c r="U272" i="2"/>
  <c r="T272" i="2"/>
  <c r="S272" i="2"/>
  <c r="R272" i="2"/>
  <c r="U271" i="2"/>
  <c r="T271" i="2"/>
  <c r="S271" i="2"/>
  <c r="R271" i="2"/>
  <c r="U270" i="2"/>
  <c r="T270" i="2"/>
  <c r="S270" i="2"/>
  <c r="R270" i="2"/>
  <c r="U269" i="2"/>
  <c r="T269" i="2"/>
  <c r="S269" i="2"/>
  <c r="R269" i="2"/>
  <c r="U268" i="2"/>
  <c r="T268" i="2"/>
  <c r="S268" i="2"/>
  <c r="R268" i="2"/>
  <c r="U267" i="2"/>
  <c r="T267" i="2"/>
  <c r="S267" i="2"/>
  <c r="R267" i="2"/>
  <c r="U266" i="2"/>
  <c r="T266" i="2"/>
  <c r="S266" i="2"/>
  <c r="R266" i="2"/>
  <c r="U265" i="2"/>
  <c r="T265" i="2"/>
  <c r="S265" i="2"/>
  <c r="R265" i="2"/>
  <c r="U264" i="2"/>
  <c r="T264" i="2"/>
  <c r="S264" i="2"/>
  <c r="R264" i="2"/>
  <c r="U263" i="2"/>
  <c r="T263" i="2"/>
  <c r="S263" i="2"/>
  <c r="R263" i="2"/>
  <c r="U262" i="2"/>
  <c r="T262" i="2"/>
  <c r="S262" i="2"/>
  <c r="R262" i="2"/>
  <c r="U261" i="2"/>
  <c r="T261" i="2"/>
  <c r="S261" i="2"/>
  <c r="R261" i="2"/>
  <c r="U260" i="2"/>
  <c r="T260" i="2"/>
  <c r="S260" i="2"/>
  <c r="R260" i="2"/>
  <c r="U259" i="2"/>
  <c r="T259" i="2"/>
  <c r="S259" i="2"/>
  <c r="R259" i="2"/>
  <c r="U258" i="2"/>
  <c r="T258" i="2"/>
  <c r="S258" i="2"/>
  <c r="R258" i="2"/>
  <c r="U257" i="2"/>
  <c r="T257" i="2"/>
  <c r="S257" i="2"/>
  <c r="R257" i="2"/>
  <c r="U256" i="2"/>
  <c r="T256" i="2"/>
  <c r="S256" i="2"/>
  <c r="R256" i="2"/>
  <c r="U255" i="2"/>
  <c r="T255" i="2"/>
  <c r="S255" i="2"/>
  <c r="R255" i="2"/>
  <c r="U254" i="2"/>
  <c r="T254" i="2"/>
  <c r="S254" i="2"/>
  <c r="R254" i="2"/>
  <c r="U253" i="2"/>
  <c r="T253" i="2"/>
  <c r="S253" i="2"/>
  <c r="R253" i="2"/>
  <c r="U252" i="2"/>
  <c r="T252" i="2"/>
  <c r="S252" i="2"/>
  <c r="R252" i="2"/>
  <c r="U251" i="2"/>
  <c r="T251" i="2"/>
  <c r="S251" i="2"/>
  <c r="R251" i="2"/>
  <c r="U250" i="2"/>
  <c r="T250" i="2"/>
  <c r="S250" i="2"/>
  <c r="R250" i="2"/>
  <c r="U249" i="2"/>
  <c r="T249" i="2"/>
  <c r="S249" i="2"/>
  <c r="R249" i="2"/>
  <c r="U248" i="2"/>
  <c r="T248" i="2"/>
  <c r="S248" i="2"/>
  <c r="R248" i="2"/>
  <c r="U247" i="2"/>
  <c r="T247" i="2"/>
  <c r="S247" i="2"/>
  <c r="R247" i="2"/>
  <c r="U246" i="2"/>
  <c r="T246" i="2"/>
  <c r="S246" i="2"/>
  <c r="R246" i="2"/>
  <c r="U245" i="2"/>
  <c r="T245" i="2"/>
  <c r="S245" i="2"/>
  <c r="R245" i="2"/>
  <c r="U244" i="2"/>
  <c r="T244" i="2"/>
  <c r="S244" i="2"/>
  <c r="R244" i="2"/>
  <c r="U243" i="2"/>
  <c r="T243" i="2"/>
  <c r="S243" i="2"/>
  <c r="R243" i="2"/>
  <c r="U242" i="2"/>
  <c r="T242" i="2"/>
  <c r="S242" i="2"/>
  <c r="R242" i="2"/>
  <c r="U241" i="2"/>
  <c r="T241" i="2"/>
  <c r="S241" i="2"/>
  <c r="R241" i="2"/>
  <c r="U240" i="2"/>
  <c r="T240" i="2"/>
  <c r="S240" i="2"/>
  <c r="R240" i="2"/>
  <c r="U239" i="2"/>
  <c r="T239" i="2"/>
  <c r="S239" i="2"/>
  <c r="R239" i="2"/>
  <c r="U238" i="2"/>
  <c r="T238" i="2"/>
  <c r="S238" i="2"/>
  <c r="R238" i="2"/>
  <c r="U237" i="2"/>
  <c r="T237" i="2"/>
  <c r="S237" i="2"/>
  <c r="R237" i="2"/>
  <c r="U236" i="2"/>
  <c r="T236" i="2"/>
  <c r="S236" i="2"/>
  <c r="R236" i="2"/>
  <c r="U235" i="2"/>
  <c r="T235" i="2"/>
  <c r="S235" i="2"/>
  <c r="R235" i="2"/>
  <c r="U234" i="2"/>
  <c r="T234" i="2"/>
  <c r="S234" i="2"/>
  <c r="R234" i="2"/>
  <c r="U233" i="2"/>
  <c r="T233" i="2"/>
  <c r="S233" i="2"/>
  <c r="R233" i="2"/>
  <c r="U232" i="2"/>
  <c r="T232" i="2"/>
  <c r="S232" i="2"/>
  <c r="R232" i="2"/>
  <c r="U231" i="2"/>
  <c r="T231" i="2"/>
  <c r="S231" i="2"/>
  <c r="R231" i="2"/>
  <c r="U230" i="2"/>
  <c r="T230" i="2"/>
  <c r="S230" i="2"/>
  <c r="R230" i="2"/>
  <c r="U229" i="2"/>
  <c r="T229" i="2"/>
  <c r="S229" i="2"/>
  <c r="R229" i="2"/>
  <c r="U228" i="2"/>
  <c r="T228" i="2"/>
  <c r="S228" i="2"/>
  <c r="R228" i="2"/>
  <c r="U227" i="2"/>
  <c r="T227" i="2"/>
  <c r="S227" i="2"/>
  <c r="R227" i="2"/>
  <c r="U226" i="2"/>
  <c r="T226" i="2"/>
  <c r="S226" i="2"/>
  <c r="R226" i="2"/>
  <c r="U225" i="2"/>
  <c r="T225" i="2"/>
  <c r="S225" i="2"/>
  <c r="R225" i="2"/>
  <c r="U224" i="2"/>
  <c r="T224" i="2"/>
  <c r="S224" i="2"/>
  <c r="R224" i="2"/>
  <c r="U223" i="2"/>
  <c r="T223" i="2"/>
  <c r="S223" i="2"/>
  <c r="R223" i="2"/>
  <c r="U222" i="2"/>
  <c r="T222" i="2"/>
  <c r="S222" i="2"/>
  <c r="R222" i="2"/>
  <c r="U221" i="2"/>
  <c r="T221" i="2"/>
  <c r="S221" i="2"/>
  <c r="R221" i="2"/>
  <c r="U220" i="2"/>
  <c r="T220" i="2"/>
  <c r="S220" i="2"/>
  <c r="R220" i="2"/>
  <c r="U219" i="2"/>
  <c r="T219" i="2"/>
  <c r="S219" i="2"/>
  <c r="R219" i="2"/>
  <c r="U218" i="2"/>
  <c r="T218" i="2"/>
  <c r="S218" i="2"/>
  <c r="R218" i="2"/>
  <c r="U217" i="2"/>
  <c r="T217" i="2"/>
  <c r="S217" i="2"/>
  <c r="R217" i="2"/>
  <c r="U216" i="2"/>
  <c r="T216" i="2"/>
  <c r="S216" i="2"/>
  <c r="R216" i="2"/>
  <c r="U215" i="2"/>
  <c r="T215" i="2"/>
  <c r="S215" i="2"/>
  <c r="R215" i="2"/>
  <c r="U214" i="2"/>
  <c r="T214" i="2"/>
  <c r="S214" i="2"/>
  <c r="R214" i="2"/>
  <c r="U213" i="2"/>
  <c r="T213" i="2"/>
  <c r="S213" i="2"/>
  <c r="R213" i="2"/>
  <c r="U212" i="2"/>
  <c r="T212" i="2"/>
  <c r="S212" i="2"/>
  <c r="R212" i="2"/>
  <c r="U211" i="2"/>
  <c r="T211" i="2"/>
  <c r="S211" i="2"/>
  <c r="R211" i="2"/>
  <c r="U210" i="2"/>
  <c r="T210" i="2"/>
  <c r="S210" i="2"/>
  <c r="R210" i="2"/>
  <c r="U209" i="2"/>
  <c r="T209" i="2"/>
  <c r="S209" i="2"/>
  <c r="R209" i="2"/>
  <c r="U208" i="2"/>
  <c r="T208" i="2"/>
  <c r="S208" i="2"/>
  <c r="R208" i="2"/>
  <c r="U207" i="2"/>
  <c r="T207" i="2"/>
  <c r="S207" i="2"/>
  <c r="R207" i="2"/>
  <c r="U206" i="2"/>
  <c r="T206" i="2"/>
  <c r="S206" i="2"/>
  <c r="R206" i="2"/>
  <c r="U205" i="2"/>
  <c r="T205" i="2"/>
  <c r="S205" i="2"/>
  <c r="R205" i="2"/>
  <c r="U204" i="2"/>
  <c r="T204" i="2"/>
  <c r="S204" i="2"/>
  <c r="R204" i="2"/>
  <c r="U203" i="2"/>
  <c r="T203" i="2"/>
  <c r="S203" i="2"/>
  <c r="R203" i="2"/>
  <c r="U202" i="2"/>
  <c r="T202" i="2"/>
  <c r="S202" i="2"/>
  <c r="R202" i="2"/>
  <c r="U201" i="2"/>
  <c r="T201" i="2"/>
  <c r="S201" i="2"/>
  <c r="R201" i="2"/>
  <c r="U200" i="2"/>
  <c r="T200" i="2"/>
  <c r="S200" i="2"/>
  <c r="R200" i="2"/>
  <c r="U199" i="2"/>
  <c r="T199" i="2"/>
  <c r="S199" i="2"/>
  <c r="R199" i="2"/>
  <c r="U198" i="2"/>
  <c r="T198" i="2"/>
  <c r="S198" i="2"/>
  <c r="R198" i="2"/>
  <c r="U197" i="2"/>
  <c r="T197" i="2"/>
  <c r="S197" i="2"/>
  <c r="R197" i="2"/>
  <c r="U196" i="2"/>
  <c r="T196" i="2"/>
  <c r="S196" i="2"/>
  <c r="R196" i="2"/>
  <c r="U195" i="2"/>
  <c r="T195" i="2"/>
  <c r="S195" i="2"/>
  <c r="R195" i="2"/>
  <c r="U194" i="2"/>
  <c r="T194" i="2"/>
  <c r="S194" i="2"/>
  <c r="R194" i="2"/>
  <c r="U193" i="2"/>
  <c r="T193" i="2"/>
  <c r="S193" i="2"/>
  <c r="R193" i="2"/>
  <c r="U192" i="2"/>
  <c r="T192" i="2"/>
  <c r="S192" i="2"/>
  <c r="R192" i="2"/>
  <c r="U191" i="2"/>
  <c r="T191" i="2"/>
  <c r="S191" i="2"/>
  <c r="R191" i="2"/>
  <c r="U190" i="2"/>
  <c r="T190" i="2"/>
  <c r="S190" i="2"/>
  <c r="R190" i="2"/>
  <c r="U189" i="2"/>
  <c r="T189" i="2"/>
  <c r="S189" i="2"/>
  <c r="R189" i="2"/>
  <c r="U188" i="2"/>
  <c r="T188" i="2"/>
  <c r="S188" i="2"/>
  <c r="R188" i="2"/>
  <c r="U187" i="2"/>
  <c r="T187" i="2"/>
  <c r="S187" i="2"/>
  <c r="R187" i="2"/>
  <c r="U186" i="2"/>
  <c r="T186" i="2"/>
  <c r="S186" i="2"/>
  <c r="R186" i="2"/>
  <c r="U185" i="2"/>
  <c r="T185" i="2"/>
  <c r="S185" i="2"/>
  <c r="R185" i="2"/>
  <c r="U184" i="2"/>
  <c r="T184" i="2"/>
  <c r="S184" i="2"/>
  <c r="R184" i="2"/>
  <c r="U183" i="2"/>
  <c r="T183" i="2"/>
  <c r="S183" i="2"/>
  <c r="R183" i="2"/>
  <c r="U182" i="2"/>
  <c r="T182" i="2"/>
  <c r="S182" i="2"/>
  <c r="R182" i="2"/>
  <c r="U181" i="2"/>
  <c r="T181" i="2"/>
  <c r="S181" i="2"/>
  <c r="R181" i="2"/>
  <c r="U180" i="2"/>
  <c r="T180" i="2"/>
  <c r="S180" i="2"/>
  <c r="R180" i="2"/>
  <c r="U179" i="2"/>
  <c r="T179" i="2"/>
  <c r="S179" i="2"/>
  <c r="R179" i="2"/>
  <c r="U178" i="2"/>
  <c r="T178" i="2"/>
  <c r="S178" i="2"/>
  <c r="R178" i="2"/>
  <c r="U177" i="2"/>
  <c r="T177" i="2"/>
  <c r="S177" i="2"/>
  <c r="R177" i="2"/>
  <c r="U176" i="2"/>
  <c r="T176" i="2"/>
  <c r="S176" i="2"/>
  <c r="R176" i="2"/>
  <c r="U175" i="2"/>
  <c r="T175" i="2"/>
  <c r="S175" i="2"/>
  <c r="R175" i="2"/>
  <c r="U174" i="2"/>
  <c r="T174" i="2"/>
  <c r="S174" i="2"/>
  <c r="R174" i="2"/>
  <c r="U173" i="2"/>
  <c r="T173" i="2"/>
  <c r="S173" i="2"/>
  <c r="R173" i="2"/>
  <c r="U172" i="2"/>
  <c r="T172" i="2"/>
  <c r="S172" i="2"/>
  <c r="R172" i="2"/>
  <c r="U171" i="2"/>
  <c r="T171" i="2"/>
  <c r="S171" i="2"/>
  <c r="R171" i="2"/>
  <c r="U170" i="2"/>
  <c r="T170" i="2"/>
  <c r="S170" i="2"/>
  <c r="R170" i="2"/>
  <c r="U169" i="2"/>
  <c r="T169" i="2"/>
  <c r="S169" i="2"/>
  <c r="R169" i="2"/>
  <c r="U168" i="2"/>
  <c r="T168" i="2"/>
  <c r="S168" i="2"/>
  <c r="R168" i="2"/>
  <c r="U167" i="2"/>
  <c r="T167" i="2"/>
  <c r="S167" i="2"/>
  <c r="R167" i="2"/>
  <c r="U166" i="2"/>
  <c r="T166" i="2"/>
  <c r="S166" i="2"/>
  <c r="R166" i="2"/>
  <c r="U165" i="2"/>
  <c r="T165" i="2"/>
  <c r="S165" i="2"/>
  <c r="R165" i="2"/>
  <c r="U164" i="2"/>
  <c r="T164" i="2"/>
  <c r="S164" i="2"/>
  <c r="R164" i="2"/>
  <c r="U163" i="2"/>
  <c r="T163" i="2"/>
  <c r="S163" i="2"/>
  <c r="R163" i="2"/>
  <c r="U162" i="2"/>
  <c r="T162" i="2"/>
  <c r="S162" i="2"/>
  <c r="R162" i="2"/>
  <c r="U161" i="2"/>
  <c r="T161" i="2"/>
  <c r="S161" i="2"/>
  <c r="R161" i="2"/>
  <c r="U160" i="2"/>
  <c r="T160" i="2"/>
  <c r="S160" i="2"/>
  <c r="R160" i="2"/>
  <c r="U159" i="2"/>
  <c r="T159" i="2"/>
  <c r="S159" i="2"/>
  <c r="R159" i="2"/>
  <c r="U158" i="2"/>
  <c r="T158" i="2"/>
  <c r="S158" i="2"/>
  <c r="R158" i="2"/>
  <c r="U157" i="2"/>
  <c r="T157" i="2"/>
  <c r="S157" i="2"/>
  <c r="R157" i="2"/>
  <c r="U156" i="2"/>
  <c r="T156" i="2"/>
  <c r="S156" i="2"/>
  <c r="R156" i="2"/>
  <c r="U155" i="2"/>
  <c r="T155" i="2"/>
  <c r="S155" i="2"/>
  <c r="R155" i="2"/>
  <c r="U154" i="2"/>
  <c r="T154" i="2"/>
  <c r="S154" i="2"/>
  <c r="R154" i="2"/>
  <c r="U153" i="2"/>
  <c r="T153" i="2"/>
  <c r="S153" i="2"/>
  <c r="R153" i="2"/>
  <c r="U152" i="2"/>
  <c r="T152" i="2"/>
  <c r="S152" i="2"/>
  <c r="R152" i="2"/>
  <c r="U151" i="2"/>
  <c r="T151" i="2"/>
  <c r="S151" i="2"/>
  <c r="R151" i="2"/>
  <c r="U150" i="2"/>
  <c r="T150" i="2"/>
  <c r="S150" i="2"/>
  <c r="R150" i="2"/>
  <c r="U149" i="2"/>
  <c r="T149" i="2"/>
  <c r="S149" i="2"/>
  <c r="R149" i="2"/>
  <c r="U148" i="2"/>
  <c r="T148" i="2"/>
  <c r="S148" i="2"/>
  <c r="R148" i="2"/>
  <c r="U147" i="2"/>
  <c r="T147" i="2"/>
  <c r="S147" i="2"/>
  <c r="R147" i="2"/>
  <c r="U146" i="2"/>
  <c r="T146" i="2"/>
  <c r="S146" i="2"/>
  <c r="R146" i="2"/>
  <c r="U145" i="2"/>
  <c r="T145" i="2"/>
  <c r="S145" i="2"/>
  <c r="R145" i="2"/>
  <c r="U144" i="2"/>
  <c r="T144" i="2"/>
  <c r="S144" i="2"/>
  <c r="R144" i="2"/>
  <c r="U143" i="2"/>
  <c r="T143" i="2"/>
  <c r="S143" i="2"/>
  <c r="R143" i="2"/>
  <c r="U142" i="2"/>
  <c r="T142" i="2"/>
  <c r="S142" i="2"/>
  <c r="R142" i="2"/>
  <c r="U141" i="2"/>
  <c r="T141" i="2"/>
  <c r="S141" i="2"/>
  <c r="R141" i="2"/>
  <c r="U140" i="2"/>
  <c r="T140" i="2"/>
  <c r="S140" i="2"/>
  <c r="R140" i="2"/>
  <c r="U139" i="2"/>
  <c r="T139" i="2"/>
  <c r="S139" i="2"/>
  <c r="R139" i="2"/>
  <c r="U138" i="2"/>
  <c r="T138" i="2"/>
  <c r="S138" i="2"/>
  <c r="R138" i="2"/>
  <c r="U137" i="2"/>
  <c r="T137" i="2"/>
  <c r="S137" i="2"/>
  <c r="R137" i="2"/>
  <c r="U136" i="2"/>
  <c r="T136" i="2"/>
  <c r="S136" i="2"/>
  <c r="R136" i="2"/>
  <c r="U135" i="2"/>
  <c r="T135" i="2"/>
  <c r="S135" i="2"/>
  <c r="R135" i="2"/>
  <c r="U134" i="2"/>
  <c r="T134" i="2"/>
  <c r="S134" i="2"/>
  <c r="R134" i="2"/>
  <c r="U133" i="2"/>
  <c r="T133" i="2"/>
  <c r="S133" i="2"/>
  <c r="R133" i="2"/>
  <c r="U132" i="2"/>
  <c r="T132" i="2"/>
  <c r="S132" i="2"/>
  <c r="R132" i="2"/>
  <c r="U131" i="2"/>
  <c r="T131" i="2"/>
  <c r="S131" i="2"/>
  <c r="R131" i="2"/>
  <c r="U130" i="2"/>
  <c r="T130" i="2"/>
  <c r="S130" i="2"/>
  <c r="R130" i="2"/>
  <c r="U129" i="2"/>
  <c r="T129" i="2"/>
  <c r="S129" i="2"/>
  <c r="R129" i="2"/>
  <c r="U128" i="2"/>
  <c r="T128" i="2"/>
  <c r="S128" i="2"/>
  <c r="R128" i="2"/>
  <c r="U127" i="2"/>
  <c r="T127" i="2"/>
  <c r="S127" i="2"/>
  <c r="R127" i="2"/>
  <c r="U126" i="2"/>
  <c r="T126" i="2"/>
  <c r="S126" i="2"/>
  <c r="R126" i="2"/>
  <c r="U125" i="2"/>
  <c r="T125" i="2"/>
  <c r="S125" i="2"/>
  <c r="R125" i="2"/>
  <c r="U124" i="2"/>
  <c r="T124" i="2"/>
  <c r="S124" i="2"/>
  <c r="R124" i="2"/>
  <c r="U123" i="2"/>
  <c r="T123" i="2"/>
  <c r="S123" i="2"/>
  <c r="R123" i="2"/>
  <c r="U122" i="2"/>
  <c r="T122" i="2"/>
  <c r="S122" i="2"/>
  <c r="R122" i="2"/>
  <c r="U121" i="2"/>
  <c r="T121" i="2"/>
  <c r="S121" i="2"/>
  <c r="R121" i="2"/>
  <c r="U120" i="2"/>
  <c r="T120" i="2"/>
  <c r="S120" i="2"/>
  <c r="R120" i="2"/>
  <c r="U119" i="2"/>
  <c r="T119" i="2"/>
  <c r="S119" i="2"/>
  <c r="R119" i="2"/>
  <c r="U118" i="2"/>
  <c r="T118" i="2"/>
  <c r="S118" i="2"/>
  <c r="R118" i="2"/>
  <c r="U117" i="2"/>
  <c r="T117" i="2"/>
  <c r="S117" i="2"/>
  <c r="R117" i="2"/>
  <c r="U116" i="2"/>
  <c r="T116" i="2"/>
  <c r="S116" i="2"/>
  <c r="R116" i="2"/>
  <c r="U115" i="2"/>
  <c r="T115" i="2"/>
  <c r="S115" i="2"/>
  <c r="R115" i="2"/>
  <c r="U114" i="2"/>
  <c r="T114" i="2"/>
  <c r="S114" i="2"/>
  <c r="R114" i="2"/>
  <c r="U113" i="2"/>
  <c r="T113" i="2"/>
  <c r="S113" i="2"/>
  <c r="R113" i="2"/>
  <c r="U112" i="2"/>
  <c r="T112" i="2"/>
  <c r="S112" i="2"/>
  <c r="R112" i="2"/>
  <c r="U111" i="2"/>
  <c r="T111" i="2"/>
  <c r="S111" i="2"/>
  <c r="R111" i="2"/>
  <c r="U110" i="2"/>
  <c r="T110" i="2"/>
  <c r="S110" i="2"/>
  <c r="R110" i="2"/>
  <c r="U109" i="2"/>
  <c r="T109" i="2"/>
  <c r="S109" i="2"/>
  <c r="R109" i="2"/>
  <c r="U108" i="2"/>
  <c r="T108" i="2"/>
  <c r="S108" i="2"/>
  <c r="R108" i="2"/>
  <c r="U107" i="2"/>
  <c r="T107" i="2"/>
  <c r="S107" i="2"/>
  <c r="R107" i="2"/>
  <c r="U106" i="2"/>
  <c r="T106" i="2"/>
  <c r="S106" i="2"/>
  <c r="R106" i="2"/>
  <c r="U105" i="2"/>
  <c r="T105" i="2"/>
  <c r="S105" i="2"/>
  <c r="R105" i="2"/>
  <c r="U104" i="2"/>
  <c r="T104" i="2"/>
  <c r="S104" i="2"/>
  <c r="R104" i="2"/>
  <c r="U103" i="2"/>
  <c r="T103" i="2"/>
  <c r="S103" i="2"/>
  <c r="R103" i="2"/>
  <c r="U102" i="2"/>
  <c r="T102" i="2"/>
  <c r="S102" i="2"/>
  <c r="R102" i="2"/>
  <c r="U101" i="2"/>
  <c r="T101" i="2"/>
  <c r="S101" i="2"/>
  <c r="R101" i="2"/>
  <c r="U100" i="2"/>
  <c r="T100" i="2"/>
  <c r="S100" i="2"/>
  <c r="R100" i="2"/>
  <c r="U99" i="2"/>
  <c r="T99" i="2"/>
  <c r="S99" i="2"/>
  <c r="R99" i="2"/>
  <c r="U98" i="2"/>
  <c r="T98" i="2"/>
  <c r="S98" i="2"/>
  <c r="R98" i="2"/>
  <c r="U97" i="2"/>
  <c r="T97" i="2"/>
  <c r="S97" i="2"/>
  <c r="R97" i="2"/>
  <c r="U96" i="2"/>
  <c r="T96" i="2"/>
  <c r="S96" i="2"/>
  <c r="R96" i="2"/>
  <c r="U95" i="2"/>
  <c r="T95" i="2"/>
  <c r="S95" i="2"/>
  <c r="R95" i="2"/>
  <c r="U94" i="2"/>
  <c r="T94" i="2"/>
  <c r="S94" i="2"/>
  <c r="R94" i="2"/>
  <c r="U93" i="2"/>
  <c r="T93" i="2"/>
  <c r="S93" i="2"/>
  <c r="R93" i="2"/>
  <c r="U92" i="2"/>
  <c r="T92" i="2"/>
  <c r="S92" i="2"/>
  <c r="R92" i="2"/>
  <c r="U91" i="2"/>
  <c r="T91" i="2"/>
  <c r="S91" i="2"/>
  <c r="R91" i="2"/>
  <c r="U90" i="2"/>
  <c r="T90" i="2"/>
  <c r="S90" i="2"/>
  <c r="R90" i="2"/>
  <c r="U89" i="2"/>
  <c r="T89" i="2"/>
  <c r="S89" i="2"/>
  <c r="R89" i="2"/>
  <c r="U88" i="2"/>
  <c r="T88" i="2"/>
  <c r="S88" i="2"/>
  <c r="R88" i="2"/>
  <c r="U87" i="2"/>
  <c r="T87" i="2"/>
  <c r="S87" i="2"/>
  <c r="R87" i="2"/>
  <c r="U86" i="2"/>
  <c r="T86" i="2"/>
  <c r="S86" i="2"/>
  <c r="R86" i="2"/>
  <c r="U85" i="2"/>
  <c r="T85" i="2"/>
  <c r="S85" i="2"/>
  <c r="R85" i="2"/>
  <c r="U84" i="2"/>
  <c r="T84" i="2"/>
  <c r="S84" i="2"/>
  <c r="R84" i="2"/>
  <c r="U83" i="2"/>
  <c r="T83" i="2"/>
  <c r="S83" i="2"/>
  <c r="R83" i="2"/>
  <c r="U82" i="2"/>
  <c r="T82" i="2"/>
  <c r="S82" i="2"/>
  <c r="R82" i="2"/>
  <c r="U81" i="2"/>
  <c r="T81" i="2"/>
  <c r="S81" i="2"/>
  <c r="R81" i="2"/>
  <c r="U80" i="2"/>
  <c r="T80" i="2"/>
  <c r="S80" i="2"/>
  <c r="R80" i="2"/>
  <c r="U79" i="2"/>
  <c r="T79" i="2"/>
  <c r="S79" i="2"/>
  <c r="R79" i="2"/>
  <c r="U78" i="2"/>
  <c r="T78" i="2"/>
  <c r="S78" i="2"/>
  <c r="R78" i="2"/>
  <c r="U77" i="2"/>
  <c r="T77" i="2"/>
  <c r="S77" i="2"/>
  <c r="R77" i="2"/>
  <c r="U76" i="2"/>
  <c r="T76" i="2"/>
  <c r="S76" i="2"/>
  <c r="R76" i="2"/>
  <c r="U75" i="2"/>
  <c r="T75" i="2"/>
  <c r="S75" i="2"/>
  <c r="R75" i="2"/>
  <c r="U74" i="2"/>
  <c r="T74" i="2"/>
  <c r="S74" i="2"/>
  <c r="R74" i="2"/>
  <c r="U73" i="2"/>
  <c r="T73" i="2"/>
  <c r="S73" i="2"/>
  <c r="R73" i="2"/>
  <c r="U72" i="2"/>
  <c r="T72" i="2"/>
  <c r="S72" i="2"/>
  <c r="R72" i="2"/>
  <c r="U71" i="2"/>
  <c r="T71" i="2"/>
  <c r="S71" i="2"/>
  <c r="R71" i="2"/>
  <c r="U70" i="2"/>
  <c r="T70" i="2"/>
  <c r="S70" i="2"/>
  <c r="R70" i="2"/>
  <c r="U69" i="2"/>
  <c r="T69" i="2"/>
  <c r="S69" i="2"/>
  <c r="R69" i="2"/>
  <c r="U68" i="2"/>
  <c r="T68" i="2"/>
  <c r="S68" i="2"/>
  <c r="R68" i="2"/>
  <c r="U67" i="2"/>
  <c r="T67" i="2"/>
  <c r="S67" i="2"/>
  <c r="R67" i="2"/>
  <c r="U66" i="2"/>
  <c r="T66" i="2"/>
  <c r="S66" i="2"/>
  <c r="R66" i="2"/>
  <c r="U65" i="2"/>
  <c r="T65" i="2"/>
  <c r="S65" i="2"/>
  <c r="R65" i="2"/>
  <c r="U64" i="2"/>
  <c r="T64" i="2"/>
  <c r="S64" i="2"/>
  <c r="R64" i="2"/>
  <c r="U63" i="2"/>
  <c r="T63" i="2"/>
  <c r="S63" i="2"/>
  <c r="R63" i="2"/>
  <c r="U62" i="2"/>
  <c r="T62" i="2"/>
  <c r="S62" i="2"/>
  <c r="R62" i="2"/>
  <c r="U61" i="2"/>
  <c r="T61" i="2"/>
  <c r="S61" i="2"/>
  <c r="R61" i="2"/>
  <c r="U60" i="2"/>
  <c r="T60" i="2"/>
  <c r="S60" i="2"/>
  <c r="R60" i="2"/>
  <c r="U59" i="2"/>
  <c r="T59" i="2"/>
  <c r="S59" i="2"/>
  <c r="R59" i="2"/>
  <c r="U58" i="2"/>
  <c r="T58" i="2"/>
  <c r="S58" i="2"/>
  <c r="R58" i="2"/>
  <c r="U57" i="2"/>
  <c r="T57" i="2"/>
  <c r="S57" i="2"/>
  <c r="R57" i="2"/>
  <c r="U56" i="2"/>
  <c r="T56" i="2"/>
  <c r="S56" i="2"/>
  <c r="R56" i="2"/>
  <c r="U55" i="2"/>
  <c r="T55" i="2"/>
  <c r="S55" i="2"/>
  <c r="R55" i="2"/>
  <c r="U54" i="2"/>
  <c r="T54" i="2"/>
  <c r="S54" i="2"/>
  <c r="R54" i="2"/>
  <c r="U53" i="2"/>
  <c r="T53" i="2"/>
  <c r="S53" i="2"/>
  <c r="R53" i="2"/>
  <c r="U52" i="2"/>
  <c r="T52" i="2"/>
  <c r="S52" i="2"/>
  <c r="R52" i="2"/>
  <c r="U51" i="2"/>
  <c r="T51" i="2"/>
  <c r="S51" i="2"/>
  <c r="R51" i="2"/>
  <c r="U50" i="2"/>
  <c r="T50" i="2"/>
  <c r="S50" i="2"/>
  <c r="R50" i="2"/>
  <c r="U49" i="2"/>
  <c r="T49" i="2"/>
  <c r="S49" i="2"/>
  <c r="R49" i="2"/>
  <c r="U48" i="2"/>
  <c r="T48" i="2"/>
  <c r="S48" i="2"/>
  <c r="R48" i="2"/>
  <c r="U47" i="2"/>
  <c r="T47" i="2"/>
  <c r="S47" i="2"/>
  <c r="R47" i="2"/>
  <c r="U46" i="2"/>
  <c r="T46" i="2"/>
  <c r="S46" i="2"/>
  <c r="R46" i="2"/>
  <c r="U45" i="2"/>
  <c r="T45" i="2"/>
  <c r="S45" i="2"/>
  <c r="R45" i="2"/>
  <c r="U44" i="2"/>
  <c r="T44" i="2"/>
  <c r="S44" i="2"/>
  <c r="R44" i="2"/>
  <c r="U43" i="2"/>
  <c r="T43" i="2"/>
  <c r="S43" i="2"/>
  <c r="R43" i="2"/>
  <c r="U42" i="2"/>
  <c r="T42" i="2"/>
  <c r="S42" i="2"/>
  <c r="R42" i="2"/>
  <c r="U41" i="2"/>
  <c r="T41" i="2"/>
  <c r="S41" i="2"/>
  <c r="R41" i="2"/>
  <c r="U40" i="2"/>
  <c r="T40" i="2"/>
  <c r="S40" i="2"/>
  <c r="R40" i="2"/>
  <c r="U39" i="2"/>
  <c r="T39" i="2"/>
  <c r="S39" i="2"/>
  <c r="R39" i="2"/>
  <c r="U38" i="2"/>
  <c r="T38" i="2"/>
  <c r="S38" i="2"/>
  <c r="R38" i="2"/>
  <c r="U37" i="2"/>
  <c r="T37" i="2"/>
  <c r="S37" i="2"/>
  <c r="R37" i="2"/>
  <c r="U36" i="2"/>
  <c r="T36" i="2"/>
  <c r="S36" i="2"/>
  <c r="R36" i="2"/>
  <c r="U35" i="2"/>
  <c r="T35" i="2"/>
  <c r="S35" i="2"/>
  <c r="R35" i="2"/>
  <c r="U34" i="2"/>
  <c r="T34" i="2"/>
  <c r="S34" i="2"/>
  <c r="R34" i="2"/>
  <c r="U33" i="2"/>
  <c r="T33" i="2"/>
  <c r="S33" i="2"/>
  <c r="R33" i="2"/>
  <c r="U32" i="2"/>
  <c r="T32" i="2"/>
  <c r="S32" i="2"/>
  <c r="R32" i="2"/>
  <c r="U31" i="2"/>
  <c r="T31" i="2"/>
  <c r="S31" i="2"/>
  <c r="R31" i="2"/>
  <c r="U30" i="2"/>
  <c r="T30" i="2"/>
  <c r="S30" i="2"/>
  <c r="R30" i="2"/>
  <c r="U29" i="2"/>
  <c r="T29" i="2"/>
  <c r="S29" i="2"/>
  <c r="R29" i="2"/>
  <c r="U28" i="2"/>
  <c r="T28" i="2"/>
  <c r="S28" i="2"/>
  <c r="R28" i="2"/>
  <c r="U27" i="2"/>
  <c r="T27" i="2"/>
  <c r="S27" i="2"/>
  <c r="R27" i="2"/>
  <c r="U26" i="2"/>
  <c r="T26" i="2"/>
  <c r="S26" i="2"/>
  <c r="R26" i="2"/>
  <c r="U25" i="2"/>
  <c r="T25" i="2"/>
  <c r="S25" i="2"/>
  <c r="R25" i="2"/>
  <c r="U24" i="2"/>
  <c r="T24" i="2"/>
  <c r="S24" i="2"/>
  <c r="R24" i="2"/>
  <c r="U23" i="2"/>
  <c r="T23" i="2"/>
  <c r="S23" i="2"/>
  <c r="R23" i="2"/>
  <c r="U22" i="2"/>
  <c r="T22" i="2"/>
  <c r="S22" i="2"/>
  <c r="R22" i="2"/>
  <c r="U21" i="2"/>
  <c r="T21" i="2"/>
  <c r="S21" i="2"/>
  <c r="R21" i="2"/>
  <c r="U20" i="2"/>
  <c r="T20" i="2"/>
  <c r="S20" i="2"/>
  <c r="R20" i="2"/>
  <c r="U19" i="2"/>
  <c r="T19" i="2"/>
  <c r="S19" i="2"/>
  <c r="R19" i="2"/>
  <c r="U18" i="2"/>
  <c r="T18" i="2"/>
  <c r="S18" i="2"/>
  <c r="R18" i="2"/>
  <c r="U17" i="2"/>
  <c r="T17" i="2"/>
  <c r="S17" i="2"/>
  <c r="R17" i="2"/>
  <c r="U16" i="2"/>
  <c r="T16" i="2"/>
  <c r="S16" i="2"/>
  <c r="R16" i="2"/>
  <c r="U15" i="2"/>
  <c r="T15" i="2"/>
  <c r="S15" i="2"/>
  <c r="R15" i="2"/>
  <c r="U14" i="2"/>
  <c r="T14" i="2"/>
  <c r="S14" i="2"/>
  <c r="R14" i="2"/>
  <c r="U13" i="2"/>
  <c r="T13" i="2"/>
  <c r="S13" i="2"/>
  <c r="R13" i="2"/>
  <c r="U12" i="2"/>
  <c r="T12" i="2"/>
  <c r="S12" i="2"/>
  <c r="R12" i="2"/>
  <c r="U11" i="2"/>
  <c r="T11" i="2"/>
  <c r="S11" i="2"/>
  <c r="R11" i="2"/>
  <c r="U10" i="2"/>
  <c r="T10" i="2"/>
  <c r="S10" i="2"/>
  <c r="R10" i="2"/>
  <c r="U9" i="2"/>
  <c r="T9" i="2"/>
  <c r="S9" i="2"/>
  <c r="R9" i="2"/>
  <c r="U8" i="2"/>
  <c r="T8" i="2"/>
  <c r="S8" i="2"/>
  <c r="R8" i="2"/>
  <c r="U7" i="2"/>
  <c r="T7" i="2"/>
  <c r="S7" i="2"/>
  <c r="R7" i="2"/>
  <c r="R6" i="2"/>
  <c r="R5" i="2"/>
  <c r="B47" i="1"/>
  <c r="B46" i="1"/>
  <c r="B48" i="1" s="1"/>
  <c r="B34" i="1"/>
  <c r="B26" i="1"/>
  <c r="B25" i="1"/>
  <c r="B27" i="1" s="1"/>
  <c r="W973" i="2" l="1"/>
  <c r="V973" i="2"/>
  <c r="V932" i="2"/>
  <c r="W932" i="2"/>
  <c r="W891" i="2"/>
  <c r="V891" i="2"/>
  <c r="W728" i="2"/>
  <c r="V728" i="2"/>
  <c r="W687" i="2"/>
  <c r="V687" i="2"/>
  <c r="V646" i="2"/>
  <c r="W646" i="2"/>
  <c r="V511" i="2"/>
  <c r="W511" i="2"/>
  <c r="W279" i="2"/>
  <c r="V279" i="2"/>
  <c r="V238" i="2"/>
  <c r="W238" i="2"/>
  <c r="W116" i="2"/>
  <c r="V116" i="2"/>
  <c r="W75" i="2"/>
  <c r="V75" i="2"/>
  <c r="W49" i="2"/>
  <c r="V49" i="2"/>
  <c r="W34" i="2"/>
  <c r="V34" i="2"/>
  <c r="B19" i="14"/>
  <c r="B6" i="17"/>
  <c r="B53" i="1"/>
  <c r="B15" i="1"/>
  <c r="B31" i="1"/>
  <c r="B14" i="1"/>
  <c r="B13" i="1"/>
  <c r="B11" i="1"/>
  <c r="B12" i="1"/>
  <c r="B18" i="14"/>
  <c r="B19" i="17"/>
  <c r="B22" i="17" s="1"/>
  <c r="B7" i="1"/>
  <c r="B8" i="1"/>
  <c r="B32" i="1"/>
  <c r="B6" i="1"/>
  <c r="B5" i="1"/>
  <c r="B15" i="18"/>
  <c r="B38" i="1"/>
  <c r="B8" i="17"/>
  <c r="B22" i="1"/>
  <c r="B28" i="1"/>
  <c r="W1000" i="2"/>
  <c r="V1000" i="2"/>
  <c r="V999" i="2"/>
  <c r="W999" i="2"/>
  <c r="W998" i="2"/>
  <c r="V998" i="2"/>
  <c r="W997" i="2"/>
  <c r="V997" i="2"/>
  <c r="V996" i="2"/>
  <c r="W996" i="2"/>
  <c r="W995" i="2"/>
  <c r="V995" i="2"/>
  <c r="W994" i="2"/>
  <c r="V994" i="2"/>
  <c r="W993" i="2"/>
  <c r="V993" i="2"/>
  <c r="W992" i="2"/>
  <c r="V992" i="2"/>
  <c r="V991" i="2"/>
  <c r="W991" i="2"/>
  <c r="W990" i="2"/>
  <c r="V990" i="2"/>
  <c r="V989" i="2"/>
  <c r="W989" i="2"/>
  <c r="V988" i="2"/>
  <c r="W988" i="2"/>
  <c r="W987" i="2"/>
  <c r="V987" i="2"/>
  <c r="V986" i="2"/>
  <c r="W986" i="2"/>
  <c r="V985" i="2"/>
  <c r="W985" i="2"/>
  <c r="V984" i="2"/>
  <c r="W984" i="2"/>
  <c r="V983" i="2"/>
  <c r="W983" i="2"/>
  <c r="W982" i="2"/>
  <c r="V982" i="2"/>
  <c r="W981" i="2"/>
  <c r="V981" i="2"/>
  <c r="V980" i="2"/>
  <c r="W980" i="2"/>
  <c r="V979" i="2"/>
  <c r="W979" i="2"/>
  <c r="V978" i="2"/>
  <c r="W978" i="2"/>
  <c r="V977" i="2"/>
  <c r="W977" i="2"/>
  <c r="V976" i="2"/>
  <c r="W976" i="2"/>
  <c r="W975" i="2"/>
  <c r="V975" i="2"/>
  <c r="W974" i="2"/>
  <c r="V974" i="2"/>
  <c r="W972" i="2"/>
  <c r="V972" i="2"/>
  <c r="W971" i="2"/>
  <c r="V971" i="2"/>
  <c r="V970" i="2"/>
  <c r="W970" i="2"/>
  <c r="V969" i="2"/>
  <c r="W969" i="2"/>
  <c r="W968" i="2"/>
  <c r="V968" i="2"/>
  <c r="V967" i="2"/>
  <c r="W967" i="2"/>
  <c r="V966" i="2"/>
  <c r="W966" i="2"/>
  <c r="W965" i="2"/>
  <c r="V965" i="2"/>
  <c r="W964" i="2"/>
  <c r="V964" i="2"/>
  <c r="V963" i="2"/>
  <c r="W963" i="2"/>
  <c r="V962" i="2"/>
  <c r="W962" i="2"/>
  <c r="V961" i="2"/>
  <c r="W961" i="2"/>
  <c r="W960" i="2"/>
  <c r="V960" i="2"/>
  <c r="V959" i="2"/>
  <c r="W959" i="2"/>
  <c r="W958" i="2"/>
  <c r="V958" i="2"/>
  <c r="V957" i="2"/>
  <c r="W957" i="2"/>
  <c r="W956" i="2"/>
  <c r="V956" i="2"/>
  <c r="W955" i="2"/>
  <c r="V955" i="2"/>
  <c r="W954" i="2"/>
  <c r="V954" i="2"/>
  <c r="W953" i="2"/>
  <c r="V953" i="2"/>
  <c r="V952" i="2"/>
  <c r="W952" i="2"/>
  <c r="V951" i="2"/>
  <c r="W951" i="2"/>
  <c r="W950" i="2"/>
  <c r="V950" i="2"/>
  <c r="W949" i="2"/>
  <c r="V949" i="2"/>
  <c r="W948" i="2"/>
  <c r="V948" i="2"/>
  <c r="W947" i="2"/>
  <c r="V947" i="2"/>
  <c r="V946" i="2"/>
  <c r="W946" i="2"/>
  <c r="V945" i="2"/>
  <c r="W945" i="2"/>
  <c r="W944" i="2"/>
  <c r="V944" i="2"/>
  <c r="V943" i="2"/>
  <c r="W943" i="2"/>
  <c r="W942" i="2"/>
  <c r="V942" i="2"/>
  <c r="W941" i="2"/>
  <c r="V941" i="2"/>
  <c r="W940" i="2"/>
  <c r="V940" i="2"/>
  <c r="W939" i="2"/>
  <c r="V939" i="2"/>
  <c r="W938" i="2"/>
  <c r="V938" i="2"/>
  <c r="W937" i="2"/>
  <c r="V937" i="2"/>
  <c r="W936" i="2"/>
  <c r="V936" i="2"/>
  <c r="W935" i="2"/>
  <c r="V935" i="2"/>
  <c r="W934" i="2"/>
  <c r="V934" i="2"/>
  <c r="W933" i="2"/>
  <c r="V933" i="2"/>
  <c r="V931" i="2"/>
  <c r="W931" i="2"/>
  <c r="V930" i="2"/>
  <c r="W930" i="2"/>
  <c r="V929" i="2"/>
  <c r="W929" i="2"/>
  <c r="W928" i="2"/>
  <c r="V928" i="2"/>
  <c r="W927" i="2"/>
  <c r="V927" i="2"/>
  <c r="W926" i="2"/>
  <c r="V926" i="2"/>
  <c r="V925" i="2"/>
  <c r="W925" i="2"/>
  <c r="V924" i="2"/>
  <c r="W924" i="2"/>
  <c r="V923" i="2"/>
  <c r="W923" i="2"/>
  <c r="W922" i="2"/>
  <c r="V922" i="2"/>
  <c r="W921" i="2"/>
  <c r="V921" i="2"/>
  <c r="V920" i="2"/>
  <c r="W920" i="2"/>
  <c r="V919" i="2"/>
  <c r="W919" i="2"/>
  <c r="V918" i="2"/>
  <c r="W918" i="2"/>
  <c r="V917" i="2"/>
  <c r="W917" i="2"/>
  <c r="V916" i="2"/>
  <c r="W916" i="2"/>
  <c r="W915" i="2"/>
  <c r="V915" i="2"/>
  <c r="W914" i="2"/>
  <c r="V914" i="2"/>
  <c r="W913" i="2"/>
  <c r="V913" i="2"/>
  <c r="W912" i="2"/>
  <c r="V912" i="2"/>
  <c r="V911" i="2"/>
  <c r="W911" i="2"/>
  <c r="V910" i="2"/>
  <c r="W910" i="2"/>
  <c r="V909" i="2"/>
  <c r="W909" i="2"/>
  <c r="V908" i="2"/>
  <c r="W908" i="2"/>
  <c r="W907" i="2"/>
  <c r="V907" i="2"/>
  <c r="V906" i="2"/>
  <c r="W906" i="2"/>
  <c r="W905" i="2"/>
  <c r="V905" i="2"/>
  <c r="W904" i="2"/>
  <c r="V904" i="2"/>
  <c r="W903" i="2"/>
  <c r="V903" i="2"/>
  <c r="W902" i="2"/>
  <c r="V902" i="2"/>
  <c r="V901" i="2"/>
  <c r="W901" i="2"/>
  <c r="W900" i="2"/>
  <c r="V900" i="2"/>
  <c r="V899" i="2"/>
  <c r="W899" i="2"/>
  <c r="W898" i="2"/>
  <c r="V898" i="2"/>
  <c r="W897" i="2"/>
  <c r="V897" i="2"/>
  <c r="W896" i="2"/>
  <c r="V896" i="2"/>
  <c r="V895" i="2"/>
  <c r="W895" i="2"/>
  <c r="W894" i="2"/>
  <c r="V894" i="2"/>
  <c r="W893" i="2"/>
  <c r="V893" i="2"/>
  <c r="V892" i="2"/>
  <c r="W892" i="2"/>
  <c r="V890" i="2"/>
  <c r="W890" i="2"/>
  <c r="W889" i="2"/>
  <c r="V889" i="2"/>
  <c r="W888" i="2"/>
  <c r="V888" i="2"/>
  <c r="V887" i="2"/>
  <c r="W887" i="2"/>
  <c r="V886" i="2"/>
  <c r="W886" i="2"/>
  <c r="W885" i="2"/>
  <c r="V885" i="2"/>
  <c r="V884" i="2"/>
  <c r="W884" i="2"/>
  <c r="W883" i="2"/>
  <c r="V883" i="2"/>
  <c r="V882" i="2"/>
  <c r="W882" i="2"/>
  <c r="V881" i="2"/>
  <c r="W881" i="2"/>
  <c r="W880" i="2"/>
  <c r="V880" i="2"/>
  <c r="W879" i="2"/>
  <c r="V879" i="2"/>
  <c r="V878" i="2"/>
  <c r="W878" i="2"/>
  <c r="V877" i="2"/>
  <c r="W877" i="2"/>
  <c r="W876" i="2"/>
  <c r="V876" i="2"/>
  <c r="V875" i="2"/>
  <c r="W875" i="2"/>
  <c r="V874" i="2"/>
  <c r="W874" i="2"/>
  <c r="W873" i="2"/>
  <c r="V873" i="2"/>
  <c r="V872" i="2"/>
  <c r="W872" i="2"/>
  <c r="W871" i="2"/>
  <c r="V871" i="2"/>
  <c r="W870" i="2"/>
  <c r="V870" i="2"/>
  <c r="W869" i="2"/>
  <c r="V869" i="2"/>
  <c r="W868" i="2"/>
  <c r="V868" i="2"/>
  <c r="W867" i="2"/>
  <c r="V867" i="2"/>
  <c r="V866" i="2"/>
  <c r="W866" i="2"/>
  <c r="W865" i="2"/>
  <c r="V865" i="2"/>
  <c r="V864" i="2"/>
  <c r="W864" i="2"/>
  <c r="V863" i="2"/>
  <c r="W863" i="2"/>
  <c r="V862" i="2"/>
  <c r="W862" i="2"/>
  <c r="V861" i="2"/>
  <c r="W861" i="2"/>
  <c r="W860" i="2"/>
  <c r="V860" i="2"/>
  <c r="V859" i="2"/>
  <c r="W859" i="2"/>
  <c r="W858" i="2"/>
  <c r="V858" i="2"/>
  <c r="W857" i="2"/>
  <c r="V857" i="2"/>
  <c r="W856" i="2"/>
  <c r="V856" i="2"/>
  <c r="W855" i="2"/>
  <c r="V855" i="2"/>
  <c r="W854" i="2"/>
  <c r="V854" i="2"/>
  <c r="W853" i="2"/>
  <c r="V853" i="2"/>
  <c r="V852" i="2"/>
  <c r="W852" i="2"/>
  <c r="V851" i="2"/>
  <c r="W851" i="2"/>
  <c r="W850" i="2"/>
  <c r="V850" i="2"/>
  <c r="V849" i="2"/>
  <c r="W849" i="2"/>
  <c r="W848" i="2"/>
  <c r="V848" i="2"/>
  <c r="W847" i="2"/>
  <c r="V847" i="2"/>
  <c r="V846" i="2"/>
  <c r="W846" i="2"/>
  <c r="V845" i="2"/>
  <c r="W845" i="2"/>
  <c r="V844" i="2"/>
  <c r="W844" i="2"/>
  <c r="V843" i="2"/>
  <c r="W843" i="2"/>
  <c r="V842" i="2"/>
  <c r="W842" i="2"/>
  <c r="W841" i="2"/>
  <c r="V841" i="2"/>
  <c r="W840" i="2"/>
  <c r="V840" i="2"/>
  <c r="V839" i="2"/>
  <c r="W839" i="2"/>
  <c r="W838" i="2"/>
  <c r="V838" i="2"/>
  <c r="V837" i="2"/>
  <c r="W837" i="2"/>
  <c r="W836" i="2"/>
  <c r="V836" i="2"/>
  <c r="W835" i="2"/>
  <c r="V835" i="2"/>
  <c r="V834" i="2"/>
  <c r="W834" i="2"/>
  <c r="V833" i="2"/>
  <c r="W833" i="2"/>
  <c r="V832" i="2"/>
  <c r="W832" i="2"/>
  <c r="V831" i="2"/>
  <c r="W831" i="2"/>
  <c r="V830" i="2"/>
  <c r="W830" i="2"/>
  <c r="V829" i="2"/>
  <c r="W829" i="2"/>
  <c r="V828" i="2"/>
  <c r="W828" i="2"/>
  <c r="V827" i="2"/>
  <c r="W827" i="2"/>
  <c r="V826" i="2"/>
  <c r="W826" i="2"/>
  <c r="W825" i="2"/>
  <c r="V825" i="2"/>
  <c r="V824" i="2"/>
  <c r="W824" i="2"/>
  <c r="W823" i="2"/>
  <c r="V823" i="2"/>
  <c r="W822" i="2"/>
  <c r="V822" i="2"/>
  <c r="V821" i="2"/>
  <c r="W821" i="2"/>
  <c r="V820" i="2"/>
  <c r="W820" i="2"/>
  <c r="W819" i="2"/>
  <c r="V819" i="2"/>
  <c r="W818" i="2"/>
  <c r="V818" i="2"/>
  <c r="W817" i="2"/>
  <c r="V817" i="2"/>
  <c r="W816" i="2"/>
  <c r="V816" i="2"/>
  <c r="W815" i="2"/>
  <c r="V815" i="2"/>
  <c r="V814" i="2"/>
  <c r="W814" i="2"/>
  <c r="W813" i="2"/>
  <c r="V813" i="2"/>
  <c r="V812" i="2"/>
  <c r="W812" i="2"/>
  <c r="V811" i="2"/>
  <c r="W811" i="2"/>
  <c r="W810" i="2"/>
  <c r="V810" i="2"/>
  <c r="W809" i="2"/>
  <c r="V809" i="2"/>
  <c r="W808" i="2"/>
  <c r="V808" i="2"/>
  <c r="V807" i="2"/>
  <c r="W807" i="2"/>
  <c r="V806" i="2"/>
  <c r="W806" i="2"/>
  <c r="V805" i="2"/>
  <c r="W805" i="2"/>
  <c r="V804" i="2"/>
  <c r="W804" i="2"/>
  <c r="W803" i="2"/>
  <c r="V803" i="2"/>
  <c r="V802" i="2"/>
  <c r="W802" i="2"/>
  <c r="V801" i="2"/>
  <c r="W801" i="2"/>
  <c r="V800" i="2"/>
  <c r="W800" i="2"/>
  <c r="W799" i="2"/>
  <c r="V799" i="2"/>
  <c r="V798" i="2"/>
  <c r="W798" i="2"/>
  <c r="V797" i="2"/>
  <c r="W797" i="2"/>
  <c r="W796" i="2"/>
  <c r="V796" i="2"/>
  <c r="V795" i="2"/>
  <c r="W795" i="2"/>
  <c r="V794" i="2"/>
  <c r="W794" i="2"/>
  <c r="V793" i="2"/>
  <c r="W793" i="2"/>
  <c r="W792" i="2"/>
  <c r="V792" i="2"/>
  <c r="V791" i="2"/>
  <c r="W791" i="2"/>
  <c r="W790" i="2"/>
  <c r="V790" i="2"/>
  <c r="V789" i="2"/>
  <c r="W789" i="2"/>
  <c r="V788" i="2"/>
  <c r="W788" i="2"/>
  <c r="W787" i="2"/>
  <c r="V787" i="2"/>
  <c r="V786" i="2"/>
  <c r="W786" i="2"/>
  <c r="V785" i="2"/>
  <c r="W785" i="2"/>
  <c r="V784" i="2"/>
  <c r="W784" i="2"/>
  <c r="W783" i="2"/>
  <c r="V783" i="2"/>
  <c r="W782" i="2"/>
  <c r="V782" i="2"/>
  <c r="W781" i="2"/>
  <c r="V781" i="2"/>
  <c r="V780" i="2"/>
  <c r="W780" i="2"/>
  <c r="V779" i="2"/>
  <c r="W779" i="2"/>
  <c r="W778" i="2"/>
  <c r="V778" i="2"/>
  <c r="W777" i="2"/>
  <c r="V777" i="2"/>
  <c r="V776" i="2"/>
  <c r="W776" i="2"/>
  <c r="V775" i="2"/>
  <c r="W775" i="2"/>
  <c r="V774" i="2"/>
  <c r="W774" i="2"/>
  <c r="W773" i="2"/>
  <c r="V773" i="2"/>
  <c r="W772" i="2"/>
  <c r="V772" i="2"/>
  <c r="W771" i="2"/>
  <c r="V771" i="2"/>
  <c r="W770" i="2"/>
  <c r="V770" i="2"/>
  <c r="V769" i="2"/>
  <c r="W769" i="2"/>
  <c r="W768" i="2"/>
  <c r="V768" i="2"/>
  <c r="V767" i="2"/>
  <c r="W767" i="2"/>
  <c r="V766" i="2"/>
  <c r="W766" i="2"/>
  <c r="W765" i="2"/>
  <c r="V765" i="2"/>
  <c r="V764" i="2"/>
  <c r="W764" i="2"/>
  <c r="W763" i="2"/>
  <c r="V763" i="2"/>
  <c r="W762" i="2"/>
  <c r="V762" i="2"/>
  <c r="W761" i="2"/>
  <c r="V761" i="2"/>
  <c r="W760" i="2"/>
  <c r="V760" i="2"/>
  <c r="V759" i="2"/>
  <c r="W759" i="2"/>
  <c r="W758" i="2"/>
  <c r="V758" i="2"/>
  <c r="W757" i="2"/>
  <c r="V757" i="2"/>
  <c r="W756" i="2"/>
  <c r="V756" i="2"/>
  <c r="W755" i="2"/>
  <c r="V755" i="2"/>
  <c r="W754" i="2"/>
  <c r="V754" i="2"/>
  <c r="V753" i="2"/>
  <c r="W753" i="2"/>
  <c r="W752" i="2"/>
  <c r="V752" i="2"/>
  <c r="W751" i="2"/>
  <c r="V751" i="2"/>
  <c r="V750" i="2"/>
  <c r="W750" i="2"/>
  <c r="V749" i="2"/>
  <c r="W749" i="2"/>
  <c r="V748" i="2"/>
  <c r="W748" i="2"/>
  <c r="V747" i="2"/>
  <c r="W747" i="2"/>
  <c r="V746" i="2"/>
  <c r="W746" i="2"/>
  <c r="V745" i="2"/>
  <c r="W745" i="2"/>
  <c r="V744" i="2"/>
  <c r="W744" i="2"/>
  <c r="W743" i="2"/>
  <c r="V743" i="2"/>
  <c r="V742" i="2"/>
  <c r="W742" i="2"/>
  <c r="W741" i="2"/>
  <c r="V741" i="2"/>
  <c r="V740" i="2"/>
  <c r="W740" i="2"/>
  <c r="V739" i="2"/>
  <c r="W739" i="2"/>
  <c r="V738" i="2"/>
  <c r="W738" i="2"/>
  <c r="V737" i="2"/>
  <c r="W737" i="2"/>
  <c r="W736" i="2"/>
  <c r="V736" i="2"/>
  <c r="W735" i="2"/>
  <c r="V735" i="2"/>
  <c r="W734" i="2"/>
  <c r="V734" i="2"/>
  <c r="W733" i="2"/>
  <c r="V733" i="2"/>
  <c r="W732" i="2"/>
  <c r="V732" i="2"/>
  <c r="W731" i="2"/>
  <c r="V731" i="2"/>
  <c r="W730" i="2"/>
  <c r="V730" i="2"/>
  <c r="W729" i="2"/>
  <c r="V729" i="2"/>
  <c r="W727" i="2"/>
  <c r="V727" i="2"/>
  <c r="V726" i="2"/>
  <c r="W726" i="2"/>
  <c r="W725" i="2"/>
  <c r="V725" i="2"/>
  <c r="W724" i="2"/>
  <c r="V724" i="2"/>
  <c r="W723" i="2"/>
  <c r="V723" i="2"/>
  <c r="V722" i="2"/>
  <c r="W722" i="2"/>
  <c r="W721" i="2"/>
  <c r="V721" i="2"/>
  <c r="W720" i="2"/>
  <c r="V720" i="2"/>
  <c r="W719" i="2"/>
  <c r="V719" i="2"/>
  <c r="W718" i="2"/>
  <c r="V718" i="2"/>
  <c r="W717" i="2"/>
  <c r="V717" i="2"/>
  <c r="V716" i="2"/>
  <c r="W716" i="2"/>
  <c r="W715" i="2"/>
  <c r="V715" i="2"/>
  <c r="V714" i="2"/>
  <c r="W714" i="2"/>
  <c r="W713" i="2"/>
  <c r="V713" i="2"/>
  <c r="V712" i="2"/>
  <c r="W712" i="2"/>
  <c r="W711" i="2"/>
  <c r="V711" i="2"/>
  <c r="W710" i="2"/>
  <c r="V710" i="2"/>
  <c r="W709" i="2"/>
  <c r="V709" i="2"/>
  <c r="W708" i="2"/>
  <c r="V708" i="2"/>
  <c r="V707" i="2"/>
  <c r="W707" i="2"/>
  <c r="W706" i="2"/>
  <c r="V706" i="2"/>
  <c r="W705" i="2"/>
  <c r="V705" i="2"/>
  <c r="W704" i="2"/>
  <c r="V704" i="2"/>
  <c r="W703" i="2"/>
  <c r="V703" i="2"/>
  <c r="W702" i="2"/>
  <c r="V702" i="2"/>
  <c r="V701" i="2"/>
  <c r="W701" i="2"/>
  <c r="W700" i="2"/>
  <c r="V700" i="2"/>
  <c r="V699" i="2"/>
  <c r="W699" i="2"/>
  <c r="V698" i="2"/>
  <c r="W698" i="2"/>
  <c r="V697" i="2"/>
  <c r="W697" i="2"/>
  <c r="V696" i="2"/>
  <c r="W696" i="2"/>
  <c r="V695" i="2"/>
  <c r="W695" i="2"/>
  <c r="V694" i="2"/>
  <c r="W694" i="2"/>
  <c r="V693" i="2"/>
  <c r="W693" i="2"/>
  <c r="V692" i="2"/>
  <c r="W692" i="2"/>
  <c r="V691" i="2"/>
  <c r="W691" i="2"/>
  <c r="V690" i="2"/>
  <c r="W690" i="2"/>
  <c r="V689" i="2"/>
  <c r="W689" i="2"/>
  <c r="V688" i="2"/>
  <c r="W688" i="2"/>
  <c r="W686" i="2"/>
  <c r="V686" i="2"/>
  <c r="W685" i="2"/>
  <c r="V685" i="2"/>
  <c r="W684" i="2"/>
  <c r="V684" i="2"/>
  <c r="W683" i="2"/>
  <c r="V683" i="2"/>
  <c r="W682" i="2"/>
  <c r="V682" i="2"/>
  <c r="W681" i="2"/>
  <c r="V681" i="2"/>
  <c r="W680" i="2"/>
  <c r="V680" i="2"/>
  <c r="W679" i="2"/>
  <c r="V679" i="2"/>
  <c r="W678" i="2"/>
  <c r="V678" i="2"/>
  <c r="W677" i="2"/>
  <c r="V677" i="2"/>
  <c r="W676" i="2"/>
  <c r="V676" i="2"/>
  <c r="W675" i="2"/>
  <c r="V675" i="2"/>
  <c r="W674" i="2"/>
  <c r="V674" i="2"/>
  <c r="W673" i="2"/>
  <c r="V673" i="2"/>
  <c r="W672" i="2"/>
  <c r="V672" i="2"/>
  <c r="W671" i="2"/>
  <c r="V671" i="2"/>
  <c r="W670" i="2"/>
  <c r="V670" i="2"/>
  <c r="W669" i="2"/>
  <c r="V669" i="2"/>
  <c r="W668" i="2"/>
  <c r="V668" i="2"/>
  <c r="W667" i="2"/>
  <c r="V667" i="2"/>
  <c r="W666" i="2"/>
  <c r="V666" i="2"/>
  <c r="W665" i="2"/>
  <c r="V665" i="2"/>
  <c r="V664" i="2"/>
  <c r="W664" i="2"/>
  <c r="V663" i="2"/>
  <c r="W663" i="2"/>
  <c r="V662" i="2"/>
  <c r="W662" i="2"/>
  <c r="V661" i="2"/>
  <c r="W661" i="2"/>
  <c r="V660" i="2"/>
  <c r="W660" i="2"/>
  <c r="W659" i="2"/>
  <c r="V659" i="2"/>
  <c r="W658" i="2"/>
  <c r="V658" i="2"/>
  <c r="W657" i="2"/>
  <c r="V657" i="2"/>
  <c r="V656" i="2"/>
  <c r="W656" i="2"/>
  <c r="W655" i="2"/>
  <c r="V655" i="2"/>
  <c r="V654" i="2"/>
  <c r="W654" i="2"/>
  <c r="V653" i="2"/>
  <c r="W653" i="2"/>
  <c r="V652" i="2"/>
  <c r="W652" i="2"/>
  <c r="V651" i="2"/>
  <c r="W651" i="2"/>
  <c r="V650" i="2"/>
  <c r="W650" i="2"/>
  <c r="W649" i="2"/>
  <c r="V649" i="2"/>
  <c r="V648" i="2"/>
  <c r="W648" i="2"/>
  <c r="W647" i="2"/>
  <c r="V647" i="2"/>
  <c r="V645" i="2"/>
  <c r="W645" i="2"/>
  <c r="V644" i="2"/>
  <c r="W644" i="2"/>
  <c r="W643" i="2"/>
  <c r="V643" i="2"/>
  <c r="V642" i="2"/>
  <c r="W642" i="2"/>
  <c r="V641" i="2"/>
  <c r="W641" i="2"/>
  <c r="V640" i="2"/>
  <c r="W640" i="2"/>
  <c r="V639" i="2"/>
  <c r="W639" i="2"/>
  <c r="W638" i="2"/>
  <c r="V638" i="2"/>
  <c r="V637" i="2"/>
  <c r="W637" i="2"/>
  <c r="V636" i="2"/>
  <c r="W636" i="2"/>
  <c r="W635" i="2"/>
  <c r="V635" i="2"/>
  <c r="W634" i="2"/>
  <c r="V634" i="2"/>
  <c r="W633" i="2"/>
  <c r="V633" i="2"/>
  <c r="V632" i="2"/>
  <c r="W632" i="2"/>
  <c r="W631" i="2"/>
  <c r="V631" i="2"/>
  <c r="V630" i="2"/>
  <c r="W630" i="2"/>
  <c r="V629" i="2"/>
  <c r="W629" i="2"/>
  <c r="V628" i="2"/>
  <c r="W628" i="2"/>
  <c r="V627" i="2"/>
  <c r="W627" i="2"/>
  <c r="W626" i="2"/>
  <c r="V626" i="2"/>
  <c r="V625" i="2"/>
  <c r="W625" i="2"/>
  <c r="V624" i="2"/>
  <c r="W624" i="2"/>
  <c r="W623" i="2"/>
  <c r="V623" i="2"/>
  <c r="V622" i="2"/>
  <c r="W622" i="2"/>
  <c r="V621" i="2"/>
  <c r="W621" i="2"/>
  <c r="V620" i="2"/>
  <c r="W620" i="2"/>
  <c r="W619" i="2"/>
  <c r="V619" i="2"/>
  <c r="W618" i="2"/>
  <c r="V618" i="2"/>
  <c r="W617" i="2"/>
  <c r="V617" i="2"/>
  <c r="W616" i="2"/>
  <c r="V616" i="2"/>
  <c r="W615" i="2"/>
  <c r="V615" i="2"/>
  <c r="W614" i="2"/>
  <c r="V614" i="2"/>
  <c r="V613" i="2"/>
  <c r="W613" i="2"/>
  <c r="W612" i="2"/>
  <c r="V612" i="2"/>
  <c r="V611" i="2"/>
  <c r="W611" i="2"/>
  <c r="W610" i="2"/>
  <c r="V610" i="2"/>
  <c r="V609" i="2"/>
  <c r="W609" i="2"/>
  <c r="V608" i="2"/>
  <c r="W608" i="2"/>
  <c r="V607" i="2"/>
  <c r="W607" i="2"/>
  <c r="W606" i="2"/>
  <c r="V606" i="2"/>
  <c r="V605" i="2"/>
  <c r="W605" i="2"/>
  <c r="W604" i="2"/>
  <c r="V604" i="2"/>
  <c r="W603" i="2"/>
  <c r="V603" i="2"/>
  <c r="V602" i="2"/>
  <c r="W602" i="2"/>
  <c r="V601" i="2"/>
  <c r="W601" i="2"/>
  <c r="V600" i="2"/>
  <c r="W600" i="2"/>
  <c r="V599" i="2"/>
  <c r="W599" i="2"/>
  <c r="V598" i="2"/>
  <c r="W598" i="2"/>
  <c r="V597" i="2"/>
  <c r="W597" i="2"/>
  <c r="V596" i="2"/>
  <c r="W596" i="2"/>
  <c r="V595" i="2"/>
  <c r="W595" i="2"/>
  <c r="V594" i="2"/>
  <c r="W594" i="2"/>
  <c r="V593" i="2"/>
  <c r="W593" i="2"/>
  <c r="V592" i="2"/>
  <c r="W592" i="2"/>
  <c r="V591" i="2"/>
  <c r="W591" i="2"/>
  <c r="W590" i="2"/>
  <c r="V590" i="2"/>
  <c r="V589" i="2"/>
  <c r="W589" i="2"/>
  <c r="V588" i="2"/>
  <c r="W588" i="2"/>
  <c r="W587" i="2"/>
  <c r="V587" i="2"/>
  <c r="V586" i="2"/>
  <c r="W586" i="2"/>
  <c r="V585" i="2"/>
  <c r="W585" i="2"/>
  <c r="W584" i="2"/>
  <c r="V584" i="2"/>
  <c r="V583" i="2"/>
  <c r="W583" i="2"/>
  <c r="W582" i="2"/>
  <c r="V582" i="2"/>
  <c r="V581" i="2"/>
  <c r="W581" i="2"/>
  <c r="V580" i="2"/>
  <c r="W580" i="2"/>
  <c r="W579" i="2"/>
  <c r="V579" i="2"/>
  <c r="W578" i="2"/>
  <c r="V578" i="2"/>
  <c r="W577" i="2"/>
  <c r="V577" i="2"/>
  <c r="W576" i="2"/>
  <c r="V576" i="2"/>
  <c r="W575" i="2"/>
  <c r="V575" i="2"/>
  <c r="W574" i="2"/>
  <c r="V574" i="2"/>
  <c r="W573" i="2"/>
  <c r="V573" i="2"/>
  <c r="V572" i="2"/>
  <c r="W572" i="2"/>
  <c r="W571" i="2"/>
  <c r="V571" i="2"/>
  <c r="W570" i="2"/>
  <c r="V570" i="2"/>
  <c r="W569" i="2"/>
  <c r="V569" i="2"/>
  <c r="V568" i="2"/>
  <c r="W568" i="2"/>
  <c r="V567" i="2"/>
  <c r="W567" i="2"/>
  <c r="W566" i="2"/>
  <c r="V566" i="2"/>
  <c r="V565" i="2"/>
  <c r="W565" i="2"/>
  <c r="W564" i="2"/>
  <c r="V564" i="2"/>
  <c r="W563" i="2"/>
  <c r="V563" i="2"/>
  <c r="V562" i="2"/>
  <c r="W562" i="2"/>
  <c r="V561" i="2"/>
  <c r="W561" i="2"/>
  <c r="W560" i="2"/>
  <c r="V560" i="2"/>
  <c r="V559" i="2"/>
  <c r="W559" i="2"/>
  <c r="W558" i="2"/>
  <c r="V558" i="2"/>
  <c r="W557" i="2"/>
  <c r="V557" i="2"/>
  <c r="V556" i="2"/>
  <c r="W556" i="2"/>
  <c r="V555" i="2"/>
  <c r="W555" i="2"/>
  <c r="V554" i="2"/>
  <c r="W554" i="2"/>
  <c r="W553" i="2"/>
  <c r="V553" i="2"/>
  <c r="W552" i="2"/>
  <c r="V552" i="2"/>
  <c r="V551" i="2"/>
  <c r="W551" i="2"/>
  <c r="W550" i="2"/>
  <c r="V550" i="2"/>
  <c r="W549" i="2"/>
  <c r="V549" i="2"/>
  <c r="W548" i="2"/>
  <c r="V548" i="2"/>
  <c r="W547" i="2"/>
  <c r="V547" i="2"/>
  <c r="V546" i="2"/>
  <c r="W546" i="2"/>
  <c r="W545" i="2"/>
  <c r="V545" i="2"/>
  <c r="V544" i="2"/>
  <c r="W544" i="2"/>
  <c r="W543" i="2"/>
  <c r="V543" i="2"/>
  <c r="V542" i="2"/>
  <c r="W542" i="2"/>
  <c r="W541" i="2"/>
  <c r="V541" i="2"/>
  <c r="W540" i="2"/>
  <c r="V540" i="2"/>
  <c r="W539" i="2"/>
  <c r="V539" i="2"/>
  <c r="W538" i="2"/>
  <c r="V538" i="2"/>
  <c r="W537" i="2"/>
  <c r="V537" i="2"/>
  <c r="W536" i="2"/>
  <c r="V536" i="2"/>
  <c r="V535" i="2"/>
  <c r="W535" i="2"/>
  <c r="W534" i="2"/>
  <c r="V534" i="2"/>
  <c r="V533" i="2"/>
  <c r="W533" i="2"/>
  <c r="W532" i="2"/>
  <c r="V532" i="2"/>
  <c r="V531" i="2"/>
  <c r="W531" i="2"/>
  <c r="V530" i="2"/>
  <c r="W530" i="2"/>
  <c r="W529" i="2"/>
  <c r="V529" i="2"/>
  <c r="W528" i="2"/>
  <c r="V528" i="2"/>
  <c r="W527" i="2"/>
  <c r="V527" i="2"/>
  <c r="W526" i="2"/>
  <c r="V526" i="2"/>
  <c r="V525" i="2"/>
  <c r="W525" i="2"/>
  <c r="W524" i="2"/>
  <c r="V524" i="2"/>
  <c r="V523" i="2"/>
  <c r="W523" i="2"/>
  <c r="W522" i="2"/>
  <c r="V522" i="2"/>
  <c r="V521" i="2"/>
  <c r="W521" i="2"/>
  <c r="V520" i="2"/>
  <c r="W520" i="2"/>
  <c r="V519" i="2"/>
  <c r="W519" i="2"/>
  <c r="W518" i="2"/>
  <c r="V518" i="2"/>
  <c r="W517" i="2"/>
  <c r="V517" i="2"/>
  <c r="V516" i="2"/>
  <c r="W516" i="2"/>
  <c r="W515" i="2"/>
  <c r="V515" i="2"/>
  <c r="V514" i="2"/>
  <c r="W514" i="2"/>
  <c r="W513" i="2"/>
  <c r="V513" i="2"/>
  <c r="V512" i="2"/>
  <c r="W512" i="2"/>
  <c r="V510" i="2"/>
  <c r="W510" i="2"/>
  <c r="W509" i="2"/>
  <c r="V509" i="2"/>
  <c r="W508" i="2"/>
  <c r="V508" i="2"/>
  <c r="W507" i="2"/>
  <c r="V507" i="2"/>
  <c r="W506" i="2"/>
  <c r="V506" i="2"/>
  <c r="W505" i="2"/>
  <c r="V505" i="2"/>
  <c r="W504" i="2"/>
  <c r="V504" i="2"/>
  <c r="W503" i="2"/>
  <c r="V503" i="2"/>
  <c r="V502" i="2"/>
  <c r="W502" i="2"/>
  <c r="W501" i="2"/>
  <c r="V501" i="2"/>
  <c r="W500" i="2"/>
  <c r="V500" i="2"/>
  <c r="V499" i="2"/>
  <c r="W499" i="2"/>
  <c r="W498" i="2"/>
  <c r="V498" i="2"/>
  <c r="W497" i="2"/>
  <c r="V497" i="2"/>
  <c r="V496" i="2"/>
  <c r="W496" i="2"/>
  <c r="V495" i="2"/>
  <c r="W495" i="2"/>
  <c r="W494" i="2"/>
  <c r="V494" i="2"/>
  <c r="V493" i="2"/>
  <c r="W493" i="2"/>
  <c r="V492" i="2"/>
  <c r="W492" i="2"/>
  <c r="W491" i="2"/>
  <c r="V491" i="2"/>
  <c r="V490" i="2"/>
  <c r="W490" i="2"/>
  <c r="W489" i="2"/>
  <c r="V489" i="2"/>
  <c r="V488" i="2"/>
  <c r="W488" i="2"/>
  <c r="V487" i="2"/>
  <c r="W487" i="2"/>
  <c r="W486" i="2"/>
  <c r="V486" i="2"/>
  <c r="W485" i="2"/>
  <c r="V485" i="2"/>
  <c r="W484" i="2"/>
  <c r="V484" i="2"/>
  <c r="W483" i="2"/>
  <c r="V483" i="2"/>
  <c r="V482" i="2"/>
  <c r="W482" i="2"/>
  <c r="W481" i="2"/>
  <c r="V481" i="2"/>
  <c r="V480" i="2"/>
  <c r="W480" i="2"/>
  <c r="V479" i="2"/>
  <c r="W479" i="2"/>
  <c r="V478" i="2"/>
  <c r="W478" i="2"/>
  <c r="W477" i="2"/>
  <c r="V477" i="2"/>
  <c r="W476" i="2"/>
  <c r="V476" i="2"/>
  <c r="W475" i="2"/>
  <c r="V475" i="2"/>
  <c r="V474" i="2"/>
  <c r="W474" i="2"/>
  <c r="W473" i="2"/>
  <c r="V473" i="2"/>
  <c r="W472" i="2"/>
  <c r="V472" i="2"/>
  <c r="V471" i="2"/>
  <c r="W471" i="2"/>
  <c r="W470" i="2"/>
  <c r="V470" i="2"/>
  <c r="W469" i="2"/>
  <c r="V469" i="2"/>
  <c r="W468" i="2"/>
  <c r="V468" i="2"/>
  <c r="W467" i="2"/>
  <c r="V467" i="2"/>
  <c r="W466" i="2"/>
  <c r="V466" i="2"/>
  <c r="V465" i="2"/>
  <c r="W465" i="2"/>
  <c r="V464" i="2"/>
  <c r="W464" i="2"/>
  <c r="V463" i="2"/>
  <c r="W463" i="2"/>
  <c r="V462" i="2"/>
  <c r="W462" i="2"/>
  <c r="V461" i="2"/>
  <c r="W461" i="2"/>
  <c r="V460" i="2"/>
  <c r="W460" i="2"/>
  <c r="W459" i="2"/>
  <c r="V459" i="2"/>
  <c r="V458" i="2"/>
  <c r="W458" i="2"/>
  <c r="V457" i="2"/>
  <c r="W457" i="2"/>
  <c r="V456" i="2"/>
  <c r="W456" i="2"/>
  <c r="W455" i="2"/>
  <c r="V455" i="2"/>
  <c r="V454" i="2"/>
  <c r="W454" i="2"/>
  <c r="W453" i="2"/>
  <c r="V453" i="2"/>
  <c r="W452" i="2"/>
  <c r="V452" i="2"/>
  <c r="W451" i="2"/>
  <c r="V451" i="2"/>
  <c r="V450" i="2"/>
  <c r="W450" i="2"/>
  <c r="W449" i="2"/>
  <c r="V449" i="2"/>
  <c r="W448" i="2"/>
  <c r="V448" i="2"/>
  <c r="V447" i="2"/>
  <c r="W447" i="2"/>
  <c r="V446" i="2"/>
  <c r="W446" i="2"/>
  <c r="V445" i="2"/>
  <c r="W445" i="2"/>
  <c r="W444" i="2"/>
  <c r="V444" i="2"/>
  <c r="W443" i="2"/>
  <c r="V443" i="2"/>
  <c r="W442" i="2"/>
  <c r="V442" i="2"/>
  <c r="V441" i="2"/>
  <c r="W441" i="2"/>
  <c r="V440" i="2"/>
  <c r="W440" i="2"/>
  <c r="W439" i="2"/>
  <c r="V439" i="2"/>
  <c r="W438" i="2"/>
  <c r="V438" i="2"/>
  <c r="W437" i="2"/>
  <c r="V437" i="2"/>
  <c r="W436" i="2"/>
  <c r="V436" i="2"/>
  <c r="V435" i="2"/>
  <c r="W435" i="2"/>
  <c r="W434" i="2"/>
  <c r="V434" i="2"/>
  <c r="W433" i="2"/>
  <c r="V433" i="2"/>
  <c r="V432" i="2"/>
  <c r="W432" i="2"/>
  <c r="V431" i="2"/>
  <c r="W431" i="2"/>
  <c r="V430" i="2"/>
  <c r="W430" i="2"/>
  <c r="W429" i="2"/>
  <c r="V429" i="2"/>
  <c r="V428" i="2"/>
  <c r="W428" i="2"/>
  <c r="W427" i="2"/>
  <c r="V427" i="2"/>
  <c r="W426" i="2"/>
  <c r="V426" i="2"/>
  <c r="W425" i="2"/>
  <c r="V425" i="2"/>
  <c r="W424" i="2"/>
  <c r="V424" i="2"/>
  <c r="W423" i="2"/>
  <c r="V423" i="2"/>
  <c r="W422" i="2"/>
  <c r="V422" i="2"/>
  <c r="W421" i="2"/>
  <c r="V421" i="2"/>
  <c r="W420" i="2"/>
  <c r="V420" i="2"/>
  <c r="W419" i="2"/>
  <c r="V419" i="2"/>
  <c r="V418" i="2"/>
  <c r="W418" i="2"/>
  <c r="V417" i="2"/>
  <c r="W417" i="2"/>
  <c r="V416" i="2"/>
  <c r="W416" i="2"/>
  <c r="V415" i="2"/>
  <c r="W415" i="2"/>
  <c r="V414" i="2"/>
  <c r="W414" i="2"/>
  <c r="W413" i="2"/>
  <c r="V413" i="2"/>
  <c r="V412" i="2"/>
  <c r="W412" i="2"/>
  <c r="V411" i="2"/>
  <c r="W411" i="2"/>
  <c r="W410" i="2"/>
  <c r="V410" i="2"/>
  <c r="W409" i="2"/>
  <c r="V409" i="2"/>
  <c r="V408" i="2"/>
  <c r="W408" i="2"/>
  <c r="V407" i="2"/>
  <c r="W407" i="2"/>
  <c r="V406" i="2"/>
  <c r="W406" i="2"/>
  <c r="V405" i="2"/>
  <c r="W405" i="2"/>
  <c r="V404" i="2"/>
  <c r="W404" i="2"/>
  <c r="W403" i="2"/>
  <c r="V403" i="2"/>
  <c r="V402" i="2"/>
  <c r="W402" i="2"/>
  <c r="W401" i="2"/>
  <c r="V401" i="2"/>
  <c r="W400" i="2"/>
  <c r="V400" i="2"/>
  <c r="W399" i="2"/>
  <c r="V399" i="2"/>
  <c r="W398" i="2"/>
  <c r="V398" i="2"/>
  <c r="V397" i="2"/>
  <c r="W397" i="2"/>
  <c r="W396" i="2"/>
  <c r="V396" i="2"/>
  <c r="W395" i="2"/>
  <c r="V395" i="2"/>
  <c r="V394" i="2"/>
  <c r="W394" i="2"/>
  <c r="V393" i="2"/>
  <c r="W393" i="2"/>
  <c r="V392" i="2"/>
  <c r="W392" i="2"/>
  <c r="V391" i="2"/>
  <c r="W391" i="2"/>
  <c r="V390" i="2"/>
  <c r="W390" i="2"/>
  <c r="W389" i="2"/>
  <c r="V389" i="2"/>
  <c r="V388" i="2"/>
  <c r="W388" i="2"/>
  <c r="V387" i="2"/>
  <c r="W387" i="2"/>
  <c r="W386" i="2"/>
  <c r="V386" i="2"/>
  <c r="W385" i="2"/>
  <c r="V385" i="2"/>
  <c r="W384" i="2"/>
  <c r="V384" i="2"/>
  <c r="W383" i="2"/>
  <c r="V383" i="2"/>
  <c r="W382" i="2"/>
  <c r="V382" i="2"/>
  <c r="V381" i="2"/>
  <c r="W381" i="2"/>
  <c r="W380" i="2"/>
  <c r="V380" i="2"/>
  <c r="W379" i="2"/>
  <c r="V379" i="2"/>
  <c r="W378" i="2"/>
  <c r="V378" i="2"/>
  <c r="W377" i="2"/>
  <c r="V377" i="2"/>
  <c r="W376" i="2"/>
  <c r="V376" i="2"/>
  <c r="W375" i="2"/>
  <c r="V375" i="2"/>
  <c r="W374" i="2"/>
  <c r="V374" i="2"/>
  <c r="V373" i="2"/>
  <c r="W373" i="2"/>
  <c r="V372" i="2"/>
  <c r="W372" i="2"/>
  <c r="W371" i="2"/>
  <c r="V371" i="2"/>
  <c r="W370" i="2"/>
  <c r="V370" i="2"/>
  <c r="W369" i="2"/>
  <c r="V369" i="2"/>
  <c r="V368" i="2"/>
  <c r="W368" i="2"/>
  <c r="W367" i="2"/>
  <c r="V367" i="2"/>
  <c r="W366" i="2"/>
  <c r="V366" i="2"/>
  <c r="W365" i="2"/>
  <c r="V365" i="2"/>
  <c r="V364" i="2"/>
  <c r="W364" i="2"/>
  <c r="V363" i="2"/>
  <c r="W363" i="2"/>
  <c r="V362" i="2"/>
  <c r="W362" i="2"/>
  <c r="V361" i="2"/>
  <c r="W361" i="2"/>
  <c r="W360" i="2"/>
  <c r="V360" i="2"/>
  <c r="V359" i="2"/>
  <c r="W359" i="2"/>
  <c r="V358" i="2"/>
  <c r="W358" i="2"/>
  <c r="W357" i="2"/>
  <c r="V357" i="2"/>
  <c r="V356" i="2"/>
  <c r="W356" i="2"/>
  <c r="W355" i="2"/>
  <c r="V355" i="2"/>
  <c r="W354" i="2"/>
  <c r="V354" i="2"/>
  <c r="W353" i="2"/>
  <c r="V353" i="2"/>
  <c r="W352" i="2"/>
  <c r="V352" i="2"/>
  <c r="W351" i="2"/>
  <c r="V351" i="2"/>
  <c r="W350" i="2"/>
  <c r="V350" i="2"/>
  <c r="W349" i="2"/>
  <c r="V349" i="2"/>
  <c r="V348" i="2"/>
  <c r="W348" i="2"/>
  <c r="V347" i="2"/>
  <c r="W347" i="2"/>
  <c r="W346" i="2"/>
  <c r="V346" i="2"/>
  <c r="V345" i="2"/>
  <c r="W345" i="2"/>
  <c r="V344" i="2"/>
  <c r="W344" i="2"/>
  <c r="W343" i="2"/>
  <c r="V343" i="2"/>
  <c r="W342" i="2"/>
  <c r="V342" i="2"/>
  <c r="V341" i="2"/>
  <c r="W341" i="2"/>
  <c r="W340" i="2"/>
  <c r="V340" i="2"/>
  <c r="V339" i="2"/>
  <c r="W339" i="2"/>
  <c r="W338" i="2"/>
  <c r="V338" i="2"/>
  <c r="V337" i="2"/>
  <c r="W337" i="2"/>
  <c r="W336" i="2"/>
  <c r="V336" i="2"/>
  <c r="V335" i="2"/>
  <c r="W335" i="2"/>
  <c r="W334" i="2"/>
  <c r="V334" i="2"/>
  <c r="W333" i="2"/>
  <c r="V333" i="2"/>
  <c r="W332" i="2"/>
  <c r="V332" i="2"/>
  <c r="W331" i="2"/>
  <c r="V331" i="2"/>
  <c r="W330" i="2"/>
  <c r="V330" i="2"/>
  <c r="W329" i="2"/>
  <c r="V329" i="2"/>
  <c r="W328" i="2"/>
  <c r="V328" i="2"/>
  <c r="W327" i="2"/>
  <c r="V327" i="2"/>
  <c r="W326" i="2"/>
  <c r="V326" i="2"/>
  <c r="V325" i="2"/>
  <c r="W325" i="2"/>
  <c r="W324" i="2"/>
  <c r="V324" i="2"/>
  <c r="W323" i="2"/>
  <c r="V323" i="2"/>
  <c r="W322" i="2"/>
  <c r="V322" i="2"/>
  <c r="W321" i="2"/>
  <c r="V321" i="2"/>
  <c r="W320" i="2"/>
  <c r="V320" i="2"/>
  <c r="W319" i="2"/>
  <c r="V319" i="2"/>
  <c r="W318" i="2"/>
  <c r="V318" i="2"/>
  <c r="V317" i="2"/>
  <c r="W317" i="2"/>
  <c r="W316" i="2"/>
  <c r="V316" i="2"/>
  <c r="V315" i="2"/>
  <c r="W315" i="2"/>
  <c r="W314" i="2"/>
  <c r="V314" i="2"/>
  <c r="V313" i="2"/>
  <c r="W313" i="2"/>
  <c r="V312" i="2"/>
  <c r="W312" i="2"/>
  <c r="W311" i="2"/>
  <c r="V311" i="2"/>
  <c r="W310" i="2"/>
  <c r="V310" i="2"/>
  <c r="W309" i="2"/>
  <c r="V309" i="2"/>
  <c r="W308" i="2"/>
  <c r="V308" i="2"/>
  <c r="W307" i="2"/>
  <c r="V307" i="2"/>
  <c r="V306" i="2"/>
  <c r="W306" i="2"/>
  <c r="V305" i="2"/>
  <c r="W305" i="2"/>
  <c r="V304" i="2"/>
  <c r="W304" i="2"/>
  <c r="V303" i="2"/>
  <c r="W303" i="2"/>
  <c r="W302" i="2"/>
  <c r="V302" i="2"/>
  <c r="W301" i="2"/>
  <c r="V301" i="2"/>
  <c r="V300" i="2"/>
  <c r="W300" i="2"/>
  <c r="V299" i="2"/>
  <c r="W299" i="2"/>
  <c r="V298" i="2"/>
  <c r="W298" i="2"/>
  <c r="V297" i="2"/>
  <c r="W297" i="2"/>
  <c r="W296" i="2"/>
  <c r="V296" i="2"/>
  <c r="W295" i="2"/>
  <c r="V295" i="2"/>
  <c r="W294" i="2"/>
  <c r="V294" i="2"/>
  <c r="W293" i="2"/>
  <c r="V293" i="2"/>
  <c r="V292" i="2"/>
  <c r="W292" i="2"/>
  <c r="V291" i="2"/>
  <c r="W291" i="2"/>
  <c r="W290" i="2"/>
  <c r="V290" i="2"/>
  <c r="V289" i="2"/>
  <c r="W289" i="2"/>
  <c r="V288" i="2"/>
  <c r="W288" i="2"/>
  <c r="V287" i="2"/>
  <c r="W287" i="2"/>
  <c r="V286" i="2"/>
  <c r="W286" i="2"/>
  <c r="V285" i="2"/>
  <c r="W285" i="2"/>
  <c r="W284" i="2"/>
  <c r="V284" i="2"/>
  <c r="W283" i="2"/>
  <c r="V283" i="2"/>
  <c r="W282" i="2"/>
  <c r="V282" i="2"/>
  <c r="V281" i="2"/>
  <c r="W281" i="2"/>
  <c r="W280" i="2"/>
  <c r="V280" i="2"/>
  <c r="W278" i="2"/>
  <c r="V278" i="2"/>
  <c r="V277" i="2"/>
  <c r="W277" i="2"/>
  <c r="W276" i="2"/>
  <c r="V276" i="2"/>
  <c r="W275" i="2"/>
  <c r="V275" i="2"/>
  <c r="W274" i="2"/>
  <c r="V274" i="2"/>
  <c r="W273" i="2"/>
  <c r="V273" i="2"/>
  <c r="V272" i="2"/>
  <c r="W272" i="2"/>
  <c r="V271" i="2"/>
  <c r="W271" i="2"/>
  <c r="W270" i="2"/>
  <c r="V270" i="2"/>
  <c r="W269" i="2"/>
  <c r="V269" i="2"/>
  <c r="W268" i="2"/>
  <c r="V268" i="2"/>
  <c r="V267" i="2"/>
  <c r="W267" i="2"/>
  <c r="W266" i="2"/>
  <c r="V266" i="2"/>
  <c r="V265" i="2"/>
  <c r="W265" i="2"/>
  <c r="W264" i="2"/>
  <c r="V264" i="2"/>
  <c r="W263" i="2"/>
  <c r="V263" i="2"/>
  <c r="V262" i="2"/>
  <c r="W262" i="2"/>
  <c r="V261" i="2"/>
  <c r="W261" i="2"/>
  <c r="W260" i="2"/>
  <c r="V260" i="2"/>
  <c r="V259" i="2"/>
  <c r="W259" i="2"/>
  <c r="W258" i="2"/>
  <c r="V258" i="2"/>
  <c r="W257" i="2"/>
  <c r="V257" i="2"/>
  <c r="W256" i="2"/>
  <c r="V256" i="2"/>
  <c r="V255" i="2"/>
  <c r="W255" i="2"/>
  <c r="V254" i="2"/>
  <c r="W254" i="2"/>
  <c r="W253" i="2"/>
  <c r="V253" i="2"/>
  <c r="V252" i="2"/>
  <c r="W252" i="2"/>
  <c r="W251" i="2"/>
  <c r="V251" i="2"/>
  <c r="V250" i="2"/>
  <c r="W250" i="2"/>
  <c r="W249" i="2"/>
  <c r="V249" i="2"/>
  <c r="W248" i="2"/>
  <c r="V248" i="2"/>
  <c r="W247" i="2"/>
  <c r="V247" i="2"/>
  <c r="V246" i="2"/>
  <c r="W246" i="2"/>
  <c r="W245" i="2"/>
  <c r="V245" i="2"/>
  <c r="W244" i="2"/>
  <c r="V244" i="2"/>
  <c r="V243" i="2"/>
  <c r="W243" i="2"/>
  <c r="V242" i="2"/>
  <c r="W242" i="2"/>
  <c r="V241" i="2"/>
  <c r="W241" i="2"/>
  <c r="V240" i="2"/>
  <c r="W240" i="2"/>
  <c r="V239" i="2"/>
  <c r="W239" i="2"/>
  <c r="V237" i="2"/>
  <c r="W237" i="2"/>
  <c r="V236" i="2"/>
  <c r="W236" i="2"/>
  <c r="V235" i="2"/>
  <c r="W235" i="2"/>
  <c r="V234" i="2"/>
  <c r="W234" i="2"/>
  <c r="W233" i="2"/>
  <c r="V233" i="2"/>
  <c r="W232" i="2"/>
  <c r="V232" i="2"/>
  <c r="W231" i="2"/>
  <c r="V231" i="2"/>
  <c r="W230" i="2"/>
  <c r="V230" i="2"/>
  <c r="W229" i="2"/>
  <c r="V229" i="2"/>
  <c r="W228" i="2"/>
  <c r="V228" i="2"/>
  <c r="W227" i="2"/>
  <c r="V227" i="2"/>
  <c r="V226" i="2"/>
  <c r="W226" i="2"/>
  <c r="W225" i="2"/>
  <c r="V225" i="2"/>
  <c r="W224" i="2"/>
  <c r="V224" i="2"/>
  <c r="V223" i="2"/>
  <c r="W223" i="2"/>
  <c r="V222" i="2"/>
  <c r="W222" i="2"/>
  <c r="W221" i="2"/>
  <c r="V221" i="2"/>
  <c r="W220" i="2"/>
  <c r="V220" i="2"/>
  <c r="V219" i="2"/>
  <c r="W219" i="2"/>
  <c r="V218" i="2"/>
  <c r="W218" i="2"/>
  <c r="W217" i="2"/>
  <c r="V217" i="2"/>
  <c r="V216" i="2"/>
  <c r="W216" i="2"/>
  <c r="V215" i="2"/>
  <c r="W215" i="2"/>
  <c r="V214" i="2"/>
  <c r="W214" i="2"/>
  <c r="W213" i="2"/>
  <c r="V213" i="2"/>
  <c r="V212" i="2"/>
  <c r="W212" i="2"/>
  <c r="W211" i="2"/>
  <c r="V211" i="2"/>
  <c r="W210" i="2"/>
  <c r="V210" i="2"/>
  <c r="V209" i="2"/>
  <c r="W209" i="2"/>
  <c r="V208" i="2"/>
  <c r="W208" i="2"/>
  <c r="V207" i="2"/>
  <c r="W207" i="2"/>
  <c r="V206" i="2"/>
  <c r="W206" i="2"/>
  <c r="W205" i="2"/>
  <c r="V205" i="2"/>
  <c r="V204" i="2"/>
  <c r="W204" i="2"/>
  <c r="V203" i="2"/>
  <c r="W203" i="2"/>
  <c r="W202" i="2"/>
  <c r="V202" i="2"/>
  <c r="W201" i="2"/>
  <c r="V201" i="2"/>
  <c r="V200" i="2"/>
  <c r="W200" i="2"/>
  <c r="V199" i="2"/>
  <c r="W199" i="2"/>
  <c r="V198" i="2"/>
  <c r="W198" i="2"/>
  <c r="V197" i="2"/>
  <c r="W197" i="2"/>
  <c r="V196" i="2"/>
  <c r="W196" i="2"/>
  <c r="W195" i="2"/>
  <c r="V195" i="2"/>
  <c r="W194" i="2"/>
  <c r="V194" i="2"/>
  <c r="W193" i="2"/>
  <c r="V193" i="2"/>
  <c r="V192" i="2"/>
  <c r="W192" i="2"/>
  <c r="V191" i="2"/>
  <c r="W191" i="2"/>
  <c r="W190" i="2"/>
  <c r="V190" i="2"/>
  <c r="V189" i="2"/>
  <c r="W189" i="2"/>
  <c r="W188" i="2"/>
  <c r="V188" i="2"/>
  <c r="V187" i="2"/>
  <c r="W187" i="2"/>
  <c r="W186" i="2"/>
  <c r="V186" i="2"/>
  <c r="W185" i="2"/>
  <c r="V185" i="2"/>
  <c r="W184" i="2"/>
  <c r="V184" i="2"/>
  <c r="V183" i="2"/>
  <c r="W183" i="2"/>
  <c r="W182" i="2"/>
  <c r="V182" i="2"/>
  <c r="W181" i="2"/>
  <c r="V181" i="2"/>
  <c r="V180" i="2"/>
  <c r="W180" i="2"/>
  <c r="W179" i="2"/>
  <c r="V179" i="2"/>
  <c r="V178" i="2"/>
  <c r="W178" i="2"/>
  <c r="W177" i="2"/>
  <c r="V177" i="2"/>
  <c r="W176" i="2"/>
  <c r="V176" i="2"/>
  <c r="W175" i="2"/>
  <c r="V175" i="2"/>
  <c r="W174" i="2"/>
  <c r="V174" i="2"/>
  <c r="W173" i="2"/>
  <c r="V173" i="2"/>
  <c r="W172" i="2"/>
  <c r="V172" i="2"/>
  <c r="V171" i="2"/>
  <c r="W171" i="2"/>
  <c r="V170" i="2"/>
  <c r="W170" i="2"/>
  <c r="W169" i="2"/>
  <c r="V169" i="2"/>
  <c r="W168" i="2"/>
  <c r="V168" i="2"/>
  <c r="W167" i="2"/>
  <c r="V167" i="2"/>
  <c r="V166" i="2"/>
  <c r="W166" i="2"/>
  <c r="V165" i="2"/>
  <c r="W165" i="2"/>
  <c r="W164" i="2"/>
  <c r="V164" i="2"/>
  <c r="V163" i="2"/>
  <c r="W163" i="2"/>
  <c r="W162" i="2"/>
  <c r="V162" i="2"/>
  <c r="V161" i="2"/>
  <c r="W161" i="2"/>
  <c r="W160" i="2"/>
  <c r="V160" i="2"/>
  <c r="W159" i="2"/>
  <c r="V159" i="2"/>
  <c r="W158" i="2"/>
  <c r="V158" i="2"/>
  <c r="V157" i="2"/>
  <c r="W157" i="2"/>
  <c r="W156" i="2"/>
  <c r="V156" i="2"/>
  <c r="V155" i="2"/>
  <c r="W155" i="2"/>
  <c r="W154" i="2"/>
  <c r="V154" i="2"/>
  <c r="W153" i="2"/>
  <c r="V153" i="2"/>
  <c r="V152" i="2"/>
  <c r="W152" i="2"/>
  <c r="V151" i="2"/>
  <c r="W151" i="2"/>
  <c r="V150" i="2"/>
  <c r="W150" i="2"/>
  <c r="V149" i="2"/>
  <c r="W149" i="2"/>
  <c r="V148" i="2"/>
  <c r="W148" i="2"/>
  <c r="W147" i="2"/>
  <c r="V147" i="2"/>
  <c r="W146" i="2"/>
  <c r="V146" i="2"/>
  <c r="W145" i="2"/>
  <c r="V145" i="2"/>
  <c r="W144" i="2"/>
  <c r="V144" i="2"/>
  <c r="W143" i="2"/>
  <c r="V143" i="2"/>
  <c r="W142" i="2"/>
  <c r="V142" i="2"/>
  <c r="W141" i="2"/>
  <c r="V141" i="2"/>
  <c r="V140" i="2"/>
  <c r="W140" i="2"/>
  <c r="W139" i="2"/>
  <c r="V139" i="2"/>
  <c r="V138" i="2"/>
  <c r="W138" i="2"/>
  <c r="V137" i="2"/>
  <c r="W137" i="2"/>
  <c r="V136" i="2"/>
  <c r="W136" i="2"/>
  <c r="V135" i="2"/>
  <c r="W135" i="2"/>
  <c r="V134" i="2"/>
  <c r="W134" i="2"/>
  <c r="W133" i="2"/>
  <c r="V133" i="2"/>
  <c r="W132" i="2"/>
  <c r="V132" i="2"/>
  <c r="W131" i="2"/>
  <c r="V131" i="2"/>
  <c r="W130" i="2"/>
  <c r="V130" i="2"/>
  <c r="V129" i="2"/>
  <c r="W129" i="2"/>
  <c r="W128" i="2"/>
  <c r="V128" i="2"/>
  <c r="W127" i="2"/>
  <c r="V127" i="2"/>
  <c r="W126" i="2"/>
  <c r="V126" i="2"/>
  <c r="W125" i="2"/>
  <c r="V125" i="2"/>
  <c r="V124" i="2"/>
  <c r="W124" i="2"/>
  <c r="V123" i="2"/>
  <c r="W123" i="2"/>
  <c r="V122" i="2"/>
  <c r="W122" i="2"/>
  <c r="W121" i="2"/>
  <c r="V121" i="2"/>
  <c r="V120" i="2"/>
  <c r="W120" i="2"/>
  <c r="W119" i="2"/>
  <c r="V119" i="2"/>
  <c r="V118" i="2"/>
  <c r="W118" i="2"/>
  <c r="V117" i="2"/>
  <c r="W117" i="2"/>
  <c r="V115" i="2"/>
  <c r="W115" i="2"/>
  <c r="V114" i="2"/>
  <c r="W114" i="2"/>
  <c r="V113" i="2"/>
  <c r="W113" i="2"/>
  <c r="W112" i="2"/>
  <c r="V112" i="2"/>
  <c r="W111" i="2"/>
  <c r="V111" i="2"/>
  <c r="W110" i="2"/>
  <c r="V110" i="2"/>
  <c r="W109" i="2"/>
  <c r="V109" i="2"/>
  <c r="W108" i="2"/>
  <c r="V108" i="2"/>
  <c r="W107" i="2"/>
  <c r="V107" i="2"/>
  <c r="V106" i="2"/>
  <c r="W106" i="2"/>
  <c r="W105" i="2"/>
  <c r="V105" i="2"/>
  <c r="W104" i="2"/>
  <c r="V104" i="2"/>
  <c r="W103" i="2"/>
  <c r="V103" i="2"/>
  <c r="V102" i="2"/>
  <c r="W102" i="2"/>
  <c r="V101" i="2"/>
  <c r="W101" i="2"/>
  <c r="W100" i="2"/>
  <c r="V100" i="2"/>
  <c r="W99" i="2"/>
  <c r="V99" i="2"/>
  <c r="W98" i="2"/>
  <c r="V98" i="2"/>
  <c r="V97" i="2"/>
  <c r="W97" i="2"/>
  <c r="W96" i="2"/>
  <c r="V96" i="2"/>
  <c r="W95" i="2"/>
  <c r="V95" i="2"/>
  <c r="W94" i="2"/>
  <c r="V94" i="2"/>
  <c r="W93" i="2"/>
  <c r="V93" i="2"/>
  <c r="W92" i="2"/>
  <c r="V92" i="2"/>
  <c r="V91" i="2"/>
  <c r="W91" i="2"/>
  <c r="V90" i="2"/>
  <c r="W90" i="2"/>
  <c r="W89" i="2"/>
  <c r="V89" i="2"/>
  <c r="W88" i="2"/>
  <c r="V88" i="2"/>
  <c r="V87" i="2"/>
  <c r="W87" i="2"/>
  <c r="V86" i="2"/>
  <c r="W86" i="2"/>
  <c r="W85" i="2"/>
  <c r="V85" i="2"/>
  <c r="W84" i="2"/>
  <c r="V84" i="2"/>
  <c r="V83" i="2"/>
  <c r="W83" i="2"/>
  <c r="W82" i="2"/>
  <c r="V82" i="2"/>
  <c r="W81" i="2"/>
  <c r="V81" i="2"/>
  <c r="V80" i="2"/>
  <c r="W80" i="2"/>
  <c r="W79" i="2"/>
  <c r="V79" i="2"/>
  <c r="W78" i="2"/>
  <c r="V78" i="2"/>
  <c r="V77" i="2"/>
  <c r="W77" i="2"/>
  <c r="V76" i="2"/>
  <c r="W76" i="2"/>
  <c r="V74" i="2"/>
  <c r="W74" i="2"/>
  <c r="V73" i="2"/>
  <c r="W73" i="2"/>
  <c r="W72" i="2"/>
  <c r="V72" i="2"/>
  <c r="V71" i="2"/>
  <c r="W71" i="2"/>
  <c r="V70" i="2"/>
  <c r="W70" i="2"/>
  <c r="W69" i="2"/>
  <c r="V69" i="2"/>
  <c r="W68" i="2"/>
  <c r="V68" i="2"/>
  <c r="V67" i="2"/>
  <c r="W67" i="2"/>
  <c r="V66" i="2"/>
  <c r="W66" i="2"/>
  <c r="V65" i="2"/>
  <c r="W65" i="2"/>
  <c r="W64" i="2"/>
  <c r="V64" i="2"/>
  <c r="W63" i="2"/>
  <c r="V63" i="2"/>
  <c r="W62" i="2"/>
  <c r="V62" i="2"/>
  <c r="V61" i="2"/>
  <c r="W61" i="2"/>
  <c r="V60" i="2"/>
  <c r="W60" i="2"/>
  <c r="V59" i="2"/>
  <c r="W59" i="2"/>
  <c r="V58" i="2"/>
  <c r="W58" i="2"/>
  <c r="V57" i="2"/>
  <c r="W57" i="2"/>
  <c r="W56" i="2"/>
  <c r="V56" i="2"/>
  <c r="W55" i="2"/>
  <c r="V55" i="2"/>
  <c r="V54" i="2"/>
  <c r="W54" i="2"/>
  <c r="W53" i="2"/>
  <c r="V53" i="2"/>
  <c r="W52" i="2"/>
  <c r="V52" i="2"/>
  <c r="W51" i="2"/>
  <c r="V51" i="2"/>
  <c r="W50" i="2"/>
  <c r="V50" i="2"/>
  <c r="W48" i="2"/>
  <c r="V48" i="2"/>
  <c r="W47" i="2"/>
  <c r="V47" i="2"/>
  <c r="W46" i="2"/>
  <c r="V46" i="2"/>
  <c r="V45" i="2"/>
  <c r="W45" i="2"/>
  <c r="W44" i="2"/>
  <c r="V44" i="2"/>
  <c r="W43" i="2"/>
  <c r="V43" i="2"/>
  <c r="V42" i="2"/>
  <c r="W42" i="2"/>
  <c r="W41" i="2"/>
  <c r="V41" i="2"/>
  <c r="V40" i="2"/>
  <c r="W40" i="2"/>
  <c r="V39" i="2"/>
  <c r="W39" i="2"/>
  <c r="W38" i="2"/>
  <c r="V38" i="2"/>
  <c r="W37" i="2"/>
  <c r="V37" i="2"/>
  <c r="W36" i="2"/>
  <c r="V36" i="2"/>
  <c r="V35" i="2"/>
  <c r="W35" i="2"/>
  <c r="W33" i="2"/>
  <c r="V33" i="2"/>
  <c r="W32" i="2"/>
  <c r="V32" i="2"/>
  <c r="W31" i="2"/>
  <c r="V31" i="2"/>
  <c r="V30" i="2"/>
  <c r="W30" i="2"/>
  <c r="W29" i="2"/>
  <c r="V29" i="2"/>
  <c r="W28" i="2"/>
  <c r="V28" i="2"/>
  <c r="W27" i="2"/>
  <c r="V27" i="2"/>
  <c r="V26" i="2"/>
  <c r="W26" i="2"/>
  <c r="W25" i="2"/>
  <c r="V25" i="2"/>
  <c r="W24" i="2"/>
  <c r="V24" i="2"/>
  <c r="V23" i="2"/>
  <c r="W23" i="2"/>
  <c r="W22" i="2"/>
  <c r="V22" i="2"/>
  <c r="W21" i="2"/>
  <c r="V21" i="2"/>
  <c r="W20" i="2"/>
  <c r="V20" i="2"/>
  <c r="W19" i="2"/>
  <c r="V19" i="2"/>
  <c r="W18" i="2"/>
  <c r="V18" i="2"/>
  <c r="W17" i="2"/>
  <c r="V17" i="2"/>
  <c r="V16" i="2"/>
  <c r="W16" i="2"/>
  <c r="W15" i="2"/>
  <c r="V15" i="2"/>
  <c r="W14" i="2"/>
  <c r="V14" i="2"/>
  <c r="V13" i="2"/>
  <c r="W13" i="2"/>
  <c r="W12" i="2"/>
  <c r="V12" i="2"/>
  <c r="W11" i="2"/>
  <c r="V11" i="2"/>
  <c r="W10" i="2"/>
  <c r="V10" i="2"/>
  <c r="V9" i="2"/>
  <c r="W9" i="2"/>
  <c r="W8" i="2"/>
  <c r="V8" i="2"/>
  <c r="V7" i="2"/>
  <c r="W7" i="2"/>
  <c r="B33" i="1" l="1"/>
  <c r="B35" i="1"/>
  <c r="B19" i="1"/>
  <c r="B28" i="17"/>
  <c r="B16" i="18"/>
  <c r="B40" i="1" s="1"/>
  <c r="B25" i="18"/>
  <c r="B29" i="18" s="1"/>
  <c r="B36" i="18" s="1"/>
  <c r="B39" i="1"/>
  <c r="B16" i="17"/>
  <c r="B18" i="1"/>
  <c r="B38" i="18" l="1"/>
  <c r="B40" i="18"/>
  <c r="B20" i="1"/>
  <c r="B21" i="1"/>
  <c r="B41" i="18" l="1"/>
  <c r="B42" i="1" s="1"/>
  <c r="B41" i="1"/>
  <c r="B21" i="14"/>
  <c r="B33" i="17"/>
  <c r="B34" i="17" s="1"/>
  <c r="B36" i="17" l="1"/>
  <c r="B38" i="17" s="1"/>
  <c r="B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<sst xmlns="http://schemas.openxmlformats.org/spreadsheetml/2006/main" count="420" uniqueCount="332">
  <si>
    <t>DASHBOARD FINANCIERO - AlvaroVelasco Net SRL</t>
  </si>
  <si>
    <t>Última actualización: 17/11/2025 00:00</t>
  </si>
  <si>
    <t>CUENTAS POR PAGAR (CxP)</t>
  </si>
  <si>
    <t>Total CxP USD:</t>
  </si>
  <si>
    <t>Total CxP CRC:</t>
  </si>
  <si>
    <t>Facturas vencidas:</t>
  </si>
  <si>
    <t>Promedio días pago:</t>
  </si>
  <si>
    <t>CUENTAS POR COBRAR (CxC)</t>
  </si>
  <si>
    <t>Total CxC USD:</t>
  </si>
  <si>
    <t>Total CxC CRC:</t>
  </si>
  <si>
    <t>Facturas &gt;60 días:</t>
  </si>
  <si>
    <t>Promedio días cobro:</t>
  </si>
  <si>
    <t>% CxC en riesgo (&gt;90):</t>
  </si>
  <si>
    <t>RATIOS FINANCIEROS</t>
  </si>
  <si>
    <t>Activo Corriente:</t>
  </si>
  <si>
    <t>Pasivo Corriente:</t>
  </si>
  <si>
    <t>Ratio Liquidez:</t>
  </si>
  <si>
    <t>Capital de Trabajo:</t>
  </si>
  <si>
    <t>Quick Ratio:</t>
  </si>
  <si>
    <t>FLUJO DE CAJA</t>
  </si>
  <si>
    <t>Ingresos mes USD:</t>
  </si>
  <si>
    <t>Gastos mes USD:</t>
  </si>
  <si>
    <t>Balance mes USD:</t>
  </si>
  <si>
    <t>Efectivo disponible:</t>
  </si>
  <si>
    <t>EFICIENCIA OPERACIONAL</t>
  </si>
  <si>
    <t>Días promedio CxC:</t>
  </si>
  <si>
    <t>Días promedio CxP:</t>
  </si>
  <si>
    <t>Ciclo conversión $ (días):</t>
  </si>
  <si>
    <t>Burn Rate (mes):</t>
  </si>
  <si>
    <t>Runway (meses):</t>
  </si>
  <si>
    <t>RENTABILIDAD</t>
  </si>
  <si>
    <t>Ingresos totales:</t>
  </si>
  <si>
    <t>Utilidad bruta:</t>
  </si>
  <si>
    <t>Margen bruto %:</t>
  </si>
  <si>
    <t>Utilidad neta:</t>
  </si>
  <si>
    <t>Margen neto %:</t>
  </si>
  <si>
    <t>ROE %:</t>
  </si>
  <si>
    <t>IVA CONTROL</t>
  </si>
  <si>
    <t>IVA Ventas:</t>
  </si>
  <si>
    <t>IVA Compras:</t>
  </si>
  <si>
    <t>A pagar Hacienda:</t>
  </si>
  <si>
    <t>ANÁLISIS DE RIESGO</t>
  </si>
  <si>
    <t>Concentración Top 3 Clientes:</t>
  </si>
  <si>
    <t>0.0%</t>
  </si>
  <si>
    <t>Concentración Top 3 Proveed:</t>
  </si>
  <si>
    <t>Facturas vencidas &gt;90 días:</t>
  </si>
  <si>
    <t>TRANSACCIONES - ÚNICA FUENTE DE VERDAD</t>
  </si>
  <si>
    <t>Fecha</t>
  </si>
  <si>
    <t>Entidad</t>
  </si>
  <si>
    <t>Categoría</t>
  </si>
  <si>
    <t>Subcategoría</t>
  </si>
  <si>
    <t>Moneda</t>
  </si>
  <si>
    <t>Monto</t>
  </si>
  <si>
    <t>Descripción</t>
  </si>
  <si>
    <t>Forma Pago</t>
  </si>
  <si>
    <t>IVA</t>
  </si>
  <si>
    <t>Notas</t>
  </si>
  <si>
    <t>Recurrente</t>
  </si>
  <si>
    <t>Proyecto</t>
  </si>
  <si>
    <t>Estado</t>
  </si>
  <si>
    <t>Factura #</t>
  </si>
  <si>
    <t>Tag</t>
  </si>
  <si>
    <t>Personal/Negocio</t>
  </si>
  <si>
    <t>TC Aplicado</t>
  </si>
  <si>
    <t>✓ Validación</t>
  </si>
  <si>
    <t>Días Trans</t>
  </si>
  <si>
    <t>Equiv USD</t>
  </si>
  <si>
    <t>Fecha Venc</t>
  </si>
  <si>
    <t>Prior CxP</t>
  </si>
  <si>
    <t>Prior CxC</t>
  </si>
  <si>
    <t>BAC San José</t>
  </si>
  <si>
    <t>CxP</t>
  </si>
  <si>
    <t>Tarjeta Crédito</t>
  </si>
  <si>
    <t>CRC</t>
  </si>
  <si>
    <t>Saldo tarjeta Visa Clásica</t>
  </si>
  <si>
    <t>No</t>
  </si>
  <si>
    <t>Pre-cargado - Corte día 15</t>
  </si>
  <si>
    <t>Pendiente</t>
  </si>
  <si>
    <t>Deuda Inicial</t>
  </si>
  <si>
    <t>Negocio</t>
  </si>
  <si>
    <t>Baja</t>
  </si>
  <si>
    <t>BCR</t>
  </si>
  <si>
    <t>Saldo tarjeta Mastercard</t>
  </si>
  <si>
    <t>Pre-cargado - Corte día 20</t>
  </si>
  <si>
    <t>Credomatic</t>
  </si>
  <si>
    <t>USD</t>
  </si>
  <si>
    <t>Saldo tarjeta Platinum</t>
  </si>
  <si>
    <t>Pre-cargado - Corte día 10</t>
  </si>
  <si>
    <t>Saldo tarjeta Gold</t>
  </si>
  <si>
    <t>CONFIGURACIÓN DEL SISTEMA</t>
  </si>
  <si>
    <t>⚠️ Celdas amarillas son EDITABLES - No modificar fórmulas</t>
  </si>
  <si>
    <t>Parámetro</t>
  </si>
  <si>
    <t>Valor</t>
  </si>
  <si>
    <t>Tipo Cambio USD→CRC</t>
  </si>
  <si>
    <t>Tipo de cambio actual</t>
  </si>
  <si>
    <t>BAC Visa - Día Corte</t>
  </si>
  <si>
    <t>Día de corte mensual</t>
  </si>
  <si>
    <t>BCR Mastercard - Día Corte</t>
  </si>
  <si>
    <t>Credomatic Platinum - Día Corte</t>
  </si>
  <si>
    <t>Credomatic Gold - Día Corte</t>
  </si>
  <si>
    <t>Proveedor Zona Franca 1</t>
  </si>
  <si>
    <t>VWR International LLC</t>
  </si>
  <si>
    <t>Exento de IVA</t>
  </si>
  <si>
    <t>Proveedor Zona Franca 2</t>
  </si>
  <si>
    <t>RS Hughes Co. Inc.</t>
  </si>
  <si>
    <t>IVA Costa Rica %</t>
  </si>
  <si>
    <t>Porcentaje IVA estándar</t>
  </si>
  <si>
    <t>Mes Actual de Trabajo</t>
  </si>
  <si>
    <t>Noviembre 2025</t>
  </si>
  <si>
    <t>Cambiar al hacer cierre</t>
  </si>
  <si>
    <t>Último Cierre Realizado</t>
  </si>
  <si>
    <t>31/10/2025</t>
  </si>
  <si>
    <t>Auto-actualiza</t>
  </si>
  <si>
    <t>Mes</t>
  </si>
  <si>
    <t>Ingresos USD</t>
  </si>
  <si>
    <t>Gastos USD</t>
  </si>
  <si>
    <t>Flujo Neto</t>
  </si>
  <si>
    <t>Acumulado</t>
  </si>
  <si>
    <t>CONTROL IVA 13%</t>
  </si>
  <si>
    <t>Monto Base</t>
  </si>
  <si>
    <t>IVA Aplicable</t>
  </si>
  <si>
    <t>Tipo</t>
  </si>
  <si>
    <t>CONTROL TARJETAS CRÉDITO</t>
  </si>
  <si>
    <t>Tarjeta</t>
  </si>
  <si>
    <t>Saldo Actual</t>
  </si>
  <si>
    <t>Día Corte</t>
  </si>
  <si>
    <t>Días hasta corte</t>
  </si>
  <si>
    <t>Próxima fecha</t>
  </si>
  <si>
    <t>Pagos mes</t>
  </si>
  <si>
    <t>CONCILIACIÓN BANCARIA</t>
  </si>
  <si>
    <t>Saldo según banco:</t>
  </si>
  <si>
    <t>Menos: Cheques en tránsito</t>
  </si>
  <si>
    <t>Más: Depósitos en tránsito</t>
  </si>
  <si>
    <t>Saldo según libros:</t>
  </si>
  <si>
    <t>Menos: Cargos bancarios</t>
  </si>
  <si>
    <t>Más: Intereses</t>
  </si>
  <si>
    <t>Diferencia:</t>
  </si>
  <si>
    <t>PERSONAL VS NEGOCIO</t>
  </si>
  <si>
    <t>Ingresos</t>
  </si>
  <si>
    <t>Gastos</t>
  </si>
  <si>
    <t>Balance</t>
  </si>
  <si>
    <t>PERSONAL</t>
  </si>
  <si>
    <t>NEGOCIO</t>
  </si>
  <si>
    <t>TOTAL</t>
  </si>
  <si>
    <t>ANÁLISIS POR CATEGORÍA</t>
  </si>
  <si>
    <t>Total Gastado</t>
  </si>
  <si>
    <t>% del Total</t>
  </si>
  <si>
    <t># Transacciones</t>
  </si>
  <si>
    <t>Promedio</t>
  </si>
  <si>
    <t>ANÁLISIS POR PROYECTO</t>
  </si>
  <si>
    <t>ANÁLISIS PROVEEDORES</t>
  </si>
  <si>
    <t>Proveedor</t>
  </si>
  <si>
    <t>Total Comprado</t>
  </si>
  <si>
    <t># Facturas</t>
  </si>
  <si>
    <t>Última Compra</t>
  </si>
  <si>
    <t>Días desde</t>
  </si>
  <si>
    <t>ANÁLISIS CLIENTES</t>
  </si>
  <si>
    <t>Cliente</t>
  </si>
  <si>
    <t>Total Vendido</t>
  </si>
  <si>
    <t>Última Venta</t>
  </si>
  <si>
    <t>AUDITORÍA Y DETECCIÓN DE ANOMALÍAS</t>
  </si>
  <si>
    <t>Fila</t>
  </si>
  <si>
    <t>Campo</t>
  </si>
  <si>
    <t>Problema</t>
  </si>
  <si>
    <t>Valor Actual</t>
  </si>
  <si>
    <t>Acción Sugerida</t>
  </si>
  <si>
    <t>CIERRE MENSUAL</t>
  </si>
  <si>
    <t>CHECKLIST - Completar antes de cerrar mes</t>
  </si>
  <si>
    <t>☐ 1. Registrar TODAS las facturas del mes</t>
  </si>
  <si>
    <t>☐ 2. Actualizar tipo de cambio al último día del mes</t>
  </si>
  <si>
    <t>☐ 3. Conciliar bancos (hoja CONCILIACION)</t>
  </si>
  <si>
    <t>☐ 4. Revisar CxP/CxC pendientes</t>
  </si>
  <si>
    <t>☐ 5. Generar asientos de ajuste (si aplica)</t>
  </si>
  <si>
    <t>☐ 6. Validar que columna R en TRANSACCIONES = '✓ OK'</t>
  </si>
  <si>
    <t>☐ 7. Actualizar 'Mes Actual' en CONFIG (B13)</t>
  </si>
  <si>
    <t>☐ 8. Actualizar 'Último Cierre' en CONFIG (B14)</t>
  </si>
  <si>
    <t>☐ 9. Registrar histórico TC en HISTORICO_TC</t>
  </si>
  <si>
    <t>☐ 10. Revisar dashboard RESUMEN</t>
  </si>
  <si>
    <t>SALDOS A ARRASTRAR AL PRÓXIMO MES</t>
  </si>
  <si>
    <t>Total CxP a arrastrar:</t>
  </si>
  <si>
    <t>Total CxC a arrastrar:</t>
  </si>
  <si>
    <t>Saldo efectivo:</t>
  </si>
  <si>
    <t>Utilidad neta mes:</t>
  </si>
  <si>
    <t>HISTÓRICO DE CIERRES MENSUALES</t>
  </si>
  <si>
    <t>Utilidad</t>
  </si>
  <si>
    <t>CxC</t>
  </si>
  <si>
    <t>Efectivo</t>
  </si>
  <si>
    <t>Margen %</t>
  </si>
  <si>
    <t>HISTÓRICO DE TIPO DE CAMBIO USD → CRC</t>
  </si>
  <si>
    <t>⚠️ Registrar TC al finalizar cada mes - Crítico para notas de crédito retroactivas</t>
  </si>
  <si>
    <t>Fecha Efectiva</t>
  </si>
  <si>
    <t>TC Compra</t>
  </si>
  <si>
    <t>TC Venta</t>
  </si>
  <si>
    <t>TC Promedio</t>
  </si>
  <si>
    <t>Fuente</t>
  </si>
  <si>
    <t>Registrado Por</t>
  </si>
  <si>
    <t>BCCR</t>
  </si>
  <si>
    <t>Sistema</t>
  </si>
  <si>
    <t>TC actual</t>
  </si>
  <si>
    <t>Inicio noviembre</t>
  </si>
  <si>
    <t>Inicio octubre</t>
  </si>
  <si>
    <t>ASIENTOS DE AJUSTE</t>
  </si>
  <si>
    <t>Registrar aquí ajustes que NO son transacciones normales</t>
  </si>
  <si>
    <t>Fecha Ajuste</t>
  </si>
  <si>
    <t>Tipo de Ajuste</t>
  </si>
  <si>
    <t>Referencia</t>
  </si>
  <si>
    <t>Cuenta Afectada</t>
  </si>
  <si>
    <t>Monto Original</t>
  </si>
  <si>
    <t>Monto Ajustado</t>
  </si>
  <si>
    <t>Diferencia</t>
  </si>
  <si>
    <t>TC Usado</t>
  </si>
  <si>
    <t>Explicación</t>
  </si>
  <si>
    <t>Aprobado Por</t>
  </si>
  <si>
    <t>Fecha Aprobación</t>
  </si>
  <si>
    <t>Diferencia TC</t>
  </si>
  <si>
    <t>Factura #123</t>
  </si>
  <si>
    <t>CxP - Proveedor XYZ</t>
  </si>
  <si>
    <t>Ajuste por cambio TC noviembre (540→550)</t>
  </si>
  <si>
    <t>Alvaro Velasco</t>
  </si>
  <si>
    <t>BALANCE GENERAL / ESTADO SITUACIÓN FINANCIERA</t>
  </si>
  <si>
    <t>Al 17 de November, 2025</t>
  </si>
  <si>
    <t>ACTIVO CORRIENTE</t>
  </si>
  <si>
    <t xml:space="preserve">  Efectivo y equivalentes</t>
  </si>
  <si>
    <t xml:space="preserve">  Cuentas por Cobrar (CxC)</t>
  </si>
  <si>
    <t xml:space="preserve">  Inventario</t>
  </si>
  <si>
    <t xml:space="preserve">  Total Activo Corriente</t>
  </si>
  <si>
    <t>ACTIVO NO CORRIENTE</t>
  </si>
  <si>
    <t xml:space="preserve">  Propiedad, Planta y Equipo</t>
  </si>
  <si>
    <t xml:space="preserve">  Menos: Depreciación Acumulada</t>
  </si>
  <si>
    <t xml:space="preserve">  Activos Intangibles</t>
  </si>
  <si>
    <t xml:space="preserve">  Total Activo No Corriente</t>
  </si>
  <si>
    <t>TOTAL ACTIVOS</t>
  </si>
  <si>
    <t>PASIVO CORRIENTE</t>
  </si>
  <si>
    <t xml:space="preserve">  Cuentas por Pagar (CxP)</t>
  </si>
  <si>
    <t xml:space="preserve">  Tarjetas de Crédito</t>
  </si>
  <si>
    <t xml:space="preserve">  Impuestos por Pagar (IVA)</t>
  </si>
  <si>
    <t xml:space="preserve">  Total Pasivo Corriente</t>
  </si>
  <si>
    <t>PASIVO NO CORRIENTE</t>
  </si>
  <si>
    <t xml:space="preserve">  Préstamos largo plazo</t>
  </si>
  <si>
    <t xml:space="preserve">  Total Pasivo No Corriente</t>
  </si>
  <si>
    <t>TOTAL PASIVOS</t>
  </si>
  <si>
    <t>PATRIMONIO</t>
  </si>
  <si>
    <t xml:space="preserve">  Capital Social</t>
  </si>
  <si>
    <t xml:space="preserve">  Utilidades Retenidas</t>
  </si>
  <si>
    <t xml:space="preserve">  Utilidad del Ejercicio</t>
  </si>
  <si>
    <t xml:space="preserve">  Total Patrimonio</t>
  </si>
  <si>
    <t>TOTAL PASIVO + PATRIMONIO</t>
  </si>
  <si>
    <t>VERIFICACIÓN (Debe ser 0):</t>
  </si>
  <si>
    <t>ESTADO DE RESULTADOS (P&amp;L)</t>
  </si>
  <si>
    <t>Del 01 al 30 de Noviembre, 2025</t>
  </si>
  <si>
    <t>INGRESOS</t>
  </si>
  <si>
    <t xml:space="preserve">  Ingresos por Ventas</t>
  </si>
  <si>
    <t xml:space="preserve">  Ingresos por Servicios</t>
  </si>
  <si>
    <t xml:space="preserve">  Otros Ingresos</t>
  </si>
  <si>
    <t xml:space="preserve">  Total Ingresos</t>
  </si>
  <si>
    <t>COSTO DE VENTAS</t>
  </si>
  <si>
    <t xml:space="preserve">  Costo Producto Vendido</t>
  </si>
  <si>
    <t xml:space="preserve">  Mano de Obra Directa</t>
  </si>
  <si>
    <t xml:space="preserve">  Total Costo Ventas</t>
  </si>
  <si>
    <t>UTILIDAD BRUTA</t>
  </si>
  <si>
    <t>Margen Bruto %</t>
  </si>
  <si>
    <t>GASTOS OPERACIONALES</t>
  </si>
  <si>
    <t xml:space="preserve">  Gastos Administrativos</t>
  </si>
  <si>
    <t xml:space="preserve">  Gastos de Ventas</t>
  </si>
  <si>
    <t xml:space="preserve">  Gastos de Marketing</t>
  </si>
  <si>
    <t xml:space="preserve">  Otros Gastos</t>
  </si>
  <si>
    <t xml:space="preserve">  Total Gastos Operacionales</t>
  </si>
  <si>
    <t>EBITDA</t>
  </si>
  <si>
    <t>Depreciación y Amortización</t>
  </si>
  <si>
    <t>EBIT (Utilidad Operacional)</t>
  </si>
  <si>
    <t>GASTOS FINANCIEROS</t>
  </si>
  <si>
    <t xml:space="preserve">  Intereses Tarjetas</t>
  </si>
  <si>
    <t xml:space="preserve">  Intereses Préstamos</t>
  </si>
  <si>
    <t xml:space="preserve">  Total Gastos Financieros</t>
  </si>
  <si>
    <t>UTILIDAD ANTES IMPUESTOS</t>
  </si>
  <si>
    <t>Impuesto Renta (30% est)</t>
  </si>
  <si>
    <t>UTILIDAD NETA</t>
  </si>
  <si>
    <t>Margen Neto %</t>
  </si>
  <si>
    <t>GUÍA DE USO DEL SISTEMA ERP v5.0</t>
  </si>
  <si>
    <t>ÍNDICE DE INSTRUCCIONES</t>
  </si>
  <si>
    <t>1. Cómo registrar una transacción</t>
  </si>
  <si>
    <t>2. Cómo hacer cierre mensual</t>
  </si>
  <si>
    <t>3. Cómo ajustar diferencias de tipo de cambio</t>
  </si>
  <si>
    <t>4. Cómo registrar nota de crédito/débito</t>
  </si>
  <si>
    <t>5. Cómo registrar pagos parciales</t>
  </si>
  <si>
    <t>6. Cómo usar zona franca (exención IVA)</t>
  </si>
  <si>
    <t>7. Cómo interpretar el dashboard (RESUMEN)</t>
  </si>
  <si>
    <t>8. Cómo conciliar bancos</t>
  </si>
  <si>
    <t>1. CÓMO REGISTRAR UNA TRANSACCIÓN</t>
  </si>
  <si>
    <t>Paso 1: Ir a hoja TRANSACCIONES</t>
  </si>
  <si>
    <t>Paso 2: Buscar primera fila vacía (después de fila 6)</t>
  </si>
  <si>
    <t>Paso 3: Llenar columnas A-P:</t>
  </si>
  <si>
    <t xml:space="preserve">  • A: Fecha (formato DD/MM/YYYY)</t>
  </si>
  <si>
    <t xml:space="preserve">  • B: Nombre banco/proveedor/cliente</t>
  </si>
  <si>
    <t xml:space="preserve">  • C: Categoría (usar dropdown)</t>
  </si>
  <si>
    <t xml:space="preserve">  • E: Moneda (USD o CRC)</t>
  </si>
  <si>
    <t xml:space="preserve">  • F: Monto (solo número positivo)</t>
  </si>
  <si>
    <t xml:space="preserve">  • H: Forma de Pago (usar dropdown)</t>
  </si>
  <si>
    <t xml:space="preserve">  • I: IVA (Sí/No)</t>
  </si>
  <si>
    <t xml:space="preserve">  • M: Estado (usar dropdown)</t>
  </si>
  <si>
    <t xml:space="preserve">  • P: Personal/Negocio (usar dropdown)</t>
  </si>
  <si>
    <t>Paso 4: Verificar columna R muestra '✓ OK'</t>
  </si>
  <si>
    <t>Paso 5: Columna Q (TC Aplicado) se llena automático</t>
  </si>
  <si>
    <t>⚠️ IMPORTANTE: NO editar otras hojas, solo TRANSACCIONES</t>
  </si>
  <si>
    <t>2. CÓMO HACER CIERRE MENSUAL</t>
  </si>
  <si>
    <t>Paso 1: Ir a hoja CIERRE_MENSUAL</t>
  </si>
  <si>
    <t>Paso 2: Completar TODOS los ítems del checklist (A5:A14)</t>
  </si>
  <si>
    <t>Paso 3: Verificar saldos de arrastre (A18:A22)</t>
  </si>
  <si>
    <t>Paso 4: Registrar datos del mes en tabla histórica</t>
  </si>
  <si>
    <t>Paso 5: Actualizar TC final del mes en HISTORICO_TC</t>
  </si>
  <si>
    <t>Paso 6: Cambiar 'Mes Actual' en CONFIG (celda B13)</t>
  </si>
  <si>
    <t>Paso 7: Actualizar fecha en CONFIG (celda B14)</t>
  </si>
  <si>
    <t>⚠️ NO BORRAR transacciones del mes anterior</t>
  </si>
  <si>
    <t>El sistema las filtra automáticamente por fecha</t>
  </si>
  <si>
    <t>3. CÓMO AJUSTAR DIFERENCIAS DE TIPO DE CAMBIO</t>
  </si>
  <si>
    <t>Escenario: Factura $1,000 USD registrada con TC=540</t>
  </si>
  <si>
    <t xml:space="preserve">           Al fin de mes, TC cambió a 550</t>
  </si>
  <si>
    <t xml:space="preserve">           Diferencia: $1,000 * (550-540) = ₡10,000</t>
  </si>
  <si>
    <t>Paso 1: Ir a hoja ASIENTOS_AJUSTE</t>
  </si>
  <si>
    <t>Paso 2: Llenar nueva fila:</t>
  </si>
  <si>
    <t xml:space="preserve">  • Fecha: 30/11/2025</t>
  </si>
  <si>
    <t xml:space="preserve">  • Tipo: 'Diferencia TC'</t>
  </si>
  <si>
    <t xml:space="preserve">  • Referencia: # factura original</t>
  </si>
  <si>
    <t xml:space="preserve">  • Cuenta Afectada: CxP - Proveedor XYZ</t>
  </si>
  <si>
    <t xml:space="preserve">  • Monto Original: ₡540,000</t>
  </si>
  <si>
    <t xml:space="preserve">  • Monto Ajustado: ₡550,000</t>
  </si>
  <si>
    <t xml:space="preserve">  • Diferencia: ₡10,000 (auto-calculado)</t>
  </si>
  <si>
    <t xml:space="preserve">  • Explicación: 'Ajuste por cambio TC nov (540→550)'</t>
  </si>
  <si>
    <t>Paso 3: Aprobar y fechar</t>
  </si>
  <si>
    <t>Días Vencidos</t>
  </si>
  <si>
    <t>Prioridad</t>
  </si>
  <si>
    <t>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</si>
</sst>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dd/mm/yy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4D8B8C0-EC3E-4DF9-B539-D87415284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/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4" spans="1:2" x14ac:dyDescent="0.25">
      <c r="A4" t="s">
        <v>2</v>
      </c>
    </row>
    <row r="5" spans="1:2" x14ac:dyDescent="0.25">
      <c r="A5" t="s">
        <v>3</v>
      </c>
      <c r="B5">
        <f>SUMIF(CxP!D3:D1000,"USD",CxP!H3:H1000)</f>
        <v>2500</v>
      </c>
    </row>
    <row r="6" spans="1:2" x14ac:dyDescent="0.25">
      <c r="A6" t="s">
        <v>4</v>
      </c>
      <c r="B6">
        <f>SUMIF(CxP!D3:D1000,"CRC",CxP!C3:C1000)</f>
        <v>6381000</v>
      </c>
    </row>
    <row r="7" spans="1:2" x14ac:dyDescent="0.25">
      <c r="A7" t="s">
        <v>5</v>
      </c>
      <c r="B7">
        <f>COUNTIF(CxP!G3:G1000,"&gt;0")</f>
        <v>0</v>
      </c>
    </row>
    <row r="8" spans="1:2" x14ac:dyDescent="0.25">
      <c r="A8" t="s">
        <v>6</v>
      </c>
      <c r="B8">
        <f>AVERAGE(CxP!G3:G1000)</f>
        <v>0</v>
      </c>
    </row>
    <row r="10" spans="1:2" x14ac:dyDescent="0.25">
      <c r="A10" t="s">
        <v>7</v>
      </c>
    </row>
    <row r="11" spans="1:2" x14ac:dyDescent="0.25">
      <c r="A11" t="s">
        <v>8</v>
      </c>
      <c r="B11">
        <f>SUMIF(CxC!D3:D1000,"USD",CxC!H3:H1000)</f>
        <v>0</v>
      </c>
    </row>
    <row r="12" spans="1:2" x14ac:dyDescent="0.25">
      <c r="A12" t="s">
        <v>9</v>
      </c>
      <c r="B12">
        <f>SUMIF(CxC!D3:D1000,"CRC",CxC!C3:C1000)</f>
        <v>0</v>
      </c>
    </row>
    <row r="13" spans="1:2" x14ac:dyDescent="0.25">
      <c r="A13" t="s">
        <v>10</v>
      </c>
      <c r="B13">
        <f>COUNTIF(CxC!G3:G1000,"&gt;60")</f>
        <v>0</v>
      </c>
    </row>
    <row r="14" spans="1:2" x14ac:dyDescent="0.25">
      <c r="A14" t="s">
        <v>11</v>
      </c>
      <c r="B14" t="e">
        <f>AVERAGE(CxC!G3:G1000)</f>
        <v>#DIV/0!</v>
      </c>
    </row>
    <row r="15" spans="1:2" x14ac:dyDescent="0.25">
      <c r="A15" t="s">
        <v>12</v>
      </c>
      <c r="B15">
        <f>IFERROR(SUMIF(CxC!G3:G1000,"&gt;90",CxC!H3:H1000)/SUM(CxC!H3:H1000)*100,0)</f>
        <v>0</v>
      </c>
    </row>
    <row r="17" spans="1:2" x14ac:dyDescent="0.25">
      <c r="A17" t="s">
        <v>13</v>
      </c>
    </row>
    <row r="18" spans="1:2" x14ac:dyDescent="0.25">
      <c r="A18" t="s">
        <v>14</v>
      </c>
      <c r="B18">
        <f>BALANCE_GENERAL!B8</f>
        <v>0</v>
      </c>
    </row>
    <row r="19" spans="1:2" x14ac:dyDescent="0.25">
      <c r="A19" t="s">
        <v>15</v>
      </c>
      <c r="B19">
        <f>BALANCE_GENERAL!B22</f>
        <v>16816.666666666668</v>
      </c>
    </row>
    <row r="20" spans="1:2" x14ac:dyDescent="0.25">
      <c r="A20" t="s">
        <v>16</v>
      </c>
      <c r="B20">
        <f>IFERROR(B18/B19,0)</f>
        <v>0</v>
      </c>
    </row>
    <row r="21" spans="1:2" x14ac:dyDescent="0.25">
      <c r="A21" t="s">
        <v>17</v>
      </c>
      <c r="B21">
        <f>B18-B19</f>
        <v>-16816.666666666668</v>
      </c>
    </row>
    <row r="22" spans="1:2" x14ac:dyDescent="0.25">
      <c r="A22" t="s">
        <v>18</v>
      </c>
      <c r="B22">
        <f>IFERROR((BALANCE_GENERAL!B5+BALANCE_GENERAL!B6)/BALANCE_GENERAL!B22,0)</f>
        <v>0</v>
      </c>
    </row>
    <row r="24" spans="1:2" x14ac:dyDescent="0.25">
      <c r="A24" t="s">
        <v>19</v>
      </c>
    </row>
    <row r="25" spans="1:2" x14ac:dyDescent="0.25">
      <c r="A25" t="s">
        <v>20</v>
      </c>
      <c r="B25">
        <f>SUMIFS(TRANSACCIONES!F:F,TRANSACCIONES!C:C,"Ingreso",TRANSACCIONES!E:E,"USD")</f>
        <v>0</v>
      </c>
    </row>
    <row r="26" spans="1:2" x14ac:dyDescent="0.25">
      <c r="A26" t="s">
        <v>21</v>
      </c>
      <c r="B26">
        <f>SUMIFS(TRANSACCIONES!F:F,TRANSACCIONES!C:C,"Gasto",TRANSACCIONES!E:E,"USD")</f>
        <v>0</v>
      </c>
    </row>
    <row r="27" spans="1:2" x14ac:dyDescent="0.25">
      <c r="A27" t="s">
        <v>22</v>
      </c>
      <c r="B27">
        <f>B25-B26</f>
        <v>0</v>
      </c>
    </row>
    <row r="28" spans="1:2" x14ac:dyDescent="0.25">
      <c r="A28" t="s">
        <v>23</v>
      </c>
      <c r="B28">
        <f>BALANCE_GENERAL!B5</f>
        <v>0</v>
      </c>
    </row>
    <row r="30" spans="1:2" x14ac:dyDescent="0.25">
      <c r="A30" t="s">
        <v>24</v>
      </c>
    </row>
    <row r="31" spans="1:2" x14ac:dyDescent="0.25">
      <c r="A31" t="s">
        <v>25</v>
      </c>
      <c r="B31">
        <f>IFERROR(AVERAGE(CxC!G3:G1000),0)</f>
        <v>0</v>
      </c>
    </row>
    <row r="32" spans="1:2" x14ac:dyDescent="0.25">
      <c r="A32" t="s">
        <v>26</v>
      </c>
      <c r="B32">
        <f>IFERROR(AVERAGE(CxP!G3:G1000),0)</f>
        <v>0</v>
      </c>
    </row>
    <row r="33" spans="1:2" x14ac:dyDescent="0.25">
      <c r="A33" t="s">
        <v>27</v>
      </c>
      <c r="B33">
        <f>B31-B32</f>
        <v>0</v>
      </c>
    </row>
    <row r="34" spans="1:2" x14ac:dyDescent="0.25">
      <c r="A34" t="s">
        <v>28</v>
      </c>
      <c r="B34">
        <f>SUMIFS(TRANSACCIONES!F:F,TRANSACCIONES!C:C,"Gasto",TRANSACCIONES!E:E,"USD")/1</f>
        <v>0</v>
      </c>
    </row>
    <row r="35" spans="1:2" x14ac:dyDescent="0.25">
      <c r="A35" t="s">
        <v>29</v>
      </c>
      <c r="B35">
        <f>IFERROR(B31/B34,0)</f>
        <v>0</v>
      </c>
    </row>
    <row r="37" spans="1:2" x14ac:dyDescent="0.25">
      <c r="A37" t="s">
        <v>30</v>
      </c>
    </row>
    <row r="38" spans="1:2" x14ac:dyDescent="0.25">
      <c r="A38" t="s">
        <v>31</v>
      </c>
      <c r="B38">
        <f>ESTADO_RESULTADOS!B8</f>
        <v>0</v>
      </c>
    </row>
    <row r="39" spans="1:2" x14ac:dyDescent="0.25">
      <c r="A39" t="s">
        <v>32</v>
      </c>
      <c r="B39">
        <f>ESTADO_RESULTADOS!B15</f>
        <v>0</v>
      </c>
    </row>
    <row r="40" spans="1:2" x14ac:dyDescent="0.25">
      <c r="A40" t="s">
        <v>33</v>
      </c>
      <c r="B40">
        <f>ESTADO_RESULTADOS!B16</f>
        <v>0</v>
      </c>
    </row>
    <row r="41" spans="1:2" x14ac:dyDescent="0.25">
      <c r="A41" t="s">
        <v>34</v>
      </c>
      <c r="B41">
        <f>ESTADO_RESULTADOS!B40</f>
        <v>0</v>
      </c>
    </row>
    <row r="42" spans="1:2" x14ac:dyDescent="0.25">
      <c r="A42" t="s">
        <v>35</v>
      </c>
      <c r="B42">
        <f>ESTADO_RESULTADOS!B41</f>
        <v>0</v>
      </c>
    </row>
    <row r="43" spans="1:2" x14ac:dyDescent="0.25">
      <c r="A43" t="s">
        <v>36</v>
      </c>
      <c r="B43">
        <f>IFERROR(ESTADO_RESULTADOS!B40/BALANCE_GENERAL!B34*100,0)</f>
        <v>0</v>
      </c>
    </row>
    <row r="45" spans="1:2" x14ac:dyDescent="0.25">
      <c r="A45" t="s">
        <v>37</v>
      </c>
    </row>
    <row r="46" spans="1:2" x14ac:dyDescent="0.25">
      <c r="A46" t="s">
        <v>38</v>
      </c>
      <c r="B46">
        <f>SUMIFS(IVA_CONTROL!D:D,IVA_CONTROL!E:E,"Venta")</f>
        <v>0</v>
      </c>
    </row>
    <row r="47" spans="1:2" x14ac:dyDescent="0.25">
      <c r="A47" t="s">
        <v>39</v>
      </c>
      <c r="B47">
        <f>SUMIFS(IVA_CONTROL!D:D,IVA_CONTROL!E:E,"Compra")</f>
        <v>0</v>
      </c>
    </row>
    <row r="48" spans="1:2" x14ac:dyDescent="0.25">
      <c r="A48" t="s">
        <v>40</v>
      </c>
      <c r="B48">
        <f>B46-B47</f>
        <v>0</v>
      </c>
    </row>
    <row r="50" spans="1:2" x14ac:dyDescent="0.25">
      <c r="A50" t="s">
        <v>41</v>
      </c>
    </row>
    <row r="51" spans="1:2" x14ac:dyDescent="0.25">
      <c r="A51" t="s">
        <v>42</v>
      </c>
      <c r="B51" t="s">
        <v>43</v>
      </c>
    </row>
    <row r="52" spans="1:2" x14ac:dyDescent="0.25">
      <c r="A52" t="s">
        <v>44</v>
      </c>
      <c r="B52" t="s">
        <v>43</v>
      </c>
    </row>
    <row r="53" spans="1:2" x14ac:dyDescent="0.25">
      <c r="A53" t="s">
        <v>45</v>
      </c>
      <c r="B53">
        <f>COUNTIF(CxC!G3:G1000,"&gt;90")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>
      <selection activeCell="Q7" sqref="Q7"/>
    </sheetView>
  </sheetViews>
  <sheetFormatPr defaultRowHeight="15" x14ac:dyDescent="0.25"/>
  <sheetData>
    <row r="1" spans="1:23" x14ac:dyDescent="0.25">
      <c r="A1" t="s">
        <v>46</v>
      </c>
    </row>
    <row r="2" spans="1:23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</row>
    <row r="3" spans="1:23" x14ac:dyDescent="0.25">
      <c r="A3">
        <v>45978</v>
      </c>
      <c r="B3" t="s">
        <v>70</v>
      </c>
      <c r="C3" t="s">
        <v>71</v>
      </c>
      <c r="D3" t="s">
        <v>72</v>
      </c>
      <c r="E3" t="s">
        <v>73</v>
      </c>
      <c r="F3">
        <v>1831000</v>
      </c>
      <c r="G3" t="s">
        <v>74</v>
      </c>
      <c r="H3" t="s">
        <v>72</v>
      </c>
      <c r="I3" t="s">
        <v>75</v>
      </c>
      <c r="J3" t="s">
        <v>76</v>
      </c>
      <c r="K3" t="s">
        <v>75</v>
      </c>
      <c r="M3" t="s">
        <v>77</v>
      </c>
      <c r="O3" t="s">
        <v>78</v>
      </c>
      <c r="P3" t="s">
        <v>79</v>
      </c>
      <c r="Q3">
        <f>IF(E3="USD",CONFIG!$B$5,1)</f>
        <v>1</v>
      </c>
      <c r="R3" t="str">
        <f>IF(AND(A3&lt;&gt;"",ISNUMBER(A3),B3&lt;&gt;"",C3&lt;&gt;"",OR(E3="USD",E3="CRC"),F3&gt;0,ISNUMBER(Q3),Q3&gt;0),"✓ OK","✗ ERROR: Revisa datos")</f>
        <v>✓ OK</v>
      </c>
      <c r="S3">
        <v>0</v>
      </c>
      <c r="T3">
        <v>3390.7407407407409</v>
      </c>
      <c r="U3">
        <v>46008</v>
      </c>
      <c r="V3" t="s">
        <v>80</v>
      </c>
    </row>
    <row r="4" spans="1:23" x14ac:dyDescent="0.25">
      <c r="A4">
        <v>45978</v>
      </c>
      <c r="B4" t="s">
        <v>81</v>
      </c>
      <c r="C4" t="s">
        <v>71</v>
      </c>
      <c r="D4" t="s">
        <v>72</v>
      </c>
      <c r="E4" t="s">
        <v>73</v>
      </c>
      <c r="F4">
        <v>1750000</v>
      </c>
      <c r="G4" t="s">
        <v>82</v>
      </c>
      <c r="H4" t="s">
        <v>72</v>
      </c>
      <c r="I4" t="s">
        <v>75</v>
      </c>
      <c r="J4" t="s">
        <v>83</v>
      </c>
      <c r="K4" t="s">
        <v>75</v>
      </c>
      <c r="M4" t="s">
        <v>77</v>
      </c>
      <c r="O4" t="s">
        <v>78</v>
      </c>
      <c r="P4" t="s">
        <v>79</v>
      </c>
      <c r="Q4">
        <f>IF(E4="USD",CONFIG!$B$5,1)</f>
        <v>1</v>
      </c>
      <c r="R4" t="str">
        <f>IF(AND(A4&lt;&gt;"",ISNUMBER(A4),B4&lt;&gt;"",C4&lt;&gt;"",OR(E4="USD",E4="CRC"),F4&gt;0,ISNUMBER(Q4),Q4&gt;0),"✓ OK","✗ ERROR: Revisa datos")</f>
        <v>✓ OK</v>
      </c>
      <c r="S4">
        <v>0</v>
      </c>
      <c r="T4">
        <v>3240.7407407407409</v>
      </c>
      <c r="U4">
        <v>46008</v>
      </c>
      <c r="V4" t="s">
        <v>80</v>
      </c>
    </row>
    <row r="5" spans="1:23" x14ac:dyDescent="0.25">
      <c r="A5">
        <v>45978</v>
      </c>
      <c r="B5" t="s">
        <v>84</v>
      </c>
      <c r="C5" t="s">
        <v>71</v>
      </c>
      <c r="D5" t="s">
        <v>72</v>
      </c>
      <c r="E5" t="s">
        <v>85</v>
      </c>
      <c r="F5">
        <v>2500</v>
      </c>
      <c r="G5" t="s">
        <v>86</v>
      </c>
      <c r="H5" t="s">
        <v>72</v>
      </c>
      <c r="I5" t="s">
        <v>75</v>
      </c>
      <c r="J5" t="s">
        <v>87</v>
      </c>
      <c r="K5" t="s">
        <v>75</v>
      </c>
      <c r="M5" t="s">
        <v>77</v>
      </c>
      <c r="O5" t="s">
        <v>78</v>
      </c>
      <c r="P5" t="s">
        <v>79</v>
      </c>
      <c r="Q5">
        <f>IF(E5="USD",CONFIG!$B$5,1)</f>
        <v>506</v>
      </c>
      <c r="R5" t="str">
        <f t="shared" ref="R5:R66" si="0">IF(AND(A5&lt;&gt;"",ISNUMBER(A5),B5&lt;&gt;"",C5&lt;&gt;"",OR(E5="USD",E5="CRC"),F5&gt;0,ISNUMBER(Q5),Q5&gt;0),"✓ OK","✗ ERROR: Revisa datos")</f>
        <v>✓ OK</v>
      </c>
      <c r="S5">
        <v>0</v>
      </c>
      <c r="T5">
        <v>2500</v>
      </c>
      <c r="U5">
        <v>46008</v>
      </c>
      <c r="V5" t="s">
        <v>80</v>
      </c>
    </row>
    <row r="6" spans="1:23" x14ac:dyDescent="0.25">
      <c r="A6">
        <v>45978</v>
      </c>
      <c r="B6" t="s">
        <v>84</v>
      </c>
      <c r="C6" t="s">
        <v>71</v>
      </c>
      <c r="D6" t="s">
        <v>72</v>
      </c>
      <c r="E6" t="s">
        <v>73</v>
      </c>
      <c r="F6">
        <v>2800000</v>
      </c>
      <c r="G6" t="s">
        <v>88</v>
      </c>
      <c r="H6" t="s">
        <v>72</v>
      </c>
      <c r="I6" t="s">
        <v>75</v>
      </c>
      <c r="J6" t="s">
        <v>87</v>
      </c>
      <c r="K6" t="s">
        <v>75</v>
      </c>
      <c r="M6" t="s">
        <v>77</v>
      </c>
      <c r="O6" t="s">
        <v>78</v>
      </c>
      <c r="P6" t="s">
        <v>79</v>
      </c>
      <c r="Q6">
        <f>IF(E6="USD",CONFIG!$B$5,1)</f>
        <v>1</v>
      </c>
      <c r="R6" t="str">
        <f t="shared" si="0"/>
        <v>✓ OK</v>
      </c>
      <c r="S6">
        <v>0</v>
      </c>
      <c r="T6">
        <v>5185.1851851851852</v>
      </c>
      <c r="U6">
        <v>46008</v>
      </c>
      <c r="V6" t="s">
        <v>80</v>
      </c>
    </row>
    <row r="7" spans="1:23" x14ac:dyDescent="0.25">
      <c r="Q7">
        <f>IF(E7="USD",CONFIG!$B$5,1)</f>
        <v>1</v>
      </c>
      <c r="R7" t="str">
        <f t="shared" si="0"/>
        <v>✗ ERROR: Revisa datos</v>
      </c>
      <c r="S7" t="str">
        <f t="shared" ref="S7:S70" ca="1" si="1">IF(A7&lt;&gt;"",TODAY()-A7,"")</f>
        <v/>
      </c>
      <c r="T7" t="str">
        <f>IF(E7="USD",F7,IF(E7="CRC",F7/CONFIG!$B$5,""))</f>
        <v/>
      </c>
      <c r="U7" t="str">
        <f t="shared" ref="U7:U70" si="2">IF(A7&lt;&gt;"",A7+30,"")</f>
        <v/>
      </c>
      <c r="V7" t="str">
        <f t="shared" ref="V7:V70" ca="1" si="3">IF(AND(C7="CxP",S7&gt;60),"Alta",IF(AND(C7="CxP",S7&gt;30),"Media",IF(C7="CxP","Baja","")))</f>
        <v/>
      </c>
      <c r="W7" t="str">
        <f t="shared" ref="W7:W70" ca="1" si="4">IF(AND(C7="CxC",S7&gt;90),"Alta",IF(AND(C7="CxC",S7&gt;60),"Media",IF(C7="CxC","Baja","")))</f>
        <v/>
      </c>
    </row>
    <row r="8" spans="1:23" x14ac:dyDescent="0.25">
      <c r="Q8">
        <f>IF(E8="USD",CONFIG!$B$5,1)</f>
        <v>1</v>
      </c>
      <c r="R8" t="str">
        <f t="shared" si="0"/>
        <v>✗ ERROR: Revisa datos</v>
      </c>
      <c r="S8" t="str">
        <f t="shared" ca="1" si="1"/>
        <v/>
      </c>
      <c r="T8" t="str">
        <f>IF(E8="USD",F8,IF(E8="CRC",F8/CONFIG!$B$5,""))</f>
        <v/>
      </c>
      <c r="U8" t="str">
        <f t="shared" si="2"/>
        <v/>
      </c>
      <c r="V8" t="str">
        <f t="shared" ca="1" si="3"/>
        <v/>
      </c>
      <c r="W8" t="str">
        <f t="shared" ca="1" si="4"/>
        <v/>
      </c>
    </row>
    <row r="9" spans="1:23" x14ac:dyDescent="0.25">
      <c r="Q9">
        <f>IF(E9="USD",CONFIG!$B$5,1)</f>
        <v>1</v>
      </c>
      <c r="R9" t="str">
        <f t="shared" si="0"/>
        <v>✗ ERROR: Revisa datos</v>
      </c>
      <c r="S9" t="str">
        <f t="shared" ca="1" si="1"/>
        <v/>
      </c>
      <c r="T9" t="str">
        <f>IF(E9="USD",F9,IF(E9="CRC",F9/CONFIG!$B$5,""))</f>
        <v/>
      </c>
      <c r="U9" t="str">
        <f t="shared" si="2"/>
        <v/>
      </c>
      <c r="V9" t="str">
        <f t="shared" ca="1" si="3"/>
        <v/>
      </c>
      <c r="W9" t="str">
        <f t="shared" ca="1" si="4"/>
        <v/>
      </c>
    </row>
    <row r="10" spans="1:23" x14ac:dyDescent="0.25">
      <c r="Q10">
        <f>IF(E10="USD",CONFIG!$B$5,1)</f>
        <v>1</v>
      </c>
      <c r="R10" t="str">
        <f t="shared" si="0"/>
        <v>✗ ERROR: Revisa datos</v>
      </c>
      <c r="S10" t="str">
        <f t="shared" ca="1" si="1"/>
        <v/>
      </c>
      <c r="T10" t="str">
        <f>IF(E10="USD",F10,IF(E10="CRC",F10/CONFIG!$B$5,""))</f>
        <v/>
      </c>
      <c r="U10" t="str">
        <f t="shared" si="2"/>
        <v/>
      </c>
      <c r="V10" t="str">
        <f t="shared" ca="1" si="3"/>
        <v/>
      </c>
      <c r="W10" t="str">
        <f t="shared" ca="1" si="4"/>
        <v/>
      </c>
    </row>
    <row r="11" spans="1:23" x14ac:dyDescent="0.25">
      <c r="Q11">
        <f>IF(E11="USD",CONFIG!$B$5,1)</f>
        <v>1</v>
      </c>
      <c r="R11" t="str">
        <f t="shared" si="0"/>
        <v>✗ ERROR: Revisa datos</v>
      </c>
      <c r="S11" t="str">
        <f t="shared" ca="1" si="1"/>
        <v/>
      </c>
      <c r="T11" t="str">
        <f>IF(E11="USD",F11,IF(E11="CRC",F11/CONFIG!$B$5,""))</f>
        <v/>
      </c>
      <c r="U11" t="str">
        <f t="shared" si="2"/>
        <v/>
      </c>
      <c r="V11" t="str">
        <f t="shared" ca="1" si="3"/>
        <v/>
      </c>
      <c r="W11" t="str">
        <f t="shared" ca="1" si="4"/>
        <v/>
      </c>
    </row>
    <row r="12" spans="1:23" x14ac:dyDescent="0.25">
      <c r="Q12">
        <f>IF(E12="USD",CONFIG!$B$5,1)</f>
        <v>1</v>
      </c>
      <c r="R12" t="str">
        <f t="shared" si="0"/>
        <v>✗ ERROR: Revisa datos</v>
      </c>
      <c r="S12" t="str">
        <f t="shared" ca="1" si="1"/>
        <v/>
      </c>
      <c r="T12" t="str">
        <f>IF(E12="USD",F12,IF(E12="CRC",F12/CONFIG!$B$5,""))</f>
        <v/>
      </c>
      <c r="U12" t="str">
        <f t="shared" si="2"/>
        <v/>
      </c>
      <c r="V12" t="str">
        <f t="shared" ca="1" si="3"/>
        <v/>
      </c>
      <c r="W12" t="str">
        <f t="shared" ca="1" si="4"/>
        <v/>
      </c>
    </row>
    <row r="13" spans="1:23" x14ac:dyDescent="0.25">
      <c r="Q13">
        <f>IF(E13="USD",CONFIG!$B$5,1)</f>
        <v>1</v>
      </c>
      <c r="R13" t="str">
        <f t="shared" si="0"/>
        <v>✗ ERROR: Revisa datos</v>
      </c>
      <c r="S13" t="str">
        <f t="shared" ca="1" si="1"/>
        <v/>
      </c>
      <c r="T13" t="str">
        <f>IF(E13="USD",F13,IF(E13="CRC",F13/CONFIG!$B$5,""))</f>
        <v/>
      </c>
      <c r="U13" t="str">
        <f t="shared" si="2"/>
        <v/>
      </c>
      <c r="V13" t="str">
        <f t="shared" ca="1" si="3"/>
        <v/>
      </c>
      <c r="W13" t="str">
        <f t="shared" ca="1" si="4"/>
        <v/>
      </c>
    </row>
    <row r="14" spans="1:23" x14ac:dyDescent="0.25">
      <c r="Q14">
        <f>IF(E14="USD",CONFIG!$B$5,1)</f>
        <v>1</v>
      </c>
      <c r="R14" t="str">
        <f t="shared" si="0"/>
        <v>✗ ERROR: Revisa datos</v>
      </c>
      <c r="S14" t="str">
        <f t="shared" ca="1" si="1"/>
        <v/>
      </c>
      <c r="T14" t="str">
        <f>IF(E14="USD",F14,IF(E14="CRC",F14/CONFIG!$B$5,""))</f>
        <v/>
      </c>
      <c r="U14" t="str">
        <f t="shared" si="2"/>
        <v/>
      </c>
      <c r="V14" t="str">
        <f t="shared" ca="1" si="3"/>
        <v/>
      </c>
      <c r="W14" t="str">
        <f t="shared" ca="1" si="4"/>
        <v/>
      </c>
    </row>
    <row r="15" spans="1:23" x14ac:dyDescent="0.25">
      <c r="Q15">
        <f>IF(E15="USD",CONFIG!$B$5,1)</f>
        <v>1</v>
      </c>
      <c r="R15" t="str">
        <f t="shared" si="0"/>
        <v>✗ ERROR: Revisa datos</v>
      </c>
      <c r="S15" t="str">
        <f t="shared" ca="1" si="1"/>
        <v/>
      </c>
      <c r="T15" t="str">
        <f>IF(E15="USD",F15,IF(E15="CRC",F15/CONFIG!$B$5,""))</f>
        <v/>
      </c>
      <c r="U15" t="str">
        <f t="shared" si="2"/>
        <v/>
      </c>
      <c r="V15" t="str">
        <f t="shared" ca="1" si="3"/>
        <v/>
      </c>
      <c r="W15" t="str">
        <f t="shared" ca="1" si="4"/>
        <v/>
      </c>
    </row>
    <row r="16" spans="1:23" x14ac:dyDescent="0.25">
      <c r="Q16">
        <f>IF(E16="USD",CONFIG!$B$5,1)</f>
        <v>1</v>
      </c>
      <c r="R16" t="str">
        <f t="shared" si="0"/>
        <v>✗ ERROR: Revisa datos</v>
      </c>
      <c r="S16" t="str">
        <f t="shared" ca="1" si="1"/>
        <v/>
      </c>
      <c r="T16" t="str">
        <f>IF(E16="USD",F16,IF(E16="CRC",F16/CONFIG!$B$5,""))</f>
        <v/>
      </c>
      <c r="U16" t="str">
        <f t="shared" si="2"/>
        <v/>
      </c>
      <c r="V16" t="str">
        <f t="shared" ca="1" si="3"/>
        <v/>
      </c>
      <c r="W16" t="str">
        <f t="shared" ca="1" si="4"/>
        <v/>
      </c>
    </row>
    <row r="17" spans="17:23" x14ac:dyDescent="0.25">
      <c r="Q17">
        <f>IF(E17="USD",CONFIG!$B$5,1)</f>
        <v>1</v>
      </c>
      <c r="R17" t="str">
        <f t="shared" si="0"/>
        <v>✗ ERROR: Revisa datos</v>
      </c>
      <c r="S17" t="str">
        <f t="shared" ca="1" si="1"/>
        <v/>
      </c>
      <c r="T17" t="str">
        <f>IF(E17="USD",F17,IF(E17="CRC",F17/CONFIG!$B$5,""))</f>
        <v/>
      </c>
      <c r="U17" t="str">
        <f t="shared" si="2"/>
        <v/>
      </c>
      <c r="V17" t="str">
        <f t="shared" ca="1" si="3"/>
        <v/>
      </c>
      <c r="W17" t="str">
        <f t="shared" ca="1" si="4"/>
        <v/>
      </c>
    </row>
    <row r="18" spans="17:23" x14ac:dyDescent="0.25">
      <c r="Q18">
        <f>IF(E18="USD",CONFIG!$B$5,1)</f>
        <v>1</v>
      </c>
      <c r="R18" t="str">
        <f t="shared" si="0"/>
        <v>✗ ERROR: Revisa datos</v>
      </c>
      <c r="S18" t="str">
        <f t="shared" ca="1" si="1"/>
        <v/>
      </c>
      <c r="T18" t="str">
        <f>IF(E18="USD",F18,IF(E18="CRC",F18/CONFIG!$B$5,""))</f>
        <v/>
      </c>
      <c r="U18" t="str">
        <f t="shared" si="2"/>
        <v/>
      </c>
      <c r="V18" t="str">
        <f t="shared" ca="1" si="3"/>
        <v/>
      </c>
      <c r="W18" t="str">
        <f t="shared" ca="1" si="4"/>
        <v/>
      </c>
    </row>
    <row r="19" spans="17:23" x14ac:dyDescent="0.25">
      <c r="Q19">
        <f>IF(E19="USD",CONFIG!$B$5,1)</f>
        <v>1</v>
      </c>
      <c r="R19" t="str">
        <f t="shared" si="0"/>
        <v>✗ ERROR: Revisa datos</v>
      </c>
      <c r="S19" t="str">
        <f t="shared" ca="1" si="1"/>
        <v/>
      </c>
      <c r="T19" t="str">
        <f>IF(E19="USD",F19,IF(E19="CRC",F19/CONFIG!$B$5,""))</f>
        <v/>
      </c>
      <c r="U19" t="str">
        <f t="shared" si="2"/>
        <v/>
      </c>
      <c r="V19" t="str">
        <f t="shared" ca="1" si="3"/>
        <v/>
      </c>
      <c r="W19" t="str">
        <f t="shared" ca="1" si="4"/>
        <v/>
      </c>
    </row>
    <row r="20" spans="17:23" x14ac:dyDescent="0.25">
      <c r="Q20">
        <f>IF(E20="USD",CONFIG!$B$5,1)</f>
        <v>1</v>
      </c>
      <c r="R20" t="str">
        <f t="shared" si="0"/>
        <v>✗ ERROR: Revisa datos</v>
      </c>
      <c r="S20" t="str">
        <f t="shared" ca="1" si="1"/>
        <v/>
      </c>
      <c r="T20" t="str">
        <f>IF(E20="USD",F20,IF(E20="CRC",F20/CONFIG!$B$5,""))</f>
        <v/>
      </c>
      <c r="U20" t="str">
        <f t="shared" si="2"/>
        <v/>
      </c>
      <c r="V20" t="str">
        <f t="shared" ca="1" si="3"/>
        <v/>
      </c>
      <c r="W20" t="str">
        <f t="shared" ca="1" si="4"/>
        <v/>
      </c>
    </row>
    <row r="21" spans="17:23" x14ac:dyDescent="0.25">
      <c r="Q21">
        <f>IF(E21="USD",CONFIG!$B$5,1)</f>
        <v>1</v>
      </c>
      <c r="R21" t="str">
        <f t="shared" si="0"/>
        <v>✗ ERROR: Revisa datos</v>
      </c>
      <c r="S21" t="str">
        <f t="shared" ca="1" si="1"/>
        <v/>
      </c>
      <c r="T21" t="str">
        <f>IF(E21="USD",F21,IF(E21="CRC",F21/CONFIG!$B$5,""))</f>
        <v/>
      </c>
      <c r="U21" t="str">
        <f t="shared" si="2"/>
        <v/>
      </c>
      <c r="V21" t="str">
        <f t="shared" ca="1" si="3"/>
        <v/>
      </c>
      <c r="W21" t="str">
        <f t="shared" ca="1" si="4"/>
        <v/>
      </c>
    </row>
    <row r="22" spans="17:23" x14ac:dyDescent="0.25">
      <c r="Q22">
        <f>IF(E22="USD",CONFIG!$B$5,1)</f>
        <v>1</v>
      </c>
      <c r="R22" t="str">
        <f t="shared" si="0"/>
        <v>✗ ERROR: Revisa datos</v>
      </c>
      <c r="S22" t="str">
        <f t="shared" ca="1" si="1"/>
        <v/>
      </c>
      <c r="T22" t="str">
        <f>IF(E22="USD",F22,IF(E22="CRC",F22/CONFIG!$B$5,""))</f>
        <v/>
      </c>
      <c r="U22" t="str">
        <f t="shared" si="2"/>
        <v/>
      </c>
      <c r="V22" t="str">
        <f t="shared" ca="1" si="3"/>
        <v/>
      </c>
      <c r="W22" t="str">
        <f t="shared" ca="1" si="4"/>
        <v/>
      </c>
    </row>
    <row r="23" spans="17:23" x14ac:dyDescent="0.25">
      <c r="Q23">
        <f>IF(E23="USD",CONFIG!$B$5,1)</f>
        <v>1</v>
      </c>
      <c r="R23" t="str">
        <f t="shared" si="0"/>
        <v>✗ ERROR: Revisa datos</v>
      </c>
      <c r="S23" t="str">
        <f t="shared" ca="1" si="1"/>
        <v/>
      </c>
      <c r="T23" t="str">
        <f>IF(E23="USD",F23,IF(E23="CRC",F23/CONFIG!$B$5,""))</f>
        <v/>
      </c>
      <c r="U23" t="str">
        <f t="shared" si="2"/>
        <v/>
      </c>
      <c r="V23" t="str">
        <f t="shared" ca="1" si="3"/>
        <v/>
      </c>
      <c r="W23" t="str">
        <f t="shared" ca="1" si="4"/>
        <v/>
      </c>
    </row>
    <row r="24" spans="17:23" x14ac:dyDescent="0.25">
      <c r="Q24">
        <f>IF(E24="USD",CONFIG!$B$5,1)</f>
        <v>1</v>
      </c>
      <c r="R24" t="str">
        <f t="shared" si="0"/>
        <v>✗ ERROR: Revisa datos</v>
      </c>
      <c r="S24" t="str">
        <f t="shared" ca="1" si="1"/>
        <v/>
      </c>
      <c r="T24" t="str">
        <f>IF(E24="USD",F24,IF(E24="CRC",F24/CONFIG!$B$5,""))</f>
        <v/>
      </c>
      <c r="U24" t="str">
        <f t="shared" si="2"/>
        <v/>
      </c>
      <c r="V24" t="str">
        <f t="shared" ca="1" si="3"/>
        <v/>
      </c>
      <c r="W24" t="str">
        <f t="shared" ca="1" si="4"/>
        <v/>
      </c>
    </row>
    <row r="25" spans="17:23" x14ac:dyDescent="0.25">
      <c r="Q25">
        <f>IF(E25="USD",CONFIG!$B$5,1)</f>
        <v>1</v>
      </c>
      <c r="R25" t="str">
        <f t="shared" si="0"/>
        <v>✗ ERROR: Revisa datos</v>
      </c>
      <c r="S25" t="str">
        <f t="shared" ca="1" si="1"/>
        <v/>
      </c>
      <c r="T25" t="str">
        <f>IF(E25="USD",F25,IF(E25="CRC",F25/CONFIG!$B$5,""))</f>
        <v/>
      </c>
      <c r="U25" t="str">
        <f t="shared" si="2"/>
        <v/>
      </c>
      <c r="V25" t="str">
        <f t="shared" ca="1" si="3"/>
        <v/>
      </c>
      <c r="W25" t="str">
        <f t="shared" ca="1" si="4"/>
        <v/>
      </c>
    </row>
    <row r="26" spans="17:23" x14ac:dyDescent="0.25">
      <c r="Q26">
        <f>IF(E26="USD",CONFIG!$B$5,1)</f>
        <v>1</v>
      </c>
      <c r="R26" t="str">
        <f t="shared" si="0"/>
        <v>✗ ERROR: Revisa datos</v>
      </c>
      <c r="S26" t="str">
        <f t="shared" ca="1" si="1"/>
        <v/>
      </c>
      <c r="T26" t="str">
        <f>IF(E26="USD",F26,IF(E26="CRC",F26/CONFIG!$B$5,""))</f>
        <v/>
      </c>
      <c r="U26" t="str">
        <f t="shared" si="2"/>
        <v/>
      </c>
      <c r="V26" t="str">
        <f t="shared" ca="1" si="3"/>
        <v/>
      </c>
      <c r="W26" t="str">
        <f t="shared" ca="1" si="4"/>
        <v/>
      </c>
    </row>
    <row r="27" spans="17:23" x14ac:dyDescent="0.25">
      <c r="Q27">
        <f>IF(E27="USD",CONFIG!$B$5,1)</f>
        <v>1</v>
      </c>
      <c r="R27" t="str">
        <f t="shared" si="0"/>
        <v>✗ ERROR: Revisa datos</v>
      </c>
      <c r="S27" t="str">
        <f t="shared" ca="1" si="1"/>
        <v/>
      </c>
      <c r="T27" t="str">
        <f>IF(E27="USD",F27,IF(E27="CRC",F27/CONFIG!$B$5,""))</f>
        <v/>
      </c>
      <c r="U27" t="str">
        <f t="shared" si="2"/>
        <v/>
      </c>
      <c r="V27" t="str">
        <f t="shared" ca="1" si="3"/>
        <v/>
      </c>
      <c r="W27" t="str">
        <f t="shared" ca="1" si="4"/>
        <v/>
      </c>
    </row>
    <row r="28" spans="17:23" x14ac:dyDescent="0.25">
      <c r="Q28">
        <f>IF(E28="USD",CONFIG!$B$5,1)</f>
        <v>1</v>
      </c>
      <c r="R28" t="str">
        <f t="shared" si="0"/>
        <v>✗ ERROR: Revisa datos</v>
      </c>
      <c r="S28" t="str">
        <f t="shared" ca="1" si="1"/>
        <v/>
      </c>
      <c r="T28" t="str">
        <f>IF(E28="USD",F28,IF(E28="CRC",F28/CONFIG!$B$5,""))</f>
        <v/>
      </c>
      <c r="U28" t="str">
        <f t="shared" si="2"/>
        <v/>
      </c>
      <c r="V28" t="str">
        <f t="shared" ca="1" si="3"/>
        <v/>
      </c>
      <c r="W28" t="str">
        <f t="shared" ca="1" si="4"/>
        <v/>
      </c>
    </row>
    <row r="29" spans="17:23" x14ac:dyDescent="0.25">
      <c r="Q29">
        <f>IF(E29="USD",CONFIG!$B$5,1)</f>
        <v>1</v>
      </c>
      <c r="R29" t="str">
        <f t="shared" si="0"/>
        <v>✗ ERROR: Revisa datos</v>
      </c>
      <c r="S29" t="str">
        <f t="shared" ca="1" si="1"/>
        <v/>
      </c>
      <c r="T29" t="str">
        <f>IF(E29="USD",F29,IF(E29="CRC",F29/CONFIG!$B$5,""))</f>
        <v/>
      </c>
      <c r="U29" t="str">
        <f t="shared" si="2"/>
        <v/>
      </c>
      <c r="V29" t="str">
        <f t="shared" ca="1" si="3"/>
        <v/>
      </c>
      <c r="W29" t="str">
        <f t="shared" ca="1" si="4"/>
        <v/>
      </c>
    </row>
    <row r="30" spans="17:23" x14ac:dyDescent="0.25">
      <c r="Q30">
        <f>IF(E30="USD",CONFIG!$B$5,1)</f>
        <v>1</v>
      </c>
      <c r="R30" t="str">
        <f t="shared" si="0"/>
        <v>✗ ERROR: Revisa datos</v>
      </c>
      <c r="S30" t="str">
        <f t="shared" ca="1" si="1"/>
        <v/>
      </c>
      <c r="T30" t="str">
        <f>IF(E30="USD",F30,IF(E30="CRC",F30/CONFIG!$B$5,""))</f>
        <v/>
      </c>
      <c r="U30" t="str">
        <f t="shared" si="2"/>
        <v/>
      </c>
      <c r="V30" t="str">
        <f t="shared" ca="1" si="3"/>
        <v/>
      </c>
      <c r="W30" t="str">
        <f t="shared" ca="1" si="4"/>
        <v/>
      </c>
    </row>
    <row r="31" spans="17:23" x14ac:dyDescent="0.25">
      <c r="Q31">
        <f>IF(E31="USD",CONFIG!$B$5,1)</f>
        <v>1</v>
      </c>
      <c r="R31" t="str">
        <f t="shared" si="0"/>
        <v>✗ ERROR: Revisa datos</v>
      </c>
      <c r="S31" t="str">
        <f t="shared" ca="1" si="1"/>
        <v/>
      </c>
      <c r="T31" t="str">
        <f>IF(E31="USD",F31,IF(E31="CRC",F31/CONFIG!$B$5,""))</f>
        <v/>
      </c>
      <c r="U31" t="str">
        <f t="shared" si="2"/>
        <v/>
      </c>
      <c r="V31" t="str">
        <f t="shared" ca="1" si="3"/>
        <v/>
      </c>
      <c r="W31" t="str">
        <f t="shared" ca="1" si="4"/>
        <v/>
      </c>
    </row>
    <row r="32" spans="17:23" x14ac:dyDescent="0.25">
      <c r="Q32">
        <f>IF(E32="USD",CONFIG!$B$5,1)</f>
        <v>1</v>
      </c>
      <c r="R32" t="str">
        <f t="shared" si="0"/>
        <v>✗ ERROR: Revisa datos</v>
      </c>
      <c r="S32" t="str">
        <f t="shared" ca="1" si="1"/>
        <v/>
      </c>
      <c r="T32" t="str">
        <f>IF(E32="USD",F32,IF(E32="CRC",F32/CONFIG!$B$5,""))</f>
        <v/>
      </c>
      <c r="U32" t="str">
        <f t="shared" si="2"/>
        <v/>
      </c>
      <c r="V32" t="str">
        <f t="shared" ca="1" si="3"/>
        <v/>
      </c>
      <c r="W32" t="str">
        <f t="shared" ca="1" si="4"/>
        <v/>
      </c>
    </row>
    <row r="33" spans="17:23" x14ac:dyDescent="0.25">
      <c r="Q33">
        <f>IF(E33="USD",CONFIG!$B$5,1)</f>
        <v>1</v>
      </c>
      <c r="R33" t="str">
        <f t="shared" si="0"/>
        <v>✗ ERROR: Revisa datos</v>
      </c>
      <c r="S33" t="str">
        <f t="shared" ca="1" si="1"/>
        <v/>
      </c>
      <c r="T33" t="str">
        <f>IF(E33="USD",F33,IF(E33="CRC",F33/CONFIG!$B$5,""))</f>
        <v/>
      </c>
      <c r="U33" t="str">
        <f t="shared" si="2"/>
        <v/>
      </c>
      <c r="V33" t="str">
        <f t="shared" ca="1" si="3"/>
        <v/>
      </c>
      <c r="W33" t="str">
        <f t="shared" ca="1" si="4"/>
        <v/>
      </c>
    </row>
    <row r="34" spans="17:23" x14ac:dyDescent="0.25">
      <c r="Q34">
        <f>IF(E34="USD",CONFIG!$B$5,1)</f>
        <v>1</v>
      </c>
      <c r="R34" t="str">
        <f t="shared" si="0"/>
        <v>✗ ERROR: Revisa datos</v>
      </c>
      <c r="S34" t="str">
        <f t="shared" ca="1" si="1"/>
        <v/>
      </c>
      <c r="T34" t="str">
        <f>IF(E34="USD",F34,IF(E34="CRC",F34/CONFIG!$B$5,""))</f>
        <v/>
      </c>
      <c r="U34" t="str">
        <f t="shared" si="2"/>
        <v/>
      </c>
      <c r="V34" t="str">
        <f t="shared" ca="1" si="3"/>
        <v/>
      </c>
      <c r="W34" t="str">
        <f t="shared" ca="1" si="4"/>
        <v/>
      </c>
    </row>
    <row r="35" spans="17:23" x14ac:dyDescent="0.25">
      <c r="Q35">
        <f>IF(E35="USD",CONFIG!$B$5,1)</f>
        <v>1</v>
      </c>
      <c r="R35" t="str">
        <f t="shared" si="0"/>
        <v>✗ ERROR: Revisa datos</v>
      </c>
      <c r="S35" t="str">
        <f t="shared" ca="1" si="1"/>
        <v/>
      </c>
      <c r="T35" t="str">
        <f>IF(E35="USD",F35,IF(E35="CRC",F35/CONFIG!$B$5,""))</f>
        <v/>
      </c>
      <c r="U35" t="str">
        <f t="shared" si="2"/>
        <v/>
      </c>
      <c r="V35" t="str">
        <f t="shared" ca="1" si="3"/>
        <v/>
      </c>
      <c r="W35" t="str">
        <f t="shared" ca="1" si="4"/>
        <v/>
      </c>
    </row>
    <row r="36" spans="17:23" x14ac:dyDescent="0.25">
      <c r="Q36">
        <f>IF(E36="USD",CONFIG!$B$5,1)</f>
        <v>1</v>
      </c>
      <c r="R36" t="str">
        <f t="shared" si="0"/>
        <v>✗ ERROR: Revisa datos</v>
      </c>
      <c r="S36" t="str">
        <f t="shared" ca="1" si="1"/>
        <v/>
      </c>
      <c r="T36" t="str">
        <f>IF(E36="USD",F36,IF(E36="CRC",F36/CONFIG!$B$5,""))</f>
        <v/>
      </c>
      <c r="U36" t="str">
        <f t="shared" si="2"/>
        <v/>
      </c>
      <c r="V36" t="str">
        <f t="shared" ca="1" si="3"/>
        <v/>
      </c>
      <c r="W36" t="str">
        <f t="shared" ca="1" si="4"/>
        <v/>
      </c>
    </row>
    <row r="37" spans="17:23" x14ac:dyDescent="0.25">
      <c r="Q37">
        <f>IF(E37="USD",CONFIG!$B$5,1)</f>
        <v>1</v>
      </c>
      <c r="R37" t="str">
        <f t="shared" si="0"/>
        <v>✗ ERROR: Revisa datos</v>
      </c>
      <c r="S37" t="str">
        <f t="shared" ca="1" si="1"/>
        <v/>
      </c>
      <c r="T37" t="str">
        <f>IF(E37="USD",F37,IF(E37="CRC",F37/CONFIG!$B$5,""))</f>
        <v/>
      </c>
      <c r="U37" t="str">
        <f t="shared" si="2"/>
        <v/>
      </c>
      <c r="V37" t="str">
        <f t="shared" ca="1" si="3"/>
        <v/>
      </c>
      <c r="W37" t="str">
        <f t="shared" ca="1" si="4"/>
        <v/>
      </c>
    </row>
    <row r="38" spans="17:23" x14ac:dyDescent="0.25">
      <c r="Q38">
        <f>IF(E38="USD",CONFIG!$B$5,1)</f>
        <v>1</v>
      </c>
      <c r="R38" t="str">
        <f t="shared" si="0"/>
        <v>✗ ERROR: Revisa datos</v>
      </c>
      <c r="S38" t="str">
        <f t="shared" ca="1" si="1"/>
        <v/>
      </c>
      <c r="T38" t="str">
        <f>IF(E38="USD",F38,IF(E38="CRC",F38/CONFIG!$B$5,""))</f>
        <v/>
      </c>
      <c r="U38" t="str">
        <f t="shared" si="2"/>
        <v/>
      </c>
      <c r="V38" t="str">
        <f t="shared" ca="1" si="3"/>
        <v/>
      </c>
      <c r="W38" t="str">
        <f t="shared" ca="1" si="4"/>
        <v/>
      </c>
    </row>
    <row r="39" spans="17:23" x14ac:dyDescent="0.25">
      <c r="Q39">
        <f>IF(E39="USD",CONFIG!$B$5,1)</f>
        <v>1</v>
      </c>
      <c r="R39" t="str">
        <f t="shared" si="0"/>
        <v>✗ ERROR: Revisa datos</v>
      </c>
      <c r="S39" t="str">
        <f t="shared" ca="1" si="1"/>
        <v/>
      </c>
      <c r="T39" t="str">
        <f>IF(E39="USD",F39,IF(E39="CRC",F39/CONFIG!$B$5,""))</f>
        <v/>
      </c>
      <c r="U39" t="str">
        <f t="shared" si="2"/>
        <v/>
      </c>
      <c r="V39" t="str">
        <f t="shared" ca="1" si="3"/>
        <v/>
      </c>
      <c r="W39" t="str">
        <f t="shared" ca="1" si="4"/>
        <v/>
      </c>
    </row>
    <row r="40" spans="17:23" x14ac:dyDescent="0.25">
      <c r="Q40">
        <f>IF(E40="USD",CONFIG!$B$5,1)</f>
        <v>1</v>
      </c>
      <c r="R40" t="str">
        <f t="shared" si="0"/>
        <v>✗ ERROR: Revisa datos</v>
      </c>
      <c r="S40" t="str">
        <f t="shared" ca="1" si="1"/>
        <v/>
      </c>
      <c r="T40" t="str">
        <f>IF(E40="USD",F40,IF(E40="CRC",F40/CONFIG!$B$5,""))</f>
        <v/>
      </c>
      <c r="U40" t="str">
        <f t="shared" si="2"/>
        <v/>
      </c>
      <c r="V40" t="str">
        <f t="shared" ca="1" si="3"/>
        <v/>
      </c>
      <c r="W40" t="str">
        <f t="shared" ca="1" si="4"/>
        <v/>
      </c>
    </row>
    <row r="41" spans="17:23" x14ac:dyDescent="0.25">
      <c r="Q41">
        <f>IF(E41="USD",CONFIG!$B$5,1)</f>
        <v>1</v>
      </c>
      <c r="R41" t="str">
        <f t="shared" si="0"/>
        <v>✗ ERROR: Revisa datos</v>
      </c>
      <c r="S41" t="str">
        <f t="shared" ca="1" si="1"/>
        <v/>
      </c>
      <c r="T41" t="str">
        <f>IF(E41="USD",F41,IF(E41="CRC",F41/CONFIG!$B$5,""))</f>
        <v/>
      </c>
      <c r="U41" t="str">
        <f t="shared" si="2"/>
        <v/>
      </c>
      <c r="V41" t="str">
        <f t="shared" ca="1" si="3"/>
        <v/>
      </c>
      <c r="W41" t="str">
        <f t="shared" ca="1" si="4"/>
        <v/>
      </c>
    </row>
    <row r="42" spans="17:23" x14ac:dyDescent="0.25">
      <c r="Q42">
        <f>IF(E42="USD",CONFIG!$B$5,1)</f>
        <v>1</v>
      </c>
      <c r="R42" t="str">
        <f t="shared" si="0"/>
        <v>✗ ERROR: Revisa datos</v>
      </c>
      <c r="S42" t="str">
        <f t="shared" ca="1" si="1"/>
        <v/>
      </c>
      <c r="T42" t="str">
        <f>IF(E42="USD",F42,IF(E42="CRC",F42/CONFIG!$B$5,""))</f>
        <v/>
      </c>
      <c r="U42" t="str">
        <f t="shared" si="2"/>
        <v/>
      </c>
      <c r="V42" t="str">
        <f t="shared" ca="1" si="3"/>
        <v/>
      </c>
      <c r="W42" t="str">
        <f t="shared" ca="1" si="4"/>
        <v/>
      </c>
    </row>
    <row r="43" spans="17:23" x14ac:dyDescent="0.25">
      <c r="Q43">
        <f>IF(E43="USD",CONFIG!$B$5,1)</f>
        <v>1</v>
      </c>
      <c r="R43" t="str">
        <f t="shared" si="0"/>
        <v>✗ ERROR: Revisa datos</v>
      </c>
      <c r="S43" t="str">
        <f t="shared" ca="1" si="1"/>
        <v/>
      </c>
      <c r="T43" t="str">
        <f>IF(E43="USD",F43,IF(E43="CRC",F43/CONFIG!$B$5,""))</f>
        <v/>
      </c>
      <c r="U43" t="str">
        <f t="shared" si="2"/>
        <v/>
      </c>
      <c r="V43" t="str">
        <f t="shared" ca="1" si="3"/>
        <v/>
      </c>
      <c r="W43" t="str">
        <f t="shared" ca="1" si="4"/>
        <v/>
      </c>
    </row>
    <row r="44" spans="17:23" x14ac:dyDescent="0.25">
      <c r="Q44">
        <f>IF(E44="USD",CONFIG!$B$5,1)</f>
        <v>1</v>
      </c>
      <c r="R44" t="str">
        <f t="shared" si="0"/>
        <v>✗ ERROR: Revisa datos</v>
      </c>
      <c r="S44" t="str">
        <f t="shared" ca="1" si="1"/>
        <v/>
      </c>
      <c r="T44" t="str">
        <f>IF(E44="USD",F44,IF(E44="CRC",F44/CONFIG!$B$5,""))</f>
        <v/>
      </c>
      <c r="U44" t="str">
        <f t="shared" si="2"/>
        <v/>
      </c>
      <c r="V44" t="str">
        <f t="shared" ca="1" si="3"/>
        <v/>
      </c>
      <c r="W44" t="str">
        <f t="shared" ca="1" si="4"/>
        <v/>
      </c>
    </row>
    <row r="45" spans="17:23" x14ac:dyDescent="0.25">
      <c r="Q45">
        <f>IF(E45="USD",CONFIG!$B$5,1)</f>
        <v>1</v>
      </c>
      <c r="R45" t="str">
        <f t="shared" si="0"/>
        <v>✗ ERROR: Revisa datos</v>
      </c>
      <c r="S45" t="str">
        <f t="shared" ca="1" si="1"/>
        <v/>
      </c>
      <c r="T45" t="str">
        <f>IF(E45="USD",F45,IF(E45="CRC",F45/CONFIG!$B$5,""))</f>
        <v/>
      </c>
      <c r="U45" t="str">
        <f t="shared" si="2"/>
        <v/>
      </c>
      <c r="V45" t="str">
        <f t="shared" ca="1" si="3"/>
        <v/>
      </c>
      <c r="W45" t="str">
        <f t="shared" ca="1" si="4"/>
        <v/>
      </c>
    </row>
    <row r="46" spans="17:23" x14ac:dyDescent="0.25">
      <c r="Q46">
        <f>IF(E46="USD",CONFIG!$B$5,1)</f>
        <v>1</v>
      </c>
      <c r="R46" t="str">
        <f t="shared" si="0"/>
        <v>✗ ERROR: Revisa datos</v>
      </c>
      <c r="S46" t="str">
        <f t="shared" ca="1" si="1"/>
        <v/>
      </c>
      <c r="T46" t="str">
        <f>IF(E46="USD",F46,IF(E46="CRC",F46/CONFIG!$B$5,""))</f>
        <v/>
      </c>
      <c r="U46" t="str">
        <f t="shared" si="2"/>
        <v/>
      </c>
      <c r="V46" t="str">
        <f t="shared" ca="1" si="3"/>
        <v/>
      </c>
      <c r="W46" t="str">
        <f t="shared" ca="1" si="4"/>
        <v/>
      </c>
    </row>
    <row r="47" spans="17:23" x14ac:dyDescent="0.25">
      <c r="Q47">
        <f>IF(E47="USD",CONFIG!$B$5,1)</f>
        <v>1</v>
      </c>
      <c r="R47" t="str">
        <f t="shared" si="0"/>
        <v>✗ ERROR: Revisa datos</v>
      </c>
      <c r="S47" t="str">
        <f t="shared" ca="1" si="1"/>
        <v/>
      </c>
      <c r="T47" t="str">
        <f>IF(E47="USD",F47,IF(E47="CRC",F47/CONFIG!$B$5,""))</f>
        <v/>
      </c>
      <c r="U47" t="str">
        <f t="shared" si="2"/>
        <v/>
      </c>
      <c r="V47" t="str">
        <f t="shared" ca="1" si="3"/>
        <v/>
      </c>
      <c r="W47" t="str">
        <f t="shared" ca="1" si="4"/>
        <v/>
      </c>
    </row>
    <row r="48" spans="17:23" x14ac:dyDescent="0.25">
      <c r="Q48">
        <f>IF(E48="USD",CONFIG!$B$5,1)</f>
        <v>1</v>
      </c>
      <c r="R48" t="str">
        <f t="shared" si="0"/>
        <v>✗ ERROR: Revisa datos</v>
      </c>
      <c r="S48" t="str">
        <f t="shared" ca="1" si="1"/>
        <v/>
      </c>
      <c r="T48" t="str">
        <f>IF(E48="USD",F48,IF(E48="CRC",F48/CONFIG!$B$5,""))</f>
        <v/>
      </c>
      <c r="U48" t="str">
        <f t="shared" si="2"/>
        <v/>
      </c>
      <c r="V48" t="str">
        <f t="shared" ca="1" si="3"/>
        <v/>
      </c>
      <c r="W48" t="str">
        <f t="shared" ca="1" si="4"/>
        <v/>
      </c>
    </row>
    <row r="49" spans="17:23" x14ac:dyDescent="0.25">
      <c r="Q49">
        <f>IF(E49="USD",CONFIG!$B$5,1)</f>
        <v>1</v>
      </c>
      <c r="R49" t="str">
        <f t="shared" si="0"/>
        <v>✗ ERROR: Revisa datos</v>
      </c>
      <c r="S49" t="str">
        <f t="shared" ca="1" si="1"/>
        <v/>
      </c>
      <c r="T49" t="str">
        <f>IF(E49="USD",F49,IF(E49="CRC",F49/CONFIG!$B$5,""))</f>
        <v/>
      </c>
      <c r="U49" t="str">
        <f t="shared" si="2"/>
        <v/>
      </c>
      <c r="V49" t="str">
        <f t="shared" ca="1" si="3"/>
        <v/>
      </c>
      <c r="W49" t="str">
        <f t="shared" ca="1" si="4"/>
        <v/>
      </c>
    </row>
    <row r="50" spans="17:23" x14ac:dyDescent="0.25">
      <c r="Q50">
        <f>IF(E50="USD",CONFIG!$B$5,1)</f>
        <v>1</v>
      </c>
      <c r="R50" t="str">
        <f t="shared" si="0"/>
        <v>✗ ERROR: Revisa datos</v>
      </c>
      <c r="S50" t="str">
        <f t="shared" ca="1" si="1"/>
        <v/>
      </c>
      <c r="T50" t="str">
        <f>IF(E50="USD",F50,IF(E50="CRC",F50/CONFIG!$B$5,""))</f>
        <v/>
      </c>
      <c r="U50" t="str">
        <f t="shared" si="2"/>
        <v/>
      </c>
      <c r="V50" t="str">
        <f t="shared" ca="1" si="3"/>
        <v/>
      </c>
      <c r="W50" t="str">
        <f t="shared" ca="1" si="4"/>
        <v/>
      </c>
    </row>
    <row r="51" spans="17:23" x14ac:dyDescent="0.25">
      <c r="Q51">
        <f>IF(E51="USD",CONFIG!$B$5,1)</f>
        <v>1</v>
      </c>
      <c r="R51" t="str">
        <f t="shared" si="0"/>
        <v>✗ ERROR: Revisa datos</v>
      </c>
      <c r="S51" t="str">
        <f t="shared" ca="1" si="1"/>
        <v/>
      </c>
      <c r="T51" t="str">
        <f>IF(E51="USD",F51,IF(E51="CRC",F51/CONFIG!$B$5,""))</f>
        <v/>
      </c>
      <c r="U51" t="str">
        <f t="shared" si="2"/>
        <v/>
      </c>
      <c r="V51" t="str">
        <f t="shared" ca="1" si="3"/>
        <v/>
      </c>
      <c r="W51" t="str">
        <f t="shared" ca="1" si="4"/>
        <v/>
      </c>
    </row>
    <row r="52" spans="17:23" x14ac:dyDescent="0.25">
      <c r="Q52">
        <f>IF(E52="USD",CONFIG!$B$5,1)</f>
        <v>1</v>
      </c>
      <c r="R52" t="str">
        <f t="shared" si="0"/>
        <v>✗ ERROR: Revisa datos</v>
      </c>
      <c r="S52" t="str">
        <f t="shared" ca="1" si="1"/>
        <v/>
      </c>
      <c r="T52" t="str">
        <f>IF(E52="USD",F52,IF(E52="CRC",F52/CONFIG!$B$5,""))</f>
        <v/>
      </c>
      <c r="U52" t="str">
        <f t="shared" si="2"/>
        <v/>
      </c>
      <c r="V52" t="str">
        <f t="shared" ca="1" si="3"/>
        <v/>
      </c>
      <c r="W52" t="str">
        <f t="shared" ca="1" si="4"/>
        <v/>
      </c>
    </row>
    <row r="53" spans="17:23" x14ac:dyDescent="0.25">
      <c r="Q53">
        <f>IF(E53="USD",CONFIG!$B$5,1)</f>
        <v>1</v>
      </c>
      <c r="R53" t="str">
        <f t="shared" si="0"/>
        <v>✗ ERROR: Revisa datos</v>
      </c>
      <c r="S53" t="str">
        <f t="shared" ca="1" si="1"/>
        <v/>
      </c>
      <c r="T53" t="str">
        <f>IF(E53="USD",F53,IF(E53="CRC",F53/CONFIG!$B$5,""))</f>
        <v/>
      </c>
      <c r="U53" t="str">
        <f t="shared" si="2"/>
        <v/>
      </c>
      <c r="V53" t="str">
        <f t="shared" ca="1" si="3"/>
        <v/>
      </c>
      <c r="W53" t="str">
        <f t="shared" ca="1" si="4"/>
        <v/>
      </c>
    </row>
    <row r="54" spans="17:23" x14ac:dyDescent="0.25">
      <c r="Q54">
        <f>IF(E54="USD",CONFIG!$B$5,1)</f>
        <v>1</v>
      </c>
      <c r="R54" t="str">
        <f t="shared" si="0"/>
        <v>✗ ERROR: Revisa datos</v>
      </c>
      <c r="S54" t="str">
        <f t="shared" ca="1" si="1"/>
        <v/>
      </c>
      <c r="T54" t="str">
        <f>IF(E54="USD",F54,IF(E54="CRC",F54/CONFIG!$B$5,""))</f>
        <v/>
      </c>
      <c r="U54" t="str">
        <f t="shared" si="2"/>
        <v/>
      </c>
      <c r="V54" t="str">
        <f t="shared" ca="1" si="3"/>
        <v/>
      </c>
      <c r="W54" t="str">
        <f t="shared" ca="1" si="4"/>
        <v/>
      </c>
    </row>
    <row r="55" spans="17:23" x14ac:dyDescent="0.25">
      <c r="Q55">
        <f>IF(E55="USD",CONFIG!$B$5,1)</f>
        <v>1</v>
      </c>
      <c r="R55" t="str">
        <f t="shared" si="0"/>
        <v>✗ ERROR: Revisa datos</v>
      </c>
      <c r="S55" t="str">
        <f t="shared" ca="1" si="1"/>
        <v/>
      </c>
      <c r="T55" t="str">
        <f>IF(E55="USD",F55,IF(E55="CRC",F55/CONFIG!$B$5,""))</f>
        <v/>
      </c>
      <c r="U55" t="str">
        <f t="shared" si="2"/>
        <v/>
      </c>
      <c r="V55" t="str">
        <f t="shared" ca="1" si="3"/>
        <v/>
      </c>
      <c r="W55" t="str">
        <f t="shared" ca="1" si="4"/>
        <v/>
      </c>
    </row>
    <row r="56" spans="17:23" x14ac:dyDescent="0.25">
      <c r="Q56">
        <f>IF(E56="USD",CONFIG!$B$5,1)</f>
        <v>1</v>
      </c>
      <c r="R56" t="str">
        <f t="shared" si="0"/>
        <v>✗ ERROR: Revisa datos</v>
      </c>
      <c r="S56" t="str">
        <f t="shared" ca="1" si="1"/>
        <v/>
      </c>
      <c r="T56" t="str">
        <f>IF(E56="USD",F56,IF(E56="CRC",F56/CONFIG!$B$5,""))</f>
        <v/>
      </c>
      <c r="U56" t="str">
        <f t="shared" si="2"/>
        <v/>
      </c>
      <c r="V56" t="str">
        <f t="shared" ca="1" si="3"/>
        <v/>
      </c>
      <c r="W56" t="str">
        <f t="shared" ca="1" si="4"/>
        <v/>
      </c>
    </row>
    <row r="57" spans="17:23" x14ac:dyDescent="0.25">
      <c r="Q57">
        <f>IF(E57="USD",CONFIG!$B$5,1)</f>
        <v>1</v>
      </c>
      <c r="R57" t="str">
        <f t="shared" si="0"/>
        <v>✗ ERROR: Revisa datos</v>
      </c>
      <c r="S57" t="str">
        <f t="shared" ca="1" si="1"/>
        <v/>
      </c>
      <c r="T57" t="str">
        <f>IF(E57="USD",F57,IF(E57="CRC",F57/CONFIG!$B$5,""))</f>
        <v/>
      </c>
      <c r="U57" t="str">
        <f t="shared" si="2"/>
        <v/>
      </c>
      <c r="V57" t="str">
        <f t="shared" ca="1" si="3"/>
        <v/>
      </c>
      <c r="W57" t="str">
        <f t="shared" ca="1" si="4"/>
        <v/>
      </c>
    </row>
    <row r="58" spans="17:23" x14ac:dyDescent="0.25">
      <c r="Q58">
        <f>IF(E58="USD",CONFIG!$B$5,1)</f>
        <v>1</v>
      </c>
      <c r="R58" t="str">
        <f t="shared" si="0"/>
        <v>✗ ERROR: Revisa datos</v>
      </c>
      <c r="S58" t="str">
        <f t="shared" ca="1" si="1"/>
        <v/>
      </c>
      <c r="T58" t="str">
        <f>IF(E58="USD",F58,IF(E58="CRC",F58/CONFIG!$B$5,""))</f>
        <v/>
      </c>
      <c r="U58" t="str">
        <f t="shared" si="2"/>
        <v/>
      </c>
      <c r="V58" t="str">
        <f t="shared" ca="1" si="3"/>
        <v/>
      </c>
      <c r="W58" t="str">
        <f t="shared" ca="1" si="4"/>
        <v/>
      </c>
    </row>
    <row r="59" spans="17:23" x14ac:dyDescent="0.25">
      <c r="Q59">
        <f>IF(E59="USD",CONFIG!$B$5,1)</f>
        <v>1</v>
      </c>
      <c r="R59" t="str">
        <f t="shared" si="0"/>
        <v>✗ ERROR: Revisa datos</v>
      </c>
      <c r="S59" t="str">
        <f t="shared" ca="1" si="1"/>
        <v/>
      </c>
      <c r="T59" t="str">
        <f>IF(E59="USD",F59,IF(E59="CRC",F59/CONFIG!$B$5,""))</f>
        <v/>
      </c>
      <c r="U59" t="str">
        <f t="shared" si="2"/>
        <v/>
      </c>
      <c r="V59" t="str">
        <f t="shared" ca="1" si="3"/>
        <v/>
      </c>
      <c r="W59" t="str">
        <f t="shared" ca="1" si="4"/>
        <v/>
      </c>
    </row>
    <row r="60" spans="17:23" x14ac:dyDescent="0.25">
      <c r="Q60">
        <f>IF(E60="USD",CONFIG!$B$5,1)</f>
        <v>1</v>
      </c>
      <c r="R60" t="str">
        <f t="shared" si="0"/>
        <v>✗ ERROR: Revisa datos</v>
      </c>
      <c r="S60" t="str">
        <f t="shared" ca="1" si="1"/>
        <v/>
      </c>
      <c r="T60" t="str">
        <f>IF(E60="USD",F60,IF(E60="CRC",F60/CONFIG!$B$5,""))</f>
        <v/>
      </c>
      <c r="U60" t="str">
        <f t="shared" si="2"/>
        <v/>
      </c>
      <c r="V60" t="str">
        <f t="shared" ca="1" si="3"/>
        <v/>
      </c>
      <c r="W60" t="str">
        <f t="shared" ca="1" si="4"/>
        <v/>
      </c>
    </row>
    <row r="61" spans="17:23" x14ac:dyDescent="0.25">
      <c r="Q61">
        <f>IF(E61="USD",CONFIG!$B$5,1)</f>
        <v>1</v>
      </c>
      <c r="R61" t="str">
        <f t="shared" si="0"/>
        <v>✗ ERROR: Revisa datos</v>
      </c>
      <c r="S61" t="str">
        <f t="shared" ca="1" si="1"/>
        <v/>
      </c>
      <c r="T61" t="str">
        <f>IF(E61="USD",F61,IF(E61="CRC",F61/CONFIG!$B$5,""))</f>
        <v/>
      </c>
      <c r="U61" t="str">
        <f t="shared" si="2"/>
        <v/>
      </c>
      <c r="V61" t="str">
        <f t="shared" ca="1" si="3"/>
        <v/>
      </c>
      <c r="W61" t="str">
        <f t="shared" ca="1" si="4"/>
        <v/>
      </c>
    </row>
    <row r="62" spans="17:23" x14ac:dyDescent="0.25">
      <c r="Q62">
        <f>IF(E62="USD",CONFIG!$B$5,1)</f>
        <v>1</v>
      </c>
      <c r="R62" t="str">
        <f t="shared" si="0"/>
        <v>✗ ERROR: Revisa datos</v>
      </c>
      <c r="S62" t="str">
        <f t="shared" ca="1" si="1"/>
        <v/>
      </c>
      <c r="T62" t="str">
        <f>IF(E62="USD",F62,IF(E62="CRC",F62/CONFIG!$B$5,""))</f>
        <v/>
      </c>
      <c r="U62" t="str">
        <f t="shared" si="2"/>
        <v/>
      </c>
      <c r="V62" t="str">
        <f t="shared" ca="1" si="3"/>
        <v/>
      </c>
      <c r="W62" t="str">
        <f t="shared" ca="1" si="4"/>
        <v/>
      </c>
    </row>
    <row r="63" spans="17:23" x14ac:dyDescent="0.25">
      <c r="Q63">
        <f>IF(E63="USD",CONFIG!$B$5,1)</f>
        <v>1</v>
      </c>
      <c r="R63" t="str">
        <f t="shared" si="0"/>
        <v>✗ ERROR: Revisa datos</v>
      </c>
      <c r="S63" t="str">
        <f t="shared" ca="1" si="1"/>
        <v/>
      </c>
      <c r="T63" t="str">
        <f>IF(E63="USD",F63,IF(E63="CRC",F63/CONFIG!$B$5,""))</f>
        <v/>
      </c>
      <c r="U63" t="str">
        <f t="shared" si="2"/>
        <v/>
      </c>
      <c r="V63" t="str">
        <f t="shared" ca="1" si="3"/>
        <v/>
      </c>
      <c r="W63" t="str">
        <f t="shared" ca="1" si="4"/>
        <v/>
      </c>
    </row>
    <row r="64" spans="17:23" x14ac:dyDescent="0.25">
      <c r="Q64">
        <f>IF(E64="USD",CONFIG!$B$5,1)</f>
        <v>1</v>
      </c>
      <c r="R64" t="str">
        <f t="shared" si="0"/>
        <v>✗ ERROR: Revisa datos</v>
      </c>
      <c r="S64" t="str">
        <f t="shared" ca="1" si="1"/>
        <v/>
      </c>
      <c r="T64" t="str">
        <f>IF(E64="USD",F64,IF(E64="CRC",F64/CONFIG!$B$5,""))</f>
        <v/>
      </c>
      <c r="U64" t="str">
        <f t="shared" si="2"/>
        <v/>
      </c>
      <c r="V64" t="str">
        <f t="shared" ca="1" si="3"/>
        <v/>
      </c>
      <c r="W64" t="str">
        <f t="shared" ca="1" si="4"/>
        <v/>
      </c>
    </row>
    <row r="65" spans="17:23" x14ac:dyDescent="0.25">
      <c r="Q65">
        <f>IF(E65="USD",CONFIG!$B$5,1)</f>
        <v>1</v>
      </c>
      <c r="R65" t="str">
        <f t="shared" si="0"/>
        <v>✗ ERROR: Revisa datos</v>
      </c>
      <c r="S65" t="str">
        <f t="shared" ca="1" si="1"/>
        <v/>
      </c>
      <c r="T65" t="str">
        <f>IF(E65="USD",F65,IF(E65="CRC",F65/CONFIG!$B$5,""))</f>
        <v/>
      </c>
      <c r="U65" t="str">
        <f t="shared" si="2"/>
        <v/>
      </c>
      <c r="V65" t="str">
        <f t="shared" ca="1" si="3"/>
        <v/>
      </c>
      <c r="W65" t="str">
        <f t="shared" ca="1" si="4"/>
        <v/>
      </c>
    </row>
    <row r="66" spans="17:23" x14ac:dyDescent="0.25">
      <c r="Q66">
        <f>IF(E66="USD",CONFIG!$B$5,1)</f>
        <v>1</v>
      </c>
      <c r="R66" t="str">
        <f t="shared" si="0"/>
        <v>✗ ERROR: Revisa datos</v>
      </c>
      <c r="S66" t="str">
        <f t="shared" ca="1" si="1"/>
        <v/>
      </c>
      <c r="T66" t="str">
        <f>IF(E66="USD",F66,IF(E66="CRC",F66/CONFIG!$B$5,""))</f>
        <v/>
      </c>
      <c r="U66" t="str">
        <f t="shared" si="2"/>
        <v/>
      </c>
      <c r="V66" t="str">
        <f t="shared" ca="1" si="3"/>
        <v/>
      </c>
      <c r="W66" t="str">
        <f t="shared" ca="1" si="4"/>
        <v/>
      </c>
    </row>
    <row r="67" spans="17:23" x14ac:dyDescent="0.25">
      <c r="Q67">
        <f>IF(E67="USD",CONFIG!$B$5,1)</f>
        <v>1</v>
      </c>
      <c r="R67" t="str">
        <f t="shared" ref="R67:R130" si="5">IF(AND(A67&lt;&gt;"",ISNUMBER(A67),B67&lt;&gt;"",C67&lt;&gt;"",OR(E67="USD",E67="CRC"),F67&gt;0,ISNUMBER(Q67),Q67&gt;0),"✓ OK","✗ ERROR: Revisa datos")</f>
        <v>✗ ERROR: Revisa datos</v>
      </c>
      <c r="S67" t="str">
        <f t="shared" ca="1" si="1"/>
        <v/>
      </c>
      <c r="T67" t="str">
        <f>IF(E67="USD",F67,IF(E67="CRC",F67/CONFIG!$B$5,""))</f>
        <v/>
      </c>
      <c r="U67" t="str">
        <f t="shared" si="2"/>
        <v/>
      </c>
      <c r="V67" t="str">
        <f t="shared" ca="1" si="3"/>
        <v/>
      </c>
      <c r="W67" t="str">
        <f t="shared" ca="1" si="4"/>
        <v/>
      </c>
    </row>
    <row r="68" spans="17:23" x14ac:dyDescent="0.25">
      <c r="Q68">
        <f>IF(E68="USD",CONFIG!$B$5,1)</f>
        <v>1</v>
      </c>
      <c r="R68" t="str">
        <f t="shared" si="5"/>
        <v>✗ ERROR: Revisa datos</v>
      </c>
      <c r="S68" t="str">
        <f t="shared" ca="1" si="1"/>
        <v/>
      </c>
      <c r="T68" t="str">
        <f>IF(E68="USD",F68,IF(E68="CRC",F68/CONFIG!$B$5,""))</f>
        <v/>
      </c>
      <c r="U68" t="str">
        <f t="shared" si="2"/>
        <v/>
      </c>
      <c r="V68" t="str">
        <f t="shared" ca="1" si="3"/>
        <v/>
      </c>
      <c r="W68" t="str">
        <f t="shared" ca="1" si="4"/>
        <v/>
      </c>
    </row>
    <row r="69" spans="17:23" x14ac:dyDescent="0.25">
      <c r="Q69">
        <f>IF(E69="USD",CONFIG!$B$5,1)</f>
        <v>1</v>
      </c>
      <c r="R69" t="str">
        <f t="shared" si="5"/>
        <v>✗ ERROR: Revisa datos</v>
      </c>
      <c r="S69" t="str">
        <f t="shared" ca="1" si="1"/>
        <v/>
      </c>
      <c r="T69" t="str">
        <f>IF(E69="USD",F69,IF(E69="CRC",F69/CONFIG!$B$5,""))</f>
        <v/>
      </c>
      <c r="U69" t="str">
        <f t="shared" si="2"/>
        <v/>
      </c>
      <c r="V69" t="str">
        <f t="shared" ca="1" si="3"/>
        <v/>
      </c>
      <c r="W69" t="str">
        <f t="shared" ca="1" si="4"/>
        <v/>
      </c>
    </row>
    <row r="70" spans="17:23" x14ac:dyDescent="0.25">
      <c r="Q70">
        <f>IF(E70="USD",CONFIG!$B$5,1)</f>
        <v>1</v>
      </c>
      <c r="R70" t="str">
        <f t="shared" si="5"/>
        <v>✗ ERROR: Revisa datos</v>
      </c>
      <c r="S70" t="str">
        <f t="shared" ca="1" si="1"/>
        <v/>
      </c>
      <c r="T70" t="str">
        <f>IF(E70="USD",F70,IF(E70="CRC",F70/CONFIG!$B$5,""))</f>
        <v/>
      </c>
      <c r="U70" t="str">
        <f t="shared" si="2"/>
        <v/>
      </c>
      <c r="V70" t="str">
        <f t="shared" ca="1" si="3"/>
        <v/>
      </c>
      <c r="W70" t="str">
        <f t="shared" ca="1" si="4"/>
        <v/>
      </c>
    </row>
    <row r="71" spans="17:23" x14ac:dyDescent="0.25">
      <c r="Q71">
        <f>IF(E71="USD",CONFIG!$B$5,1)</f>
        <v>1</v>
      </c>
      <c r="R71" t="str">
        <f t="shared" si="5"/>
        <v>✗ ERROR: Revisa datos</v>
      </c>
      <c r="S71" t="str">
        <f t="shared" ref="S71:S134" ca="1" si="6">IF(A71&lt;&gt;"",TODAY()-A71,"")</f>
        <v/>
      </c>
      <c r="T71" t="str">
        <f>IF(E71="USD",F71,IF(E71="CRC",F71/CONFIG!$B$5,""))</f>
        <v/>
      </c>
      <c r="U71" t="str">
        <f t="shared" ref="U71:U134" si="7">IF(A71&lt;&gt;"",A71+30,"")</f>
        <v/>
      </c>
      <c r="V71" t="str">
        <f t="shared" ref="V71:V134" ca="1" si="8">IF(AND(C71="CxP",S71&gt;60),"Alta",IF(AND(C71="CxP",S71&gt;30),"Media",IF(C71="CxP","Baja","")))</f>
        <v/>
      </c>
      <c r="W71" t="str">
        <f t="shared" ref="W71:W134" ca="1" si="9">IF(AND(C71="CxC",S71&gt;90),"Alta",IF(AND(C71="CxC",S71&gt;60),"Media",IF(C71="CxC","Baja","")))</f>
        <v/>
      </c>
    </row>
    <row r="72" spans="17:23" x14ac:dyDescent="0.25">
      <c r="Q72">
        <f>IF(E72="USD",CONFIG!$B$5,1)</f>
        <v>1</v>
      </c>
      <c r="R72" t="str">
        <f t="shared" si="5"/>
        <v>✗ ERROR: Revisa datos</v>
      </c>
      <c r="S72" t="str">
        <f t="shared" ca="1" si="6"/>
        <v/>
      </c>
      <c r="T72" t="str">
        <f>IF(E72="USD",F72,IF(E72="CRC",F72/CONFIG!$B$5,""))</f>
        <v/>
      </c>
      <c r="U72" t="str">
        <f t="shared" si="7"/>
        <v/>
      </c>
      <c r="V72" t="str">
        <f t="shared" ca="1" si="8"/>
        <v/>
      </c>
      <c r="W72" t="str">
        <f t="shared" ca="1" si="9"/>
        <v/>
      </c>
    </row>
    <row r="73" spans="17:23" x14ac:dyDescent="0.25">
      <c r="Q73">
        <f>IF(E73="USD",CONFIG!$B$5,1)</f>
        <v>1</v>
      </c>
      <c r="R73" t="str">
        <f t="shared" si="5"/>
        <v>✗ ERROR: Revisa datos</v>
      </c>
      <c r="S73" t="str">
        <f t="shared" ca="1" si="6"/>
        <v/>
      </c>
      <c r="T73" t="str">
        <f>IF(E73="USD",F73,IF(E73="CRC",F73/CONFIG!$B$5,""))</f>
        <v/>
      </c>
      <c r="U73" t="str">
        <f t="shared" si="7"/>
        <v/>
      </c>
      <c r="V73" t="str">
        <f t="shared" ca="1" si="8"/>
        <v/>
      </c>
      <c r="W73" t="str">
        <f t="shared" ca="1" si="9"/>
        <v/>
      </c>
    </row>
    <row r="74" spans="17:23" x14ac:dyDescent="0.25">
      <c r="Q74">
        <f>IF(E74="USD",CONFIG!$B$5,1)</f>
        <v>1</v>
      </c>
      <c r="R74" t="str">
        <f t="shared" si="5"/>
        <v>✗ ERROR: Revisa datos</v>
      </c>
      <c r="S74" t="str">
        <f t="shared" ca="1" si="6"/>
        <v/>
      </c>
      <c r="T74" t="str">
        <f>IF(E74="USD",F74,IF(E74="CRC",F74/CONFIG!$B$5,""))</f>
        <v/>
      </c>
      <c r="U74" t="str">
        <f t="shared" si="7"/>
        <v/>
      </c>
      <c r="V74" t="str">
        <f t="shared" ca="1" si="8"/>
        <v/>
      </c>
      <c r="W74" t="str">
        <f t="shared" ca="1" si="9"/>
        <v/>
      </c>
    </row>
    <row r="75" spans="17:23" x14ac:dyDescent="0.25">
      <c r="Q75">
        <f>IF(E75="USD",CONFIG!$B$5,1)</f>
        <v>1</v>
      </c>
      <c r="R75" t="str">
        <f t="shared" si="5"/>
        <v>✗ ERROR: Revisa datos</v>
      </c>
      <c r="S75" t="str">
        <f t="shared" ca="1" si="6"/>
        <v/>
      </c>
      <c r="T75" t="str">
        <f>IF(E75="USD",F75,IF(E75="CRC",F75/CONFIG!$B$5,""))</f>
        <v/>
      </c>
      <c r="U75" t="str">
        <f t="shared" si="7"/>
        <v/>
      </c>
      <c r="V75" t="str">
        <f t="shared" ca="1" si="8"/>
        <v/>
      </c>
      <c r="W75" t="str">
        <f t="shared" ca="1" si="9"/>
        <v/>
      </c>
    </row>
    <row r="76" spans="17:23" x14ac:dyDescent="0.25">
      <c r="Q76">
        <f>IF(E76="USD",CONFIG!$B$5,1)</f>
        <v>1</v>
      </c>
      <c r="R76" t="str">
        <f t="shared" si="5"/>
        <v>✗ ERROR: Revisa datos</v>
      </c>
      <c r="S76" t="str">
        <f t="shared" ca="1" si="6"/>
        <v/>
      </c>
      <c r="T76" t="str">
        <f>IF(E76="USD",F76,IF(E76="CRC",F76/CONFIG!$B$5,""))</f>
        <v/>
      </c>
      <c r="U76" t="str">
        <f t="shared" si="7"/>
        <v/>
      </c>
      <c r="V76" t="str">
        <f t="shared" ca="1" si="8"/>
        <v/>
      </c>
      <c r="W76" t="str">
        <f t="shared" ca="1" si="9"/>
        <v/>
      </c>
    </row>
    <row r="77" spans="17:23" x14ac:dyDescent="0.25">
      <c r="Q77">
        <f>IF(E77="USD",CONFIG!$B$5,1)</f>
        <v>1</v>
      </c>
      <c r="R77" t="str">
        <f t="shared" si="5"/>
        <v>✗ ERROR: Revisa datos</v>
      </c>
      <c r="S77" t="str">
        <f t="shared" ca="1" si="6"/>
        <v/>
      </c>
      <c r="T77" t="str">
        <f>IF(E77="USD",F77,IF(E77="CRC",F77/CONFIG!$B$5,""))</f>
        <v/>
      </c>
      <c r="U77" t="str">
        <f t="shared" si="7"/>
        <v/>
      </c>
      <c r="V77" t="str">
        <f t="shared" ca="1" si="8"/>
        <v/>
      </c>
      <c r="W77" t="str">
        <f t="shared" ca="1" si="9"/>
        <v/>
      </c>
    </row>
    <row r="78" spans="17:23" x14ac:dyDescent="0.25">
      <c r="Q78">
        <f>IF(E78="USD",CONFIG!$B$5,1)</f>
        <v>1</v>
      </c>
      <c r="R78" t="str">
        <f t="shared" si="5"/>
        <v>✗ ERROR: Revisa datos</v>
      </c>
      <c r="S78" t="str">
        <f t="shared" ca="1" si="6"/>
        <v/>
      </c>
      <c r="T78" t="str">
        <f>IF(E78="USD",F78,IF(E78="CRC",F78/CONFIG!$B$5,""))</f>
        <v/>
      </c>
      <c r="U78" t="str">
        <f t="shared" si="7"/>
        <v/>
      </c>
      <c r="V78" t="str">
        <f t="shared" ca="1" si="8"/>
        <v/>
      </c>
      <c r="W78" t="str">
        <f t="shared" ca="1" si="9"/>
        <v/>
      </c>
    </row>
    <row r="79" spans="17:23" x14ac:dyDescent="0.25">
      <c r="Q79">
        <f>IF(E79="USD",CONFIG!$B$5,1)</f>
        <v>1</v>
      </c>
      <c r="R79" t="str">
        <f t="shared" si="5"/>
        <v>✗ ERROR: Revisa datos</v>
      </c>
      <c r="S79" t="str">
        <f t="shared" ca="1" si="6"/>
        <v/>
      </c>
      <c r="T79" t="str">
        <f>IF(E79="USD",F79,IF(E79="CRC",F79/CONFIG!$B$5,""))</f>
        <v/>
      </c>
      <c r="U79" t="str">
        <f t="shared" si="7"/>
        <v/>
      </c>
      <c r="V79" t="str">
        <f t="shared" ca="1" si="8"/>
        <v/>
      </c>
      <c r="W79" t="str">
        <f t="shared" ca="1" si="9"/>
        <v/>
      </c>
    </row>
    <row r="80" spans="17:23" x14ac:dyDescent="0.25">
      <c r="Q80">
        <f>IF(E80="USD",CONFIG!$B$5,1)</f>
        <v>1</v>
      </c>
      <c r="R80" t="str">
        <f t="shared" si="5"/>
        <v>✗ ERROR: Revisa datos</v>
      </c>
      <c r="S80" t="str">
        <f t="shared" ca="1" si="6"/>
        <v/>
      </c>
      <c r="T80" t="str">
        <f>IF(E80="USD",F80,IF(E80="CRC",F80/CONFIG!$B$5,""))</f>
        <v/>
      </c>
      <c r="U80" t="str">
        <f t="shared" si="7"/>
        <v/>
      </c>
      <c r="V80" t="str">
        <f t="shared" ca="1" si="8"/>
        <v/>
      </c>
      <c r="W80" t="str">
        <f t="shared" ca="1" si="9"/>
        <v/>
      </c>
    </row>
    <row r="81" spans="17:23" x14ac:dyDescent="0.25">
      <c r="Q81">
        <f>IF(E81="USD",CONFIG!$B$5,1)</f>
        <v>1</v>
      </c>
      <c r="R81" t="str">
        <f t="shared" si="5"/>
        <v>✗ ERROR: Revisa datos</v>
      </c>
      <c r="S81" t="str">
        <f t="shared" ca="1" si="6"/>
        <v/>
      </c>
      <c r="T81" t="str">
        <f>IF(E81="USD",F81,IF(E81="CRC",F81/CONFIG!$B$5,""))</f>
        <v/>
      </c>
      <c r="U81" t="str">
        <f t="shared" si="7"/>
        <v/>
      </c>
      <c r="V81" t="str">
        <f t="shared" ca="1" si="8"/>
        <v/>
      </c>
      <c r="W81" t="str">
        <f t="shared" ca="1" si="9"/>
        <v/>
      </c>
    </row>
    <row r="82" spans="17:23" x14ac:dyDescent="0.25">
      <c r="Q82">
        <f>IF(E82="USD",CONFIG!$B$5,1)</f>
        <v>1</v>
      </c>
      <c r="R82" t="str">
        <f t="shared" si="5"/>
        <v>✗ ERROR: Revisa datos</v>
      </c>
      <c r="S82" t="str">
        <f t="shared" ca="1" si="6"/>
        <v/>
      </c>
      <c r="T82" t="str">
        <f>IF(E82="USD",F82,IF(E82="CRC",F82/CONFIG!$B$5,""))</f>
        <v/>
      </c>
      <c r="U82" t="str">
        <f t="shared" si="7"/>
        <v/>
      </c>
      <c r="V82" t="str">
        <f t="shared" ca="1" si="8"/>
        <v/>
      </c>
      <c r="W82" t="str">
        <f t="shared" ca="1" si="9"/>
        <v/>
      </c>
    </row>
    <row r="83" spans="17:23" x14ac:dyDescent="0.25">
      <c r="Q83">
        <f>IF(E83="USD",CONFIG!$B$5,1)</f>
        <v>1</v>
      </c>
      <c r="R83" t="str">
        <f t="shared" si="5"/>
        <v>✗ ERROR: Revisa datos</v>
      </c>
      <c r="S83" t="str">
        <f t="shared" ca="1" si="6"/>
        <v/>
      </c>
      <c r="T83" t="str">
        <f>IF(E83="USD",F83,IF(E83="CRC",F83/CONFIG!$B$5,""))</f>
        <v/>
      </c>
      <c r="U83" t="str">
        <f t="shared" si="7"/>
        <v/>
      </c>
      <c r="V83" t="str">
        <f t="shared" ca="1" si="8"/>
        <v/>
      </c>
      <c r="W83" t="str">
        <f t="shared" ca="1" si="9"/>
        <v/>
      </c>
    </row>
    <row r="84" spans="17:23" x14ac:dyDescent="0.25">
      <c r="Q84">
        <f>IF(E84="USD",CONFIG!$B$5,1)</f>
        <v>1</v>
      </c>
      <c r="R84" t="str">
        <f t="shared" si="5"/>
        <v>✗ ERROR: Revisa datos</v>
      </c>
      <c r="S84" t="str">
        <f t="shared" ca="1" si="6"/>
        <v/>
      </c>
      <c r="T84" t="str">
        <f>IF(E84="USD",F84,IF(E84="CRC",F84/CONFIG!$B$5,""))</f>
        <v/>
      </c>
      <c r="U84" t="str">
        <f t="shared" si="7"/>
        <v/>
      </c>
      <c r="V84" t="str">
        <f t="shared" ca="1" si="8"/>
        <v/>
      </c>
      <c r="W84" t="str">
        <f t="shared" ca="1" si="9"/>
        <v/>
      </c>
    </row>
    <row r="85" spans="17:23" x14ac:dyDescent="0.25">
      <c r="Q85">
        <f>IF(E85="USD",CONFIG!$B$5,1)</f>
        <v>1</v>
      </c>
      <c r="R85" t="str">
        <f t="shared" si="5"/>
        <v>✗ ERROR: Revisa datos</v>
      </c>
      <c r="S85" t="str">
        <f t="shared" ca="1" si="6"/>
        <v/>
      </c>
      <c r="T85" t="str">
        <f>IF(E85="USD",F85,IF(E85="CRC",F85/CONFIG!$B$5,""))</f>
        <v/>
      </c>
      <c r="U85" t="str">
        <f t="shared" si="7"/>
        <v/>
      </c>
      <c r="V85" t="str">
        <f t="shared" ca="1" si="8"/>
        <v/>
      </c>
      <c r="W85" t="str">
        <f t="shared" ca="1" si="9"/>
        <v/>
      </c>
    </row>
    <row r="86" spans="17:23" x14ac:dyDescent="0.25">
      <c r="Q86">
        <f>IF(E86="USD",CONFIG!$B$5,1)</f>
        <v>1</v>
      </c>
      <c r="R86" t="str">
        <f t="shared" si="5"/>
        <v>✗ ERROR: Revisa datos</v>
      </c>
      <c r="S86" t="str">
        <f t="shared" ca="1" si="6"/>
        <v/>
      </c>
      <c r="T86" t="str">
        <f>IF(E86="USD",F86,IF(E86="CRC",F86/CONFIG!$B$5,""))</f>
        <v/>
      </c>
      <c r="U86" t="str">
        <f t="shared" si="7"/>
        <v/>
      </c>
      <c r="V86" t="str">
        <f t="shared" ca="1" si="8"/>
        <v/>
      </c>
      <c r="W86" t="str">
        <f t="shared" ca="1" si="9"/>
        <v/>
      </c>
    </row>
    <row r="87" spans="17:23" x14ac:dyDescent="0.25">
      <c r="Q87">
        <f>IF(E87="USD",CONFIG!$B$5,1)</f>
        <v>1</v>
      </c>
      <c r="R87" t="str">
        <f t="shared" si="5"/>
        <v>✗ ERROR: Revisa datos</v>
      </c>
      <c r="S87" t="str">
        <f t="shared" ca="1" si="6"/>
        <v/>
      </c>
      <c r="T87" t="str">
        <f>IF(E87="USD",F87,IF(E87="CRC",F87/CONFIG!$B$5,""))</f>
        <v/>
      </c>
      <c r="U87" t="str">
        <f t="shared" si="7"/>
        <v/>
      </c>
      <c r="V87" t="str">
        <f t="shared" ca="1" si="8"/>
        <v/>
      </c>
      <c r="W87" t="str">
        <f t="shared" ca="1" si="9"/>
        <v/>
      </c>
    </row>
    <row r="88" spans="17:23" x14ac:dyDescent="0.25">
      <c r="Q88">
        <f>IF(E88="USD",CONFIG!$B$5,1)</f>
        <v>1</v>
      </c>
      <c r="R88" t="str">
        <f t="shared" si="5"/>
        <v>✗ ERROR: Revisa datos</v>
      </c>
      <c r="S88" t="str">
        <f t="shared" ca="1" si="6"/>
        <v/>
      </c>
      <c r="T88" t="str">
        <f>IF(E88="USD",F88,IF(E88="CRC",F88/CONFIG!$B$5,""))</f>
        <v/>
      </c>
      <c r="U88" t="str">
        <f t="shared" si="7"/>
        <v/>
      </c>
      <c r="V88" t="str">
        <f t="shared" ca="1" si="8"/>
        <v/>
      </c>
      <c r="W88" t="str">
        <f t="shared" ca="1" si="9"/>
        <v/>
      </c>
    </row>
    <row r="89" spans="17:23" x14ac:dyDescent="0.25">
      <c r="Q89">
        <f>IF(E89="USD",CONFIG!$B$5,1)</f>
        <v>1</v>
      </c>
      <c r="R89" t="str">
        <f t="shared" si="5"/>
        <v>✗ ERROR: Revisa datos</v>
      </c>
      <c r="S89" t="str">
        <f t="shared" ca="1" si="6"/>
        <v/>
      </c>
      <c r="T89" t="str">
        <f>IF(E89="USD",F89,IF(E89="CRC",F89/CONFIG!$B$5,""))</f>
        <v/>
      </c>
      <c r="U89" t="str">
        <f t="shared" si="7"/>
        <v/>
      </c>
      <c r="V89" t="str">
        <f t="shared" ca="1" si="8"/>
        <v/>
      </c>
      <c r="W89" t="str">
        <f t="shared" ca="1" si="9"/>
        <v/>
      </c>
    </row>
    <row r="90" spans="17:23" x14ac:dyDescent="0.25">
      <c r="Q90">
        <f>IF(E90="USD",CONFIG!$B$5,1)</f>
        <v>1</v>
      </c>
      <c r="R90" t="str">
        <f t="shared" si="5"/>
        <v>✗ ERROR: Revisa datos</v>
      </c>
      <c r="S90" t="str">
        <f t="shared" ca="1" si="6"/>
        <v/>
      </c>
      <c r="T90" t="str">
        <f>IF(E90="USD",F90,IF(E90="CRC",F90/CONFIG!$B$5,""))</f>
        <v/>
      </c>
      <c r="U90" t="str">
        <f t="shared" si="7"/>
        <v/>
      </c>
      <c r="V90" t="str">
        <f t="shared" ca="1" si="8"/>
        <v/>
      </c>
      <c r="W90" t="str">
        <f t="shared" ca="1" si="9"/>
        <v/>
      </c>
    </row>
    <row r="91" spans="17:23" x14ac:dyDescent="0.25">
      <c r="Q91">
        <f>IF(E91="USD",CONFIG!$B$5,1)</f>
        <v>1</v>
      </c>
      <c r="R91" t="str">
        <f t="shared" si="5"/>
        <v>✗ ERROR: Revisa datos</v>
      </c>
      <c r="S91" t="str">
        <f t="shared" ca="1" si="6"/>
        <v/>
      </c>
      <c r="T91" t="str">
        <f>IF(E91="USD",F91,IF(E91="CRC",F91/CONFIG!$B$5,""))</f>
        <v/>
      </c>
      <c r="U91" t="str">
        <f t="shared" si="7"/>
        <v/>
      </c>
      <c r="V91" t="str">
        <f t="shared" ca="1" si="8"/>
        <v/>
      </c>
      <c r="W91" t="str">
        <f t="shared" ca="1" si="9"/>
        <v/>
      </c>
    </row>
    <row r="92" spans="17:23" x14ac:dyDescent="0.25">
      <c r="Q92">
        <f>IF(E92="USD",CONFIG!$B$5,1)</f>
        <v>1</v>
      </c>
      <c r="R92" t="str">
        <f t="shared" si="5"/>
        <v>✗ ERROR: Revisa datos</v>
      </c>
      <c r="S92" t="str">
        <f t="shared" ca="1" si="6"/>
        <v/>
      </c>
      <c r="T92" t="str">
        <f>IF(E92="USD",F92,IF(E92="CRC",F92/CONFIG!$B$5,""))</f>
        <v/>
      </c>
      <c r="U92" t="str">
        <f t="shared" si="7"/>
        <v/>
      </c>
      <c r="V92" t="str">
        <f t="shared" ca="1" si="8"/>
        <v/>
      </c>
      <c r="W92" t="str">
        <f t="shared" ca="1" si="9"/>
        <v/>
      </c>
    </row>
    <row r="93" spans="17:23" x14ac:dyDescent="0.25">
      <c r="Q93">
        <f>IF(E93="USD",CONFIG!$B$5,1)</f>
        <v>1</v>
      </c>
      <c r="R93" t="str">
        <f t="shared" si="5"/>
        <v>✗ ERROR: Revisa datos</v>
      </c>
      <c r="S93" t="str">
        <f t="shared" ca="1" si="6"/>
        <v/>
      </c>
      <c r="T93" t="str">
        <f>IF(E93="USD",F93,IF(E93="CRC",F93/CONFIG!$B$5,""))</f>
        <v/>
      </c>
      <c r="U93" t="str">
        <f t="shared" si="7"/>
        <v/>
      </c>
      <c r="V93" t="str">
        <f t="shared" ca="1" si="8"/>
        <v/>
      </c>
      <c r="W93" t="str">
        <f t="shared" ca="1" si="9"/>
        <v/>
      </c>
    </row>
    <row r="94" spans="17:23" x14ac:dyDescent="0.25">
      <c r="Q94">
        <f>IF(E94="USD",CONFIG!$B$5,1)</f>
        <v>1</v>
      </c>
      <c r="R94" t="str">
        <f t="shared" si="5"/>
        <v>✗ ERROR: Revisa datos</v>
      </c>
      <c r="S94" t="str">
        <f t="shared" ca="1" si="6"/>
        <v/>
      </c>
      <c r="T94" t="str">
        <f>IF(E94="USD",F94,IF(E94="CRC",F94/CONFIG!$B$5,""))</f>
        <v/>
      </c>
      <c r="U94" t="str">
        <f t="shared" si="7"/>
        <v/>
      </c>
      <c r="V94" t="str">
        <f t="shared" ca="1" si="8"/>
        <v/>
      </c>
      <c r="W94" t="str">
        <f t="shared" ca="1" si="9"/>
        <v/>
      </c>
    </row>
    <row r="95" spans="17:23" x14ac:dyDescent="0.25">
      <c r="Q95">
        <f>IF(E95="USD",CONFIG!$B$5,1)</f>
        <v>1</v>
      </c>
      <c r="R95" t="str">
        <f t="shared" si="5"/>
        <v>✗ ERROR: Revisa datos</v>
      </c>
      <c r="S95" t="str">
        <f t="shared" ca="1" si="6"/>
        <v/>
      </c>
      <c r="T95" t="str">
        <f>IF(E95="USD",F95,IF(E95="CRC",F95/CONFIG!$B$5,""))</f>
        <v/>
      </c>
      <c r="U95" t="str">
        <f t="shared" si="7"/>
        <v/>
      </c>
      <c r="V95" t="str">
        <f t="shared" ca="1" si="8"/>
        <v/>
      </c>
      <c r="W95" t="str">
        <f t="shared" ca="1" si="9"/>
        <v/>
      </c>
    </row>
    <row r="96" spans="17:23" x14ac:dyDescent="0.25">
      <c r="Q96">
        <f>IF(E96="USD",CONFIG!$B$5,1)</f>
        <v>1</v>
      </c>
      <c r="R96" t="str">
        <f t="shared" si="5"/>
        <v>✗ ERROR: Revisa datos</v>
      </c>
      <c r="S96" t="str">
        <f t="shared" ca="1" si="6"/>
        <v/>
      </c>
      <c r="T96" t="str">
        <f>IF(E96="USD",F96,IF(E96="CRC",F96/CONFIG!$B$5,""))</f>
        <v/>
      </c>
      <c r="U96" t="str">
        <f t="shared" si="7"/>
        <v/>
      </c>
      <c r="V96" t="str">
        <f t="shared" ca="1" si="8"/>
        <v/>
      </c>
      <c r="W96" t="str">
        <f t="shared" ca="1" si="9"/>
        <v/>
      </c>
    </row>
    <row r="97" spans="17:23" x14ac:dyDescent="0.25">
      <c r="Q97">
        <f>IF(E97="USD",CONFIG!$B$5,1)</f>
        <v>1</v>
      </c>
      <c r="R97" t="str">
        <f t="shared" si="5"/>
        <v>✗ ERROR: Revisa datos</v>
      </c>
      <c r="S97" t="str">
        <f t="shared" ca="1" si="6"/>
        <v/>
      </c>
      <c r="T97" t="str">
        <f>IF(E97="USD",F97,IF(E97="CRC",F97/CONFIG!$B$5,""))</f>
        <v/>
      </c>
      <c r="U97" t="str">
        <f t="shared" si="7"/>
        <v/>
      </c>
      <c r="V97" t="str">
        <f t="shared" ca="1" si="8"/>
        <v/>
      </c>
      <c r="W97" t="str">
        <f t="shared" ca="1" si="9"/>
        <v/>
      </c>
    </row>
    <row r="98" spans="17:23" x14ac:dyDescent="0.25">
      <c r="Q98">
        <f>IF(E98="USD",CONFIG!$B$5,1)</f>
        <v>1</v>
      </c>
      <c r="R98" t="str">
        <f t="shared" si="5"/>
        <v>✗ ERROR: Revisa datos</v>
      </c>
      <c r="S98" t="str">
        <f t="shared" ca="1" si="6"/>
        <v/>
      </c>
      <c r="T98" t="str">
        <f>IF(E98="USD",F98,IF(E98="CRC",F98/CONFIG!$B$5,""))</f>
        <v/>
      </c>
      <c r="U98" t="str">
        <f t="shared" si="7"/>
        <v/>
      </c>
      <c r="V98" t="str">
        <f t="shared" ca="1" si="8"/>
        <v/>
      </c>
      <c r="W98" t="str">
        <f t="shared" ca="1" si="9"/>
        <v/>
      </c>
    </row>
    <row r="99" spans="17:23" x14ac:dyDescent="0.25">
      <c r="Q99">
        <f>IF(E99="USD",CONFIG!$B$5,1)</f>
        <v>1</v>
      </c>
      <c r="R99" t="str">
        <f t="shared" si="5"/>
        <v>✗ ERROR: Revisa datos</v>
      </c>
      <c r="S99" t="str">
        <f t="shared" ca="1" si="6"/>
        <v/>
      </c>
      <c r="T99" t="str">
        <f>IF(E99="USD",F99,IF(E99="CRC",F99/CONFIG!$B$5,""))</f>
        <v/>
      </c>
      <c r="U99" t="str">
        <f t="shared" si="7"/>
        <v/>
      </c>
      <c r="V99" t="str">
        <f t="shared" ca="1" si="8"/>
        <v/>
      </c>
      <c r="W99" t="str">
        <f t="shared" ca="1" si="9"/>
        <v/>
      </c>
    </row>
    <row r="100" spans="17:23" x14ac:dyDescent="0.25">
      <c r="Q100">
        <f>IF(E100="USD",CONFIG!$B$5,1)</f>
        <v>1</v>
      </c>
      <c r="R100" t="str">
        <f t="shared" si="5"/>
        <v>✗ ERROR: Revisa datos</v>
      </c>
      <c r="S100" t="str">
        <f t="shared" ca="1" si="6"/>
        <v/>
      </c>
      <c r="T100" t="str">
        <f>IF(E100="USD",F100,IF(E100="CRC",F100/CONFIG!$B$5,""))</f>
        <v/>
      </c>
      <c r="U100" t="str">
        <f t="shared" si="7"/>
        <v/>
      </c>
      <c r="V100" t="str">
        <f t="shared" ca="1" si="8"/>
        <v/>
      </c>
      <c r="W100" t="str">
        <f t="shared" ca="1" si="9"/>
        <v/>
      </c>
    </row>
    <row r="101" spans="17:23" x14ac:dyDescent="0.25">
      <c r="Q101">
        <f>IF(E101="USD",CONFIG!$B$5,1)</f>
        <v>1</v>
      </c>
      <c r="R101" t="str">
        <f t="shared" si="5"/>
        <v>✗ ERROR: Revisa datos</v>
      </c>
      <c r="S101" t="str">
        <f t="shared" ca="1" si="6"/>
        <v/>
      </c>
      <c r="T101" t="str">
        <f>IF(E101="USD",F101,IF(E101="CRC",F101/CONFIG!$B$5,""))</f>
        <v/>
      </c>
      <c r="U101" t="str">
        <f t="shared" si="7"/>
        <v/>
      </c>
      <c r="V101" t="str">
        <f t="shared" ca="1" si="8"/>
        <v/>
      </c>
      <c r="W101" t="str">
        <f t="shared" ca="1" si="9"/>
        <v/>
      </c>
    </row>
    <row r="102" spans="17:23" x14ac:dyDescent="0.25">
      <c r="Q102">
        <f>IF(E102="USD",CONFIG!$B$5,1)</f>
        <v>1</v>
      </c>
      <c r="R102" t="str">
        <f t="shared" si="5"/>
        <v>✗ ERROR: Revisa datos</v>
      </c>
      <c r="S102" t="str">
        <f t="shared" ca="1" si="6"/>
        <v/>
      </c>
      <c r="T102" t="str">
        <f>IF(E102="USD",F102,IF(E102="CRC",F102/CONFIG!$B$5,""))</f>
        <v/>
      </c>
      <c r="U102" t="str">
        <f t="shared" si="7"/>
        <v/>
      </c>
      <c r="V102" t="str">
        <f t="shared" ca="1" si="8"/>
        <v/>
      </c>
      <c r="W102" t="str">
        <f t="shared" ca="1" si="9"/>
        <v/>
      </c>
    </row>
    <row r="103" spans="17:23" x14ac:dyDescent="0.25">
      <c r="Q103">
        <f>IF(E103="USD",CONFIG!$B$5,1)</f>
        <v>1</v>
      </c>
      <c r="R103" t="str">
        <f t="shared" si="5"/>
        <v>✗ ERROR: Revisa datos</v>
      </c>
      <c r="S103" t="str">
        <f t="shared" ca="1" si="6"/>
        <v/>
      </c>
      <c r="T103" t="str">
        <f>IF(E103="USD",F103,IF(E103="CRC",F103/CONFIG!$B$5,""))</f>
        <v/>
      </c>
      <c r="U103" t="str">
        <f t="shared" si="7"/>
        <v/>
      </c>
      <c r="V103" t="str">
        <f t="shared" ca="1" si="8"/>
        <v/>
      </c>
      <c r="W103" t="str">
        <f t="shared" ca="1" si="9"/>
        <v/>
      </c>
    </row>
    <row r="104" spans="17:23" x14ac:dyDescent="0.25">
      <c r="Q104">
        <f>IF(E104="USD",CONFIG!$B$5,1)</f>
        <v>1</v>
      </c>
      <c r="R104" t="str">
        <f t="shared" si="5"/>
        <v>✗ ERROR: Revisa datos</v>
      </c>
      <c r="S104" t="str">
        <f t="shared" ca="1" si="6"/>
        <v/>
      </c>
      <c r="T104" t="str">
        <f>IF(E104="USD",F104,IF(E104="CRC",F104/CONFIG!$B$5,""))</f>
        <v/>
      </c>
      <c r="U104" t="str">
        <f t="shared" si="7"/>
        <v/>
      </c>
      <c r="V104" t="str">
        <f t="shared" ca="1" si="8"/>
        <v/>
      </c>
      <c r="W104" t="str">
        <f t="shared" ca="1" si="9"/>
        <v/>
      </c>
    </row>
    <row r="105" spans="17:23" x14ac:dyDescent="0.25">
      <c r="Q105">
        <f>IF(E105="USD",CONFIG!$B$5,1)</f>
        <v>1</v>
      </c>
      <c r="R105" t="str">
        <f t="shared" si="5"/>
        <v>✗ ERROR: Revisa datos</v>
      </c>
      <c r="S105" t="str">
        <f t="shared" ca="1" si="6"/>
        <v/>
      </c>
      <c r="T105" t="str">
        <f>IF(E105="USD",F105,IF(E105="CRC",F105/CONFIG!$B$5,""))</f>
        <v/>
      </c>
      <c r="U105" t="str">
        <f t="shared" si="7"/>
        <v/>
      </c>
      <c r="V105" t="str">
        <f t="shared" ca="1" si="8"/>
        <v/>
      </c>
      <c r="W105" t="str">
        <f t="shared" ca="1" si="9"/>
        <v/>
      </c>
    </row>
    <row r="106" spans="17:23" x14ac:dyDescent="0.25">
      <c r="Q106">
        <f>IF(E106="USD",CONFIG!$B$5,1)</f>
        <v>1</v>
      </c>
      <c r="R106" t="str">
        <f t="shared" si="5"/>
        <v>✗ ERROR: Revisa datos</v>
      </c>
      <c r="S106" t="str">
        <f t="shared" ca="1" si="6"/>
        <v/>
      </c>
      <c r="T106" t="str">
        <f>IF(E106="USD",F106,IF(E106="CRC",F106/CONFIG!$B$5,""))</f>
        <v/>
      </c>
      <c r="U106" t="str">
        <f t="shared" si="7"/>
        <v/>
      </c>
      <c r="V106" t="str">
        <f t="shared" ca="1" si="8"/>
        <v/>
      </c>
      <c r="W106" t="str">
        <f t="shared" ca="1" si="9"/>
        <v/>
      </c>
    </row>
    <row r="107" spans="17:23" x14ac:dyDescent="0.25">
      <c r="Q107">
        <f>IF(E107="USD",CONFIG!$B$5,1)</f>
        <v>1</v>
      </c>
      <c r="R107" t="str">
        <f t="shared" si="5"/>
        <v>✗ ERROR: Revisa datos</v>
      </c>
      <c r="S107" t="str">
        <f t="shared" ca="1" si="6"/>
        <v/>
      </c>
      <c r="T107" t="str">
        <f>IF(E107="USD",F107,IF(E107="CRC",F107/CONFIG!$B$5,""))</f>
        <v/>
      </c>
      <c r="U107" t="str">
        <f t="shared" si="7"/>
        <v/>
      </c>
      <c r="V107" t="str">
        <f t="shared" ca="1" si="8"/>
        <v/>
      </c>
      <c r="W107" t="str">
        <f t="shared" ca="1" si="9"/>
        <v/>
      </c>
    </row>
    <row r="108" spans="17:23" x14ac:dyDescent="0.25">
      <c r="Q108">
        <f>IF(E108="USD",CONFIG!$B$5,1)</f>
        <v>1</v>
      </c>
      <c r="R108" t="str">
        <f t="shared" si="5"/>
        <v>✗ ERROR: Revisa datos</v>
      </c>
      <c r="S108" t="str">
        <f t="shared" ca="1" si="6"/>
        <v/>
      </c>
      <c r="T108" t="str">
        <f>IF(E108="USD",F108,IF(E108="CRC",F108/CONFIG!$B$5,""))</f>
        <v/>
      </c>
      <c r="U108" t="str">
        <f t="shared" si="7"/>
        <v/>
      </c>
      <c r="V108" t="str">
        <f t="shared" ca="1" si="8"/>
        <v/>
      </c>
      <c r="W108" t="str">
        <f t="shared" ca="1" si="9"/>
        <v/>
      </c>
    </row>
    <row r="109" spans="17:23" x14ac:dyDescent="0.25">
      <c r="Q109">
        <f>IF(E109="USD",CONFIG!$B$5,1)</f>
        <v>1</v>
      </c>
      <c r="R109" t="str">
        <f t="shared" si="5"/>
        <v>✗ ERROR: Revisa datos</v>
      </c>
      <c r="S109" t="str">
        <f t="shared" ca="1" si="6"/>
        <v/>
      </c>
      <c r="T109" t="str">
        <f>IF(E109="USD",F109,IF(E109="CRC",F109/CONFIG!$B$5,""))</f>
        <v/>
      </c>
      <c r="U109" t="str">
        <f t="shared" si="7"/>
        <v/>
      </c>
      <c r="V109" t="str">
        <f t="shared" ca="1" si="8"/>
        <v/>
      </c>
      <c r="W109" t="str">
        <f t="shared" ca="1" si="9"/>
        <v/>
      </c>
    </row>
    <row r="110" spans="17:23" x14ac:dyDescent="0.25">
      <c r="Q110">
        <f>IF(E110="USD",CONFIG!$B$5,1)</f>
        <v>1</v>
      </c>
      <c r="R110" t="str">
        <f t="shared" si="5"/>
        <v>✗ ERROR: Revisa datos</v>
      </c>
      <c r="S110" t="str">
        <f t="shared" ca="1" si="6"/>
        <v/>
      </c>
      <c r="T110" t="str">
        <f>IF(E110="USD",F110,IF(E110="CRC",F110/CONFIG!$B$5,""))</f>
        <v/>
      </c>
      <c r="U110" t="str">
        <f t="shared" si="7"/>
        <v/>
      </c>
      <c r="V110" t="str">
        <f t="shared" ca="1" si="8"/>
        <v/>
      </c>
      <c r="W110" t="str">
        <f t="shared" ca="1" si="9"/>
        <v/>
      </c>
    </row>
    <row r="111" spans="17:23" x14ac:dyDescent="0.25">
      <c r="Q111">
        <f>IF(E111="USD",CONFIG!$B$5,1)</f>
        <v>1</v>
      </c>
      <c r="R111" t="str">
        <f t="shared" si="5"/>
        <v>✗ ERROR: Revisa datos</v>
      </c>
      <c r="S111" t="str">
        <f t="shared" ca="1" si="6"/>
        <v/>
      </c>
      <c r="T111" t="str">
        <f>IF(E111="USD",F111,IF(E111="CRC",F111/CONFIG!$B$5,""))</f>
        <v/>
      </c>
      <c r="U111" t="str">
        <f t="shared" si="7"/>
        <v/>
      </c>
      <c r="V111" t="str">
        <f t="shared" ca="1" si="8"/>
        <v/>
      </c>
      <c r="W111" t="str">
        <f t="shared" ca="1" si="9"/>
        <v/>
      </c>
    </row>
    <row r="112" spans="17:23" x14ac:dyDescent="0.25">
      <c r="Q112">
        <f>IF(E112="USD",CONFIG!$B$5,1)</f>
        <v>1</v>
      </c>
      <c r="R112" t="str">
        <f t="shared" si="5"/>
        <v>✗ ERROR: Revisa datos</v>
      </c>
      <c r="S112" t="str">
        <f t="shared" ca="1" si="6"/>
        <v/>
      </c>
      <c r="T112" t="str">
        <f>IF(E112="USD",F112,IF(E112="CRC",F112/CONFIG!$B$5,""))</f>
        <v/>
      </c>
      <c r="U112" t="str">
        <f t="shared" si="7"/>
        <v/>
      </c>
      <c r="V112" t="str">
        <f t="shared" ca="1" si="8"/>
        <v/>
      </c>
      <c r="W112" t="str">
        <f t="shared" ca="1" si="9"/>
        <v/>
      </c>
    </row>
    <row r="113" spans="17:23" x14ac:dyDescent="0.25">
      <c r="Q113">
        <f>IF(E113="USD",CONFIG!$B$5,1)</f>
        <v>1</v>
      </c>
      <c r="R113" t="str">
        <f t="shared" si="5"/>
        <v>✗ ERROR: Revisa datos</v>
      </c>
      <c r="S113" t="str">
        <f t="shared" ca="1" si="6"/>
        <v/>
      </c>
      <c r="T113" t="str">
        <f>IF(E113="USD",F113,IF(E113="CRC",F113/CONFIG!$B$5,""))</f>
        <v/>
      </c>
      <c r="U113" t="str">
        <f t="shared" si="7"/>
        <v/>
      </c>
      <c r="V113" t="str">
        <f t="shared" ca="1" si="8"/>
        <v/>
      </c>
      <c r="W113" t="str">
        <f t="shared" ca="1" si="9"/>
        <v/>
      </c>
    </row>
    <row r="114" spans="17:23" x14ac:dyDescent="0.25">
      <c r="Q114">
        <f>IF(E114="USD",CONFIG!$B$5,1)</f>
        <v>1</v>
      </c>
      <c r="R114" t="str">
        <f t="shared" si="5"/>
        <v>✗ ERROR: Revisa datos</v>
      </c>
      <c r="S114" t="str">
        <f t="shared" ca="1" si="6"/>
        <v/>
      </c>
      <c r="T114" t="str">
        <f>IF(E114="USD",F114,IF(E114="CRC",F114/CONFIG!$B$5,""))</f>
        <v/>
      </c>
      <c r="U114" t="str">
        <f t="shared" si="7"/>
        <v/>
      </c>
      <c r="V114" t="str">
        <f t="shared" ca="1" si="8"/>
        <v/>
      </c>
      <c r="W114" t="str">
        <f t="shared" ca="1" si="9"/>
        <v/>
      </c>
    </row>
    <row r="115" spans="17:23" x14ac:dyDescent="0.25">
      <c r="Q115">
        <f>IF(E115="USD",CONFIG!$B$5,1)</f>
        <v>1</v>
      </c>
      <c r="R115" t="str">
        <f t="shared" si="5"/>
        <v>✗ ERROR: Revisa datos</v>
      </c>
      <c r="S115" t="str">
        <f t="shared" ca="1" si="6"/>
        <v/>
      </c>
      <c r="T115" t="str">
        <f>IF(E115="USD",F115,IF(E115="CRC",F115/CONFIG!$B$5,""))</f>
        <v/>
      </c>
      <c r="U115" t="str">
        <f t="shared" si="7"/>
        <v/>
      </c>
      <c r="V115" t="str">
        <f t="shared" ca="1" si="8"/>
        <v/>
      </c>
      <c r="W115" t="str">
        <f t="shared" ca="1" si="9"/>
        <v/>
      </c>
    </row>
    <row r="116" spans="17:23" x14ac:dyDescent="0.25">
      <c r="Q116">
        <f>IF(E116="USD",CONFIG!$B$5,1)</f>
        <v>1</v>
      </c>
      <c r="R116" t="str">
        <f t="shared" si="5"/>
        <v>✗ ERROR: Revisa datos</v>
      </c>
      <c r="S116" t="str">
        <f t="shared" ca="1" si="6"/>
        <v/>
      </c>
      <c r="T116" t="str">
        <f>IF(E116="USD",F116,IF(E116="CRC",F116/CONFIG!$B$5,""))</f>
        <v/>
      </c>
      <c r="U116" t="str">
        <f t="shared" si="7"/>
        <v/>
      </c>
      <c r="V116" t="str">
        <f t="shared" ca="1" si="8"/>
        <v/>
      </c>
      <c r="W116" t="str">
        <f t="shared" ca="1" si="9"/>
        <v/>
      </c>
    </row>
    <row r="117" spans="17:23" x14ac:dyDescent="0.25">
      <c r="Q117">
        <f>IF(E117="USD",CONFIG!$B$5,1)</f>
        <v>1</v>
      </c>
      <c r="R117" t="str">
        <f t="shared" si="5"/>
        <v>✗ ERROR: Revisa datos</v>
      </c>
      <c r="S117" t="str">
        <f t="shared" ca="1" si="6"/>
        <v/>
      </c>
      <c r="T117" t="str">
        <f>IF(E117="USD",F117,IF(E117="CRC",F117/CONFIG!$B$5,""))</f>
        <v/>
      </c>
      <c r="U117" t="str">
        <f t="shared" si="7"/>
        <v/>
      </c>
      <c r="V117" t="str">
        <f t="shared" ca="1" si="8"/>
        <v/>
      </c>
      <c r="W117" t="str">
        <f t="shared" ca="1" si="9"/>
        <v/>
      </c>
    </row>
    <row r="118" spans="17:23" x14ac:dyDescent="0.25">
      <c r="Q118">
        <f>IF(E118="USD",CONFIG!$B$5,1)</f>
        <v>1</v>
      </c>
      <c r="R118" t="str">
        <f t="shared" si="5"/>
        <v>✗ ERROR: Revisa datos</v>
      </c>
      <c r="S118" t="str">
        <f t="shared" ca="1" si="6"/>
        <v/>
      </c>
      <c r="T118" t="str">
        <f>IF(E118="USD",F118,IF(E118="CRC",F118/CONFIG!$B$5,""))</f>
        <v/>
      </c>
      <c r="U118" t="str">
        <f t="shared" si="7"/>
        <v/>
      </c>
      <c r="V118" t="str">
        <f t="shared" ca="1" si="8"/>
        <v/>
      </c>
      <c r="W118" t="str">
        <f t="shared" ca="1" si="9"/>
        <v/>
      </c>
    </row>
    <row r="119" spans="17:23" x14ac:dyDescent="0.25">
      <c r="Q119">
        <f>IF(E119="USD",CONFIG!$B$5,1)</f>
        <v>1</v>
      </c>
      <c r="R119" t="str">
        <f t="shared" si="5"/>
        <v>✗ ERROR: Revisa datos</v>
      </c>
      <c r="S119" t="str">
        <f t="shared" ca="1" si="6"/>
        <v/>
      </c>
      <c r="T119" t="str">
        <f>IF(E119="USD",F119,IF(E119="CRC",F119/CONFIG!$B$5,""))</f>
        <v/>
      </c>
      <c r="U119" t="str">
        <f t="shared" si="7"/>
        <v/>
      </c>
      <c r="V119" t="str">
        <f t="shared" ca="1" si="8"/>
        <v/>
      </c>
      <c r="W119" t="str">
        <f t="shared" ca="1" si="9"/>
        <v/>
      </c>
    </row>
    <row r="120" spans="17:23" x14ac:dyDescent="0.25">
      <c r="Q120">
        <f>IF(E120="USD",CONFIG!$B$5,1)</f>
        <v>1</v>
      </c>
      <c r="R120" t="str">
        <f t="shared" si="5"/>
        <v>✗ ERROR: Revisa datos</v>
      </c>
      <c r="S120" t="str">
        <f t="shared" ca="1" si="6"/>
        <v/>
      </c>
      <c r="T120" t="str">
        <f>IF(E120="USD",F120,IF(E120="CRC",F120/CONFIG!$B$5,""))</f>
        <v/>
      </c>
      <c r="U120" t="str">
        <f t="shared" si="7"/>
        <v/>
      </c>
      <c r="V120" t="str">
        <f t="shared" ca="1" si="8"/>
        <v/>
      </c>
      <c r="W120" t="str">
        <f t="shared" ca="1" si="9"/>
        <v/>
      </c>
    </row>
    <row r="121" spans="17:23" x14ac:dyDescent="0.25">
      <c r="Q121">
        <f>IF(E121="USD",CONFIG!$B$5,1)</f>
        <v>1</v>
      </c>
      <c r="R121" t="str">
        <f t="shared" si="5"/>
        <v>✗ ERROR: Revisa datos</v>
      </c>
      <c r="S121" t="str">
        <f t="shared" ca="1" si="6"/>
        <v/>
      </c>
      <c r="T121" t="str">
        <f>IF(E121="USD",F121,IF(E121="CRC",F121/CONFIG!$B$5,""))</f>
        <v/>
      </c>
      <c r="U121" t="str">
        <f t="shared" si="7"/>
        <v/>
      </c>
      <c r="V121" t="str">
        <f t="shared" ca="1" si="8"/>
        <v/>
      </c>
      <c r="W121" t="str">
        <f t="shared" ca="1" si="9"/>
        <v/>
      </c>
    </row>
    <row r="122" spans="17:23" x14ac:dyDescent="0.25">
      <c r="Q122">
        <f>IF(E122="USD",CONFIG!$B$5,1)</f>
        <v>1</v>
      </c>
      <c r="R122" t="str">
        <f t="shared" si="5"/>
        <v>✗ ERROR: Revisa datos</v>
      </c>
      <c r="S122" t="str">
        <f t="shared" ca="1" si="6"/>
        <v/>
      </c>
      <c r="T122" t="str">
        <f>IF(E122="USD",F122,IF(E122="CRC",F122/CONFIG!$B$5,""))</f>
        <v/>
      </c>
      <c r="U122" t="str">
        <f t="shared" si="7"/>
        <v/>
      </c>
      <c r="V122" t="str">
        <f t="shared" ca="1" si="8"/>
        <v/>
      </c>
      <c r="W122" t="str">
        <f t="shared" ca="1" si="9"/>
        <v/>
      </c>
    </row>
    <row r="123" spans="17:23" x14ac:dyDescent="0.25">
      <c r="Q123">
        <f>IF(E123="USD",CONFIG!$B$5,1)</f>
        <v>1</v>
      </c>
      <c r="R123" t="str">
        <f t="shared" si="5"/>
        <v>✗ ERROR: Revisa datos</v>
      </c>
      <c r="S123" t="str">
        <f t="shared" ca="1" si="6"/>
        <v/>
      </c>
      <c r="T123" t="str">
        <f>IF(E123="USD",F123,IF(E123="CRC",F123/CONFIG!$B$5,""))</f>
        <v/>
      </c>
      <c r="U123" t="str">
        <f t="shared" si="7"/>
        <v/>
      </c>
      <c r="V123" t="str">
        <f t="shared" ca="1" si="8"/>
        <v/>
      </c>
      <c r="W123" t="str">
        <f t="shared" ca="1" si="9"/>
        <v/>
      </c>
    </row>
    <row r="124" spans="17:23" x14ac:dyDescent="0.25">
      <c r="Q124">
        <f>IF(E124="USD",CONFIG!$B$5,1)</f>
        <v>1</v>
      </c>
      <c r="R124" t="str">
        <f t="shared" si="5"/>
        <v>✗ ERROR: Revisa datos</v>
      </c>
      <c r="S124" t="str">
        <f t="shared" ca="1" si="6"/>
        <v/>
      </c>
      <c r="T124" t="str">
        <f>IF(E124="USD",F124,IF(E124="CRC",F124/CONFIG!$B$5,""))</f>
        <v/>
      </c>
      <c r="U124" t="str">
        <f t="shared" si="7"/>
        <v/>
      </c>
      <c r="V124" t="str">
        <f t="shared" ca="1" si="8"/>
        <v/>
      </c>
      <c r="W124" t="str">
        <f t="shared" ca="1" si="9"/>
        <v/>
      </c>
    </row>
    <row r="125" spans="17:23" x14ac:dyDescent="0.25">
      <c r="Q125">
        <f>IF(E125="USD",CONFIG!$B$5,1)</f>
        <v>1</v>
      </c>
      <c r="R125" t="str">
        <f t="shared" si="5"/>
        <v>✗ ERROR: Revisa datos</v>
      </c>
      <c r="S125" t="str">
        <f t="shared" ca="1" si="6"/>
        <v/>
      </c>
      <c r="T125" t="str">
        <f>IF(E125="USD",F125,IF(E125="CRC",F125/CONFIG!$B$5,""))</f>
        <v/>
      </c>
      <c r="U125" t="str">
        <f t="shared" si="7"/>
        <v/>
      </c>
      <c r="V125" t="str">
        <f t="shared" ca="1" si="8"/>
        <v/>
      </c>
      <c r="W125" t="str">
        <f t="shared" ca="1" si="9"/>
        <v/>
      </c>
    </row>
    <row r="126" spans="17:23" x14ac:dyDescent="0.25">
      <c r="Q126">
        <f>IF(E126="USD",CONFIG!$B$5,1)</f>
        <v>1</v>
      </c>
      <c r="R126" t="str">
        <f t="shared" si="5"/>
        <v>✗ ERROR: Revisa datos</v>
      </c>
      <c r="S126" t="str">
        <f t="shared" ca="1" si="6"/>
        <v/>
      </c>
      <c r="T126" t="str">
        <f>IF(E126="USD",F126,IF(E126="CRC",F126/CONFIG!$B$5,""))</f>
        <v/>
      </c>
      <c r="U126" t="str">
        <f t="shared" si="7"/>
        <v/>
      </c>
      <c r="V126" t="str">
        <f t="shared" ca="1" si="8"/>
        <v/>
      </c>
      <c r="W126" t="str">
        <f t="shared" ca="1" si="9"/>
        <v/>
      </c>
    </row>
    <row r="127" spans="17:23" x14ac:dyDescent="0.25">
      <c r="Q127">
        <f>IF(E127="USD",CONFIG!$B$5,1)</f>
        <v>1</v>
      </c>
      <c r="R127" t="str">
        <f t="shared" si="5"/>
        <v>✗ ERROR: Revisa datos</v>
      </c>
      <c r="S127" t="str">
        <f t="shared" ca="1" si="6"/>
        <v/>
      </c>
      <c r="T127" t="str">
        <f>IF(E127="USD",F127,IF(E127="CRC",F127/CONFIG!$B$5,""))</f>
        <v/>
      </c>
      <c r="U127" t="str">
        <f t="shared" si="7"/>
        <v/>
      </c>
      <c r="V127" t="str">
        <f t="shared" ca="1" si="8"/>
        <v/>
      </c>
      <c r="W127" t="str">
        <f t="shared" ca="1" si="9"/>
        <v/>
      </c>
    </row>
    <row r="128" spans="17:23" x14ac:dyDescent="0.25">
      <c r="Q128">
        <f>IF(E128="USD",CONFIG!$B$5,1)</f>
        <v>1</v>
      </c>
      <c r="R128" t="str">
        <f t="shared" si="5"/>
        <v>✗ ERROR: Revisa datos</v>
      </c>
      <c r="S128" t="str">
        <f t="shared" ca="1" si="6"/>
        <v/>
      </c>
      <c r="T128" t="str">
        <f>IF(E128="USD",F128,IF(E128="CRC",F128/CONFIG!$B$5,""))</f>
        <v/>
      </c>
      <c r="U128" t="str">
        <f t="shared" si="7"/>
        <v/>
      </c>
      <c r="V128" t="str">
        <f t="shared" ca="1" si="8"/>
        <v/>
      </c>
      <c r="W128" t="str">
        <f t="shared" ca="1" si="9"/>
        <v/>
      </c>
    </row>
    <row r="129" spans="17:23" x14ac:dyDescent="0.25">
      <c r="Q129">
        <f>IF(E129="USD",CONFIG!$B$5,1)</f>
        <v>1</v>
      </c>
      <c r="R129" t="str">
        <f t="shared" si="5"/>
        <v>✗ ERROR: Revisa datos</v>
      </c>
      <c r="S129" t="str">
        <f t="shared" ca="1" si="6"/>
        <v/>
      </c>
      <c r="T129" t="str">
        <f>IF(E129="USD",F129,IF(E129="CRC",F129/CONFIG!$B$5,""))</f>
        <v/>
      </c>
      <c r="U129" t="str">
        <f t="shared" si="7"/>
        <v/>
      </c>
      <c r="V129" t="str">
        <f t="shared" ca="1" si="8"/>
        <v/>
      </c>
      <c r="W129" t="str">
        <f t="shared" ca="1" si="9"/>
        <v/>
      </c>
    </row>
    <row r="130" spans="17:23" x14ac:dyDescent="0.25">
      <c r="Q130">
        <f>IF(E130="USD",CONFIG!$B$5,1)</f>
        <v>1</v>
      </c>
      <c r="R130" t="str">
        <f t="shared" si="5"/>
        <v>✗ ERROR: Revisa datos</v>
      </c>
      <c r="S130" t="str">
        <f t="shared" ca="1" si="6"/>
        <v/>
      </c>
      <c r="T130" t="str">
        <f>IF(E130="USD",F130,IF(E130="CRC",F130/CONFIG!$B$5,""))</f>
        <v/>
      </c>
      <c r="U130" t="str">
        <f t="shared" si="7"/>
        <v/>
      </c>
      <c r="V130" t="str">
        <f t="shared" ca="1" si="8"/>
        <v/>
      </c>
      <c r="W130" t="str">
        <f t="shared" ca="1" si="9"/>
        <v/>
      </c>
    </row>
    <row r="131" spans="17:23" x14ac:dyDescent="0.25">
      <c r="Q131">
        <f>IF(E131="USD",CONFIG!$B$5,1)</f>
        <v>1</v>
      </c>
      <c r="R131" t="str">
        <f t="shared" ref="R131:R194" si="10">IF(AND(A131&lt;&gt;"",ISNUMBER(A131),B131&lt;&gt;"",C131&lt;&gt;"",OR(E131="USD",E131="CRC"),F131&gt;0,ISNUMBER(Q131),Q131&gt;0),"✓ OK","✗ ERROR: Revisa datos")</f>
        <v>✗ ERROR: Revisa datos</v>
      </c>
      <c r="S131" t="str">
        <f t="shared" ca="1" si="6"/>
        <v/>
      </c>
      <c r="T131" t="str">
        <f>IF(E131="USD",F131,IF(E131="CRC",F131/CONFIG!$B$5,""))</f>
        <v/>
      </c>
      <c r="U131" t="str">
        <f t="shared" si="7"/>
        <v/>
      </c>
      <c r="V131" t="str">
        <f t="shared" ca="1" si="8"/>
        <v/>
      </c>
      <c r="W131" t="str">
        <f t="shared" ca="1" si="9"/>
        <v/>
      </c>
    </row>
    <row r="132" spans="17:23" x14ac:dyDescent="0.25">
      <c r="Q132">
        <f>IF(E132="USD",CONFIG!$B$5,1)</f>
        <v>1</v>
      </c>
      <c r="R132" t="str">
        <f t="shared" si="10"/>
        <v>✗ ERROR: Revisa datos</v>
      </c>
      <c r="S132" t="str">
        <f t="shared" ca="1" si="6"/>
        <v/>
      </c>
      <c r="T132" t="str">
        <f>IF(E132="USD",F132,IF(E132="CRC",F132/CONFIG!$B$5,""))</f>
        <v/>
      </c>
      <c r="U132" t="str">
        <f t="shared" si="7"/>
        <v/>
      </c>
      <c r="V132" t="str">
        <f t="shared" ca="1" si="8"/>
        <v/>
      </c>
      <c r="W132" t="str">
        <f t="shared" ca="1" si="9"/>
        <v/>
      </c>
    </row>
    <row r="133" spans="17:23" x14ac:dyDescent="0.25">
      <c r="Q133">
        <f>IF(E133="USD",CONFIG!$B$5,1)</f>
        <v>1</v>
      </c>
      <c r="R133" t="str">
        <f t="shared" si="10"/>
        <v>✗ ERROR: Revisa datos</v>
      </c>
      <c r="S133" t="str">
        <f t="shared" ca="1" si="6"/>
        <v/>
      </c>
      <c r="T133" t="str">
        <f>IF(E133="USD",F133,IF(E133="CRC",F133/CONFIG!$B$5,""))</f>
        <v/>
      </c>
      <c r="U133" t="str">
        <f t="shared" si="7"/>
        <v/>
      </c>
      <c r="V133" t="str">
        <f t="shared" ca="1" si="8"/>
        <v/>
      </c>
      <c r="W133" t="str">
        <f t="shared" ca="1" si="9"/>
        <v/>
      </c>
    </row>
    <row r="134" spans="17:23" x14ac:dyDescent="0.25">
      <c r="Q134">
        <f>IF(E134="USD",CONFIG!$B$5,1)</f>
        <v>1</v>
      </c>
      <c r="R134" t="str">
        <f t="shared" si="10"/>
        <v>✗ ERROR: Revisa datos</v>
      </c>
      <c r="S134" t="str">
        <f t="shared" ca="1" si="6"/>
        <v/>
      </c>
      <c r="T134" t="str">
        <f>IF(E134="USD",F134,IF(E134="CRC",F134/CONFIG!$B$5,""))</f>
        <v/>
      </c>
      <c r="U134" t="str">
        <f t="shared" si="7"/>
        <v/>
      </c>
      <c r="V134" t="str">
        <f t="shared" ca="1" si="8"/>
        <v/>
      </c>
      <c r="W134" t="str">
        <f t="shared" ca="1" si="9"/>
        <v/>
      </c>
    </row>
    <row r="135" spans="17:23" x14ac:dyDescent="0.25">
      <c r="Q135">
        <f>IF(E135="USD",CONFIG!$B$5,1)</f>
        <v>1</v>
      </c>
      <c r="R135" t="str">
        <f t="shared" si="10"/>
        <v>✗ ERROR: Revisa datos</v>
      </c>
      <c r="S135" t="str">
        <f t="shared" ref="S135:S198" ca="1" si="11">IF(A135&lt;&gt;"",TODAY()-A135,"")</f>
        <v/>
      </c>
      <c r="T135" t="str">
        <f>IF(E135="USD",F135,IF(E135="CRC",F135/CONFIG!$B$5,""))</f>
        <v/>
      </c>
      <c r="U135" t="str">
        <f t="shared" ref="U135:U198" si="12">IF(A135&lt;&gt;"",A135+30,"")</f>
        <v/>
      </c>
      <c r="V135" t="str">
        <f t="shared" ref="V135:V198" ca="1" si="13">IF(AND(C135="CxP",S135&gt;60),"Alta",IF(AND(C135="CxP",S135&gt;30),"Media",IF(C135="CxP","Baja","")))</f>
        <v/>
      </c>
      <c r="W135" t="str">
        <f t="shared" ref="W135:W198" ca="1" si="14">IF(AND(C135="CxC",S135&gt;90),"Alta",IF(AND(C135="CxC",S135&gt;60),"Media",IF(C135="CxC","Baja","")))</f>
        <v/>
      </c>
    </row>
    <row r="136" spans="17:23" x14ac:dyDescent="0.25">
      <c r="Q136">
        <f>IF(E136="USD",CONFIG!$B$5,1)</f>
        <v>1</v>
      </c>
      <c r="R136" t="str">
        <f t="shared" si="10"/>
        <v>✗ ERROR: Revisa datos</v>
      </c>
      <c r="S136" t="str">
        <f t="shared" ca="1" si="11"/>
        <v/>
      </c>
      <c r="T136" t="str">
        <f>IF(E136="USD",F136,IF(E136="CRC",F136/CONFIG!$B$5,""))</f>
        <v/>
      </c>
      <c r="U136" t="str">
        <f t="shared" si="12"/>
        <v/>
      </c>
      <c r="V136" t="str">
        <f t="shared" ca="1" si="13"/>
        <v/>
      </c>
      <c r="W136" t="str">
        <f t="shared" ca="1" si="14"/>
        <v/>
      </c>
    </row>
    <row r="137" spans="17:23" x14ac:dyDescent="0.25">
      <c r="Q137">
        <f>IF(E137="USD",CONFIG!$B$5,1)</f>
        <v>1</v>
      </c>
      <c r="R137" t="str">
        <f t="shared" si="10"/>
        <v>✗ ERROR: Revisa datos</v>
      </c>
      <c r="S137" t="str">
        <f t="shared" ca="1" si="11"/>
        <v/>
      </c>
      <c r="T137" t="str">
        <f>IF(E137="USD",F137,IF(E137="CRC",F137/CONFIG!$B$5,""))</f>
        <v/>
      </c>
      <c r="U137" t="str">
        <f t="shared" si="12"/>
        <v/>
      </c>
      <c r="V137" t="str">
        <f t="shared" ca="1" si="13"/>
        <v/>
      </c>
      <c r="W137" t="str">
        <f t="shared" ca="1" si="14"/>
        <v/>
      </c>
    </row>
    <row r="138" spans="17:23" x14ac:dyDescent="0.25">
      <c r="Q138">
        <f>IF(E138="USD",CONFIG!$B$5,1)</f>
        <v>1</v>
      </c>
      <c r="R138" t="str">
        <f t="shared" si="10"/>
        <v>✗ ERROR: Revisa datos</v>
      </c>
      <c r="S138" t="str">
        <f t="shared" ca="1" si="11"/>
        <v/>
      </c>
      <c r="T138" t="str">
        <f>IF(E138="USD",F138,IF(E138="CRC",F138/CONFIG!$B$5,""))</f>
        <v/>
      </c>
      <c r="U138" t="str">
        <f t="shared" si="12"/>
        <v/>
      </c>
      <c r="V138" t="str">
        <f t="shared" ca="1" si="13"/>
        <v/>
      </c>
      <c r="W138" t="str">
        <f t="shared" ca="1" si="14"/>
        <v/>
      </c>
    </row>
    <row r="139" spans="17:23" x14ac:dyDescent="0.25">
      <c r="Q139">
        <f>IF(E139="USD",CONFIG!$B$5,1)</f>
        <v>1</v>
      </c>
      <c r="R139" t="str">
        <f t="shared" si="10"/>
        <v>✗ ERROR: Revisa datos</v>
      </c>
      <c r="S139" t="str">
        <f t="shared" ca="1" si="11"/>
        <v/>
      </c>
      <c r="T139" t="str">
        <f>IF(E139="USD",F139,IF(E139="CRC",F139/CONFIG!$B$5,""))</f>
        <v/>
      </c>
      <c r="U139" t="str">
        <f t="shared" si="12"/>
        <v/>
      </c>
      <c r="V139" t="str">
        <f t="shared" ca="1" si="13"/>
        <v/>
      </c>
      <c r="W139" t="str">
        <f t="shared" ca="1" si="14"/>
        <v/>
      </c>
    </row>
    <row r="140" spans="17:23" x14ac:dyDescent="0.25">
      <c r="Q140">
        <f>IF(E140="USD",CONFIG!$B$5,1)</f>
        <v>1</v>
      </c>
      <c r="R140" t="str">
        <f t="shared" si="10"/>
        <v>✗ ERROR: Revisa datos</v>
      </c>
      <c r="S140" t="str">
        <f t="shared" ca="1" si="11"/>
        <v/>
      </c>
      <c r="T140" t="str">
        <f>IF(E140="USD",F140,IF(E140="CRC",F140/CONFIG!$B$5,""))</f>
        <v/>
      </c>
      <c r="U140" t="str">
        <f t="shared" si="12"/>
        <v/>
      </c>
      <c r="V140" t="str">
        <f t="shared" ca="1" si="13"/>
        <v/>
      </c>
      <c r="W140" t="str">
        <f t="shared" ca="1" si="14"/>
        <v/>
      </c>
    </row>
    <row r="141" spans="17:23" x14ac:dyDescent="0.25">
      <c r="Q141">
        <f>IF(E141="USD",CONFIG!$B$5,1)</f>
        <v>1</v>
      </c>
      <c r="R141" t="str">
        <f t="shared" si="10"/>
        <v>✗ ERROR: Revisa datos</v>
      </c>
      <c r="S141" t="str">
        <f t="shared" ca="1" si="11"/>
        <v/>
      </c>
      <c r="T141" t="str">
        <f>IF(E141="USD",F141,IF(E141="CRC",F141/CONFIG!$B$5,""))</f>
        <v/>
      </c>
      <c r="U141" t="str">
        <f t="shared" si="12"/>
        <v/>
      </c>
      <c r="V141" t="str">
        <f t="shared" ca="1" si="13"/>
        <v/>
      </c>
      <c r="W141" t="str">
        <f t="shared" ca="1" si="14"/>
        <v/>
      </c>
    </row>
    <row r="142" spans="17:23" x14ac:dyDescent="0.25">
      <c r="Q142">
        <f>IF(E142="USD",CONFIG!$B$5,1)</f>
        <v>1</v>
      </c>
      <c r="R142" t="str">
        <f t="shared" si="10"/>
        <v>✗ ERROR: Revisa datos</v>
      </c>
      <c r="S142" t="str">
        <f t="shared" ca="1" si="11"/>
        <v/>
      </c>
      <c r="T142" t="str">
        <f>IF(E142="USD",F142,IF(E142="CRC",F142/CONFIG!$B$5,""))</f>
        <v/>
      </c>
      <c r="U142" t="str">
        <f t="shared" si="12"/>
        <v/>
      </c>
      <c r="V142" t="str">
        <f t="shared" ca="1" si="13"/>
        <v/>
      </c>
      <c r="W142" t="str">
        <f t="shared" ca="1" si="14"/>
        <v/>
      </c>
    </row>
    <row r="143" spans="17:23" x14ac:dyDescent="0.25">
      <c r="Q143">
        <f>IF(E143="USD",CONFIG!$B$5,1)</f>
        <v>1</v>
      </c>
      <c r="R143" t="str">
        <f t="shared" si="10"/>
        <v>✗ ERROR: Revisa datos</v>
      </c>
      <c r="S143" t="str">
        <f t="shared" ca="1" si="11"/>
        <v/>
      </c>
      <c r="T143" t="str">
        <f>IF(E143="USD",F143,IF(E143="CRC",F143/CONFIG!$B$5,""))</f>
        <v/>
      </c>
      <c r="U143" t="str">
        <f t="shared" si="12"/>
        <v/>
      </c>
      <c r="V143" t="str">
        <f t="shared" ca="1" si="13"/>
        <v/>
      </c>
      <c r="W143" t="str">
        <f t="shared" ca="1" si="14"/>
        <v/>
      </c>
    </row>
    <row r="144" spans="17:23" x14ac:dyDescent="0.25">
      <c r="Q144">
        <f>IF(E144="USD",CONFIG!$B$5,1)</f>
        <v>1</v>
      </c>
      <c r="R144" t="str">
        <f t="shared" si="10"/>
        <v>✗ ERROR: Revisa datos</v>
      </c>
      <c r="S144" t="str">
        <f t="shared" ca="1" si="11"/>
        <v/>
      </c>
      <c r="T144" t="str">
        <f>IF(E144="USD",F144,IF(E144="CRC",F144/CONFIG!$B$5,""))</f>
        <v/>
      </c>
      <c r="U144" t="str">
        <f t="shared" si="12"/>
        <v/>
      </c>
      <c r="V144" t="str">
        <f t="shared" ca="1" si="13"/>
        <v/>
      </c>
      <c r="W144" t="str">
        <f t="shared" ca="1" si="14"/>
        <v/>
      </c>
    </row>
    <row r="145" spans="17:23" x14ac:dyDescent="0.25">
      <c r="Q145">
        <f>IF(E145="USD",CONFIG!$B$5,1)</f>
        <v>1</v>
      </c>
      <c r="R145" t="str">
        <f t="shared" si="10"/>
        <v>✗ ERROR: Revisa datos</v>
      </c>
      <c r="S145" t="str">
        <f t="shared" ca="1" si="11"/>
        <v/>
      </c>
      <c r="T145" t="str">
        <f>IF(E145="USD",F145,IF(E145="CRC",F145/CONFIG!$B$5,""))</f>
        <v/>
      </c>
      <c r="U145" t="str">
        <f t="shared" si="12"/>
        <v/>
      </c>
      <c r="V145" t="str">
        <f t="shared" ca="1" si="13"/>
        <v/>
      </c>
      <c r="W145" t="str">
        <f t="shared" ca="1" si="14"/>
        <v/>
      </c>
    </row>
    <row r="146" spans="17:23" x14ac:dyDescent="0.25">
      <c r="Q146">
        <f>IF(E146="USD",CONFIG!$B$5,1)</f>
        <v>1</v>
      </c>
      <c r="R146" t="str">
        <f t="shared" si="10"/>
        <v>✗ ERROR: Revisa datos</v>
      </c>
      <c r="S146" t="str">
        <f t="shared" ca="1" si="11"/>
        <v/>
      </c>
      <c r="T146" t="str">
        <f>IF(E146="USD",F146,IF(E146="CRC",F146/CONFIG!$B$5,""))</f>
        <v/>
      </c>
      <c r="U146" t="str">
        <f t="shared" si="12"/>
        <v/>
      </c>
      <c r="V146" t="str">
        <f t="shared" ca="1" si="13"/>
        <v/>
      </c>
      <c r="W146" t="str">
        <f t="shared" ca="1" si="14"/>
        <v/>
      </c>
    </row>
    <row r="147" spans="17:23" x14ac:dyDescent="0.25">
      <c r="Q147">
        <f>IF(E147="USD",CONFIG!$B$5,1)</f>
        <v>1</v>
      </c>
      <c r="R147" t="str">
        <f t="shared" si="10"/>
        <v>✗ ERROR: Revisa datos</v>
      </c>
      <c r="S147" t="str">
        <f t="shared" ca="1" si="11"/>
        <v/>
      </c>
      <c r="T147" t="str">
        <f>IF(E147="USD",F147,IF(E147="CRC",F147/CONFIG!$B$5,""))</f>
        <v/>
      </c>
      <c r="U147" t="str">
        <f t="shared" si="12"/>
        <v/>
      </c>
      <c r="V147" t="str">
        <f t="shared" ca="1" si="13"/>
        <v/>
      </c>
      <c r="W147" t="str">
        <f t="shared" ca="1" si="14"/>
        <v/>
      </c>
    </row>
    <row r="148" spans="17:23" x14ac:dyDescent="0.25">
      <c r="Q148">
        <f>IF(E148="USD",CONFIG!$B$5,1)</f>
        <v>1</v>
      </c>
      <c r="R148" t="str">
        <f t="shared" si="10"/>
        <v>✗ ERROR: Revisa datos</v>
      </c>
      <c r="S148" t="str">
        <f t="shared" ca="1" si="11"/>
        <v/>
      </c>
      <c r="T148" t="str">
        <f>IF(E148="USD",F148,IF(E148="CRC",F148/CONFIG!$B$5,""))</f>
        <v/>
      </c>
      <c r="U148" t="str">
        <f t="shared" si="12"/>
        <v/>
      </c>
      <c r="V148" t="str">
        <f t="shared" ca="1" si="13"/>
        <v/>
      </c>
      <c r="W148" t="str">
        <f t="shared" ca="1" si="14"/>
        <v/>
      </c>
    </row>
    <row r="149" spans="17:23" x14ac:dyDescent="0.25">
      <c r="Q149">
        <f>IF(E149="USD",CONFIG!$B$5,1)</f>
        <v>1</v>
      </c>
      <c r="R149" t="str">
        <f t="shared" si="10"/>
        <v>✗ ERROR: Revisa datos</v>
      </c>
      <c r="S149" t="str">
        <f t="shared" ca="1" si="11"/>
        <v/>
      </c>
      <c r="T149" t="str">
        <f>IF(E149="USD",F149,IF(E149="CRC",F149/CONFIG!$B$5,""))</f>
        <v/>
      </c>
      <c r="U149" t="str">
        <f t="shared" si="12"/>
        <v/>
      </c>
      <c r="V149" t="str">
        <f t="shared" ca="1" si="13"/>
        <v/>
      </c>
      <c r="W149" t="str">
        <f t="shared" ca="1" si="14"/>
        <v/>
      </c>
    </row>
    <row r="150" spans="17:23" x14ac:dyDescent="0.25">
      <c r="Q150">
        <f>IF(E150="USD",CONFIG!$B$5,1)</f>
        <v>1</v>
      </c>
      <c r="R150" t="str">
        <f t="shared" si="10"/>
        <v>✗ ERROR: Revisa datos</v>
      </c>
      <c r="S150" t="str">
        <f t="shared" ca="1" si="11"/>
        <v/>
      </c>
      <c r="T150" t="str">
        <f>IF(E150="USD",F150,IF(E150="CRC",F150/CONFIG!$B$5,""))</f>
        <v/>
      </c>
      <c r="U150" t="str">
        <f t="shared" si="12"/>
        <v/>
      </c>
      <c r="V150" t="str">
        <f t="shared" ca="1" si="13"/>
        <v/>
      </c>
      <c r="W150" t="str">
        <f t="shared" ca="1" si="14"/>
        <v/>
      </c>
    </row>
    <row r="151" spans="17:23" x14ac:dyDescent="0.25">
      <c r="Q151">
        <f>IF(E151="USD",CONFIG!$B$5,1)</f>
        <v>1</v>
      </c>
      <c r="R151" t="str">
        <f t="shared" si="10"/>
        <v>✗ ERROR: Revisa datos</v>
      </c>
      <c r="S151" t="str">
        <f t="shared" ca="1" si="11"/>
        <v/>
      </c>
      <c r="T151" t="str">
        <f>IF(E151="USD",F151,IF(E151="CRC",F151/CONFIG!$B$5,""))</f>
        <v/>
      </c>
      <c r="U151" t="str">
        <f t="shared" si="12"/>
        <v/>
      </c>
      <c r="V151" t="str">
        <f t="shared" ca="1" si="13"/>
        <v/>
      </c>
      <c r="W151" t="str">
        <f t="shared" ca="1" si="14"/>
        <v/>
      </c>
    </row>
    <row r="152" spans="17:23" x14ac:dyDescent="0.25">
      <c r="Q152">
        <f>IF(E152="USD",CONFIG!$B$5,1)</f>
        <v>1</v>
      </c>
      <c r="R152" t="str">
        <f t="shared" si="10"/>
        <v>✗ ERROR: Revisa datos</v>
      </c>
      <c r="S152" t="str">
        <f t="shared" ca="1" si="11"/>
        <v/>
      </c>
      <c r="T152" t="str">
        <f>IF(E152="USD",F152,IF(E152="CRC",F152/CONFIG!$B$5,""))</f>
        <v/>
      </c>
      <c r="U152" t="str">
        <f t="shared" si="12"/>
        <v/>
      </c>
      <c r="V152" t="str">
        <f t="shared" ca="1" si="13"/>
        <v/>
      </c>
      <c r="W152" t="str">
        <f t="shared" ca="1" si="14"/>
        <v/>
      </c>
    </row>
    <row r="153" spans="17:23" x14ac:dyDescent="0.25">
      <c r="Q153">
        <f>IF(E153="USD",CONFIG!$B$5,1)</f>
        <v>1</v>
      </c>
      <c r="R153" t="str">
        <f t="shared" si="10"/>
        <v>✗ ERROR: Revisa datos</v>
      </c>
      <c r="S153" t="str">
        <f t="shared" ca="1" si="11"/>
        <v/>
      </c>
      <c r="T153" t="str">
        <f>IF(E153="USD",F153,IF(E153="CRC",F153/CONFIG!$B$5,""))</f>
        <v/>
      </c>
      <c r="U153" t="str">
        <f t="shared" si="12"/>
        <v/>
      </c>
      <c r="V153" t="str">
        <f t="shared" ca="1" si="13"/>
        <v/>
      </c>
      <c r="W153" t="str">
        <f t="shared" ca="1" si="14"/>
        <v/>
      </c>
    </row>
    <row r="154" spans="17:23" x14ac:dyDescent="0.25">
      <c r="Q154">
        <f>IF(E154="USD",CONFIG!$B$5,1)</f>
        <v>1</v>
      </c>
      <c r="R154" t="str">
        <f t="shared" si="10"/>
        <v>✗ ERROR: Revisa datos</v>
      </c>
      <c r="S154" t="str">
        <f t="shared" ca="1" si="11"/>
        <v/>
      </c>
      <c r="T154" t="str">
        <f>IF(E154="USD",F154,IF(E154="CRC",F154/CONFIG!$B$5,""))</f>
        <v/>
      </c>
      <c r="U154" t="str">
        <f t="shared" si="12"/>
        <v/>
      </c>
      <c r="V154" t="str">
        <f t="shared" ca="1" si="13"/>
        <v/>
      </c>
      <c r="W154" t="str">
        <f t="shared" ca="1" si="14"/>
        <v/>
      </c>
    </row>
    <row r="155" spans="17:23" x14ac:dyDescent="0.25">
      <c r="Q155">
        <f>IF(E155="USD",CONFIG!$B$5,1)</f>
        <v>1</v>
      </c>
      <c r="R155" t="str">
        <f t="shared" si="10"/>
        <v>✗ ERROR: Revisa datos</v>
      </c>
      <c r="S155" t="str">
        <f t="shared" ca="1" si="11"/>
        <v/>
      </c>
      <c r="T155" t="str">
        <f>IF(E155="USD",F155,IF(E155="CRC",F155/CONFIG!$B$5,""))</f>
        <v/>
      </c>
      <c r="U155" t="str">
        <f t="shared" si="12"/>
        <v/>
      </c>
      <c r="V155" t="str">
        <f t="shared" ca="1" si="13"/>
        <v/>
      </c>
      <c r="W155" t="str">
        <f t="shared" ca="1" si="14"/>
        <v/>
      </c>
    </row>
    <row r="156" spans="17:23" x14ac:dyDescent="0.25">
      <c r="Q156">
        <f>IF(E156="USD",CONFIG!$B$5,1)</f>
        <v>1</v>
      </c>
      <c r="R156" t="str">
        <f t="shared" si="10"/>
        <v>✗ ERROR: Revisa datos</v>
      </c>
      <c r="S156" t="str">
        <f t="shared" ca="1" si="11"/>
        <v/>
      </c>
      <c r="T156" t="str">
        <f>IF(E156="USD",F156,IF(E156="CRC",F156/CONFIG!$B$5,""))</f>
        <v/>
      </c>
      <c r="U156" t="str">
        <f t="shared" si="12"/>
        <v/>
      </c>
      <c r="V156" t="str">
        <f t="shared" ca="1" si="13"/>
        <v/>
      </c>
      <c r="W156" t="str">
        <f t="shared" ca="1" si="14"/>
        <v/>
      </c>
    </row>
    <row r="157" spans="17:23" x14ac:dyDescent="0.25">
      <c r="Q157">
        <f>IF(E157="USD",CONFIG!$B$5,1)</f>
        <v>1</v>
      </c>
      <c r="R157" t="str">
        <f t="shared" si="10"/>
        <v>✗ ERROR: Revisa datos</v>
      </c>
      <c r="S157" t="str">
        <f t="shared" ca="1" si="11"/>
        <v/>
      </c>
      <c r="T157" t="str">
        <f>IF(E157="USD",F157,IF(E157="CRC",F157/CONFIG!$B$5,""))</f>
        <v/>
      </c>
      <c r="U157" t="str">
        <f t="shared" si="12"/>
        <v/>
      </c>
      <c r="V157" t="str">
        <f t="shared" ca="1" si="13"/>
        <v/>
      </c>
      <c r="W157" t="str">
        <f t="shared" ca="1" si="14"/>
        <v/>
      </c>
    </row>
    <row r="158" spans="17:23" x14ac:dyDescent="0.25">
      <c r="Q158">
        <f>IF(E158="USD",CONFIG!$B$5,1)</f>
        <v>1</v>
      </c>
      <c r="R158" t="str">
        <f t="shared" si="10"/>
        <v>✗ ERROR: Revisa datos</v>
      </c>
      <c r="S158" t="str">
        <f t="shared" ca="1" si="11"/>
        <v/>
      </c>
      <c r="T158" t="str">
        <f>IF(E158="USD",F158,IF(E158="CRC",F158/CONFIG!$B$5,""))</f>
        <v/>
      </c>
      <c r="U158" t="str">
        <f t="shared" si="12"/>
        <v/>
      </c>
      <c r="V158" t="str">
        <f t="shared" ca="1" si="13"/>
        <v/>
      </c>
      <c r="W158" t="str">
        <f t="shared" ca="1" si="14"/>
        <v/>
      </c>
    </row>
    <row r="159" spans="17:23" x14ac:dyDescent="0.25">
      <c r="Q159">
        <f>IF(E159="USD",CONFIG!$B$5,1)</f>
        <v>1</v>
      </c>
      <c r="R159" t="str">
        <f t="shared" si="10"/>
        <v>✗ ERROR: Revisa datos</v>
      </c>
      <c r="S159" t="str">
        <f t="shared" ca="1" si="11"/>
        <v/>
      </c>
      <c r="T159" t="str">
        <f>IF(E159="USD",F159,IF(E159="CRC",F159/CONFIG!$B$5,""))</f>
        <v/>
      </c>
      <c r="U159" t="str">
        <f t="shared" si="12"/>
        <v/>
      </c>
      <c r="V159" t="str">
        <f t="shared" ca="1" si="13"/>
        <v/>
      </c>
      <c r="W159" t="str">
        <f t="shared" ca="1" si="14"/>
        <v/>
      </c>
    </row>
    <row r="160" spans="17:23" x14ac:dyDescent="0.25">
      <c r="Q160">
        <f>IF(E160="USD",CONFIG!$B$5,1)</f>
        <v>1</v>
      </c>
      <c r="R160" t="str">
        <f t="shared" si="10"/>
        <v>✗ ERROR: Revisa datos</v>
      </c>
      <c r="S160" t="str">
        <f t="shared" ca="1" si="11"/>
        <v/>
      </c>
      <c r="T160" t="str">
        <f>IF(E160="USD",F160,IF(E160="CRC",F160/CONFIG!$B$5,""))</f>
        <v/>
      </c>
      <c r="U160" t="str">
        <f t="shared" si="12"/>
        <v/>
      </c>
      <c r="V160" t="str">
        <f t="shared" ca="1" si="13"/>
        <v/>
      </c>
      <c r="W160" t="str">
        <f t="shared" ca="1" si="14"/>
        <v/>
      </c>
    </row>
    <row r="161" spans="17:23" x14ac:dyDescent="0.25">
      <c r="Q161">
        <f>IF(E161="USD",CONFIG!$B$5,1)</f>
        <v>1</v>
      </c>
      <c r="R161" t="str">
        <f t="shared" si="10"/>
        <v>✗ ERROR: Revisa datos</v>
      </c>
      <c r="S161" t="str">
        <f t="shared" ca="1" si="11"/>
        <v/>
      </c>
      <c r="T161" t="str">
        <f>IF(E161="USD",F161,IF(E161="CRC",F161/CONFIG!$B$5,""))</f>
        <v/>
      </c>
      <c r="U161" t="str">
        <f t="shared" si="12"/>
        <v/>
      </c>
      <c r="V161" t="str">
        <f t="shared" ca="1" si="13"/>
        <v/>
      </c>
      <c r="W161" t="str">
        <f t="shared" ca="1" si="14"/>
        <v/>
      </c>
    </row>
    <row r="162" spans="17:23" x14ac:dyDescent="0.25">
      <c r="Q162">
        <f>IF(E162="USD",CONFIG!$B$5,1)</f>
        <v>1</v>
      </c>
      <c r="R162" t="str">
        <f t="shared" si="10"/>
        <v>✗ ERROR: Revisa datos</v>
      </c>
      <c r="S162" t="str">
        <f t="shared" ca="1" si="11"/>
        <v/>
      </c>
      <c r="T162" t="str">
        <f>IF(E162="USD",F162,IF(E162="CRC",F162/CONFIG!$B$5,""))</f>
        <v/>
      </c>
      <c r="U162" t="str">
        <f t="shared" si="12"/>
        <v/>
      </c>
      <c r="V162" t="str">
        <f t="shared" ca="1" si="13"/>
        <v/>
      </c>
      <c r="W162" t="str">
        <f t="shared" ca="1" si="14"/>
        <v/>
      </c>
    </row>
    <row r="163" spans="17:23" x14ac:dyDescent="0.25">
      <c r="Q163">
        <f>IF(E163="USD",CONFIG!$B$5,1)</f>
        <v>1</v>
      </c>
      <c r="R163" t="str">
        <f t="shared" si="10"/>
        <v>✗ ERROR: Revisa datos</v>
      </c>
      <c r="S163" t="str">
        <f t="shared" ca="1" si="11"/>
        <v/>
      </c>
      <c r="T163" t="str">
        <f>IF(E163="USD",F163,IF(E163="CRC",F163/CONFIG!$B$5,""))</f>
        <v/>
      </c>
      <c r="U163" t="str">
        <f t="shared" si="12"/>
        <v/>
      </c>
      <c r="V163" t="str">
        <f t="shared" ca="1" si="13"/>
        <v/>
      </c>
      <c r="W163" t="str">
        <f t="shared" ca="1" si="14"/>
        <v/>
      </c>
    </row>
    <row r="164" spans="17:23" x14ac:dyDescent="0.25">
      <c r="Q164">
        <f>IF(E164="USD",CONFIG!$B$5,1)</f>
        <v>1</v>
      </c>
      <c r="R164" t="str">
        <f t="shared" si="10"/>
        <v>✗ ERROR: Revisa datos</v>
      </c>
      <c r="S164" t="str">
        <f t="shared" ca="1" si="11"/>
        <v/>
      </c>
      <c r="T164" t="str">
        <f>IF(E164="USD",F164,IF(E164="CRC",F164/CONFIG!$B$5,""))</f>
        <v/>
      </c>
      <c r="U164" t="str">
        <f t="shared" si="12"/>
        <v/>
      </c>
      <c r="V164" t="str">
        <f t="shared" ca="1" si="13"/>
        <v/>
      </c>
      <c r="W164" t="str">
        <f t="shared" ca="1" si="14"/>
        <v/>
      </c>
    </row>
    <row r="165" spans="17:23" x14ac:dyDescent="0.25">
      <c r="Q165">
        <f>IF(E165="USD",CONFIG!$B$5,1)</f>
        <v>1</v>
      </c>
      <c r="R165" t="str">
        <f t="shared" si="10"/>
        <v>✗ ERROR: Revisa datos</v>
      </c>
      <c r="S165" t="str">
        <f t="shared" ca="1" si="11"/>
        <v/>
      </c>
      <c r="T165" t="str">
        <f>IF(E165="USD",F165,IF(E165="CRC",F165/CONFIG!$B$5,""))</f>
        <v/>
      </c>
      <c r="U165" t="str">
        <f t="shared" si="12"/>
        <v/>
      </c>
      <c r="V165" t="str">
        <f t="shared" ca="1" si="13"/>
        <v/>
      </c>
      <c r="W165" t="str">
        <f t="shared" ca="1" si="14"/>
        <v/>
      </c>
    </row>
    <row r="166" spans="17:23" x14ac:dyDescent="0.25">
      <c r="Q166">
        <f>IF(E166="USD",CONFIG!$B$5,1)</f>
        <v>1</v>
      </c>
      <c r="R166" t="str">
        <f t="shared" si="10"/>
        <v>✗ ERROR: Revisa datos</v>
      </c>
      <c r="S166" t="str">
        <f t="shared" ca="1" si="11"/>
        <v/>
      </c>
      <c r="T166" t="str">
        <f>IF(E166="USD",F166,IF(E166="CRC",F166/CONFIG!$B$5,""))</f>
        <v/>
      </c>
      <c r="U166" t="str">
        <f t="shared" si="12"/>
        <v/>
      </c>
      <c r="V166" t="str">
        <f t="shared" ca="1" si="13"/>
        <v/>
      </c>
      <c r="W166" t="str">
        <f t="shared" ca="1" si="14"/>
        <v/>
      </c>
    </row>
    <row r="167" spans="17:23" x14ac:dyDescent="0.25">
      <c r="Q167">
        <f>IF(E167="USD",CONFIG!$B$5,1)</f>
        <v>1</v>
      </c>
      <c r="R167" t="str">
        <f t="shared" si="10"/>
        <v>✗ ERROR: Revisa datos</v>
      </c>
      <c r="S167" t="str">
        <f t="shared" ca="1" si="11"/>
        <v/>
      </c>
      <c r="T167" t="str">
        <f>IF(E167="USD",F167,IF(E167="CRC",F167/CONFIG!$B$5,""))</f>
        <v/>
      </c>
      <c r="U167" t="str">
        <f t="shared" si="12"/>
        <v/>
      </c>
      <c r="V167" t="str">
        <f t="shared" ca="1" si="13"/>
        <v/>
      </c>
      <c r="W167" t="str">
        <f t="shared" ca="1" si="14"/>
        <v/>
      </c>
    </row>
    <row r="168" spans="17:23" x14ac:dyDescent="0.25">
      <c r="Q168">
        <f>IF(E168="USD",CONFIG!$B$5,1)</f>
        <v>1</v>
      </c>
      <c r="R168" t="str">
        <f t="shared" si="10"/>
        <v>✗ ERROR: Revisa datos</v>
      </c>
      <c r="S168" t="str">
        <f t="shared" ca="1" si="11"/>
        <v/>
      </c>
      <c r="T168" t="str">
        <f>IF(E168="USD",F168,IF(E168="CRC",F168/CONFIG!$B$5,""))</f>
        <v/>
      </c>
      <c r="U168" t="str">
        <f t="shared" si="12"/>
        <v/>
      </c>
      <c r="V168" t="str">
        <f t="shared" ca="1" si="13"/>
        <v/>
      </c>
      <c r="W168" t="str">
        <f t="shared" ca="1" si="14"/>
        <v/>
      </c>
    </row>
    <row r="169" spans="17:23" x14ac:dyDescent="0.25">
      <c r="Q169">
        <f>IF(E169="USD",CONFIG!$B$5,1)</f>
        <v>1</v>
      </c>
      <c r="R169" t="str">
        <f t="shared" si="10"/>
        <v>✗ ERROR: Revisa datos</v>
      </c>
      <c r="S169" t="str">
        <f t="shared" ca="1" si="11"/>
        <v/>
      </c>
      <c r="T169" t="str">
        <f>IF(E169="USD",F169,IF(E169="CRC",F169/CONFIG!$B$5,""))</f>
        <v/>
      </c>
      <c r="U169" t="str">
        <f t="shared" si="12"/>
        <v/>
      </c>
      <c r="V169" t="str">
        <f t="shared" ca="1" si="13"/>
        <v/>
      </c>
      <c r="W169" t="str">
        <f t="shared" ca="1" si="14"/>
        <v/>
      </c>
    </row>
    <row r="170" spans="17:23" x14ac:dyDescent="0.25">
      <c r="Q170">
        <f>IF(E170="USD",CONFIG!$B$5,1)</f>
        <v>1</v>
      </c>
      <c r="R170" t="str">
        <f t="shared" si="10"/>
        <v>✗ ERROR: Revisa datos</v>
      </c>
      <c r="S170" t="str">
        <f t="shared" ca="1" si="11"/>
        <v/>
      </c>
      <c r="T170" t="str">
        <f>IF(E170="USD",F170,IF(E170="CRC",F170/CONFIG!$B$5,""))</f>
        <v/>
      </c>
      <c r="U170" t="str">
        <f t="shared" si="12"/>
        <v/>
      </c>
      <c r="V170" t="str">
        <f t="shared" ca="1" si="13"/>
        <v/>
      </c>
      <c r="W170" t="str">
        <f t="shared" ca="1" si="14"/>
        <v/>
      </c>
    </row>
    <row r="171" spans="17:23" x14ac:dyDescent="0.25">
      <c r="Q171">
        <f>IF(E171="USD",CONFIG!$B$5,1)</f>
        <v>1</v>
      </c>
      <c r="R171" t="str">
        <f t="shared" si="10"/>
        <v>✗ ERROR: Revisa datos</v>
      </c>
      <c r="S171" t="str">
        <f t="shared" ca="1" si="11"/>
        <v/>
      </c>
      <c r="T171" t="str">
        <f>IF(E171="USD",F171,IF(E171="CRC",F171/CONFIG!$B$5,""))</f>
        <v/>
      </c>
      <c r="U171" t="str">
        <f t="shared" si="12"/>
        <v/>
      </c>
      <c r="V171" t="str">
        <f t="shared" ca="1" si="13"/>
        <v/>
      </c>
      <c r="W171" t="str">
        <f t="shared" ca="1" si="14"/>
        <v/>
      </c>
    </row>
    <row r="172" spans="17:23" x14ac:dyDescent="0.25">
      <c r="Q172">
        <f>IF(E172="USD",CONFIG!$B$5,1)</f>
        <v>1</v>
      </c>
      <c r="R172" t="str">
        <f t="shared" si="10"/>
        <v>✗ ERROR: Revisa datos</v>
      </c>
      <c r="S172" t="str">
        <f t="shared" ca="1" si="11"/>
        <v/>
      </c>
      <c r="T172" t="str">
        <f>IF(E172="USD",F172,IF(E172="CRC",F172/CONFIG!$B$5,""))</f>
        <v/>
      </c>
      <c r="U172" t="str">
        <f t="shared" si="12"/>
        <v/>
      </c>
      <c r="V172" t="str">
        <f t="shared" ca="1" si="13"/>
        <v/>
      </c>
      <c r="W172" t="str">
        <f t="shared" ca="1" si="14"/>
        <v/>
      </c>
    </row>
    <row r="173" spans="17:23" x14ac:dyDescent="0.25">
      <c r="Q173">
        <f>IF(E173="USD",CONFIG!$B$5,1)</f>
        <v>1</v>
      </c>
      <c r="R173" t="str">
        <f t="shared" si="10"/>
        <v>✗ ERROR: Revisa datos</v>
      </c>
      <c r="S173" t="str">
        <f t="shared" ca="1" si="11"/>
        <v/>
      </c>
      <c r="T173" t="str">
        <f>IF(E173="USD",F173,IF(E173="CRC",F173/CONFIG!$B$5,""))</f>
        <v/>
      </c>
      <c r="U173" t="str">
        <f t="shared" si="12"/>
        <v/>
      </c>
      <c r="V173" t="str">
        <f t="shared" ca="1" si="13"/>
        <v/>
      </c>
      <c r="W173" t="str">
        <f t="shared" ca="1" si="14"/>
        <v/>
      </c>
    </row>
    <row r="174" spans="17:23" x14ac:dyDescent="0.25">
      <c r="Q174">
        <f>IF(E174="USD",CONFIG!$B$5,1)</f>
        <v>1</v>
      </c>
      <c r="R174" t="str">
        <f t="shared" si="10"/>
        <v>✗ ERROR: Revisa datos</v>
      </c>
      <c r="S174" t="str">
        <f t="shared" ca="1" si="11"/>
        <v/>
      </c>
      <c r="T174" t="str">
        <f>IF(E174="USD",F174,IF(E174="CRC",F174/CONFIG!$B$5,""))</f>
        <v/>
      </c>
      <c r="U174" t="str">
        <f t="shared" si="12"/>
        <v/>
      </c>
      <c r="V174" t="str">
        <f t="shared" ca="1" si="13"/>
        <v/>
      </c>
      <c r="W174" t="str">
        <f t="shared" ca="1" si="14"/>
        <v/>
      </c>
    </row>
    <row r="175" spans="17:23" x14ac:dyDescent="0.25">
      <c r="Q175">
        <f>IF(E175="USD",CONFIG!$B$5,1)</f>
        <v>1</v>
      </c>
      <c r="R175" t="str">
        <f t="shared" si="10"/>
        <v>✗ ERROR: Revisa datos</v>
      </c>
      <c r="S175" t="str">
        <f t="shared" ca="1" si="11"/>
        <v/>
      </c>
      <c r="T175" t="str">
        <f>IF(E175="USD",F175,IF(E175="CRC",F175/CONFIG!$B$5,""))</f>
        <v/>
      </c>
      <c r="U175" t="str">
        <f t="shared" si="12"/>
        <v/>
      </c>
      <c r="V175" t="str">
        <f t="shared" ca="1" si="13"/>
        <v/>
      </c>
      <c r="W175" t="str">
        <f t="shared" ca="1" si="14"/>
        <v/>
      </c>
    </row>
    <row r="176" spans="17:23" x14ac:dyDescent="0.25">
      <c r="Q176">
        <f>IF(E176="USD",CONFIG!$B$5,1)</f>
        <v>1</v>
      </c>
      <c r="R176" t="str">
        <f t="shared" si="10"/>
        <v>✗ ERROR: Revisa datos</v>
      </c>
      <c r="S176" t="str">
        <f t="shared" ca="1" si="11"/>
        <v/>
      </c>
      <c r="T176" t="str">
        <f>IF(E176="USD",F176,IF(E176="CRC",F176/CONFIG!$B$5,""))</f>
        <v/>
      </c>
      <c r="U176" t="str">
        <f t="shared" si="12"/>
        <v/>
      </c>
      <c r="V176" t="str">
        <f t="shared" ca="1" si="13"/>
        <v/>
      </c>
      <c r="W176" t="str">
        <f t="shared" ca="1" si="14"/>
        <v/>
      </c>
    </row>
    <row r="177" spans="17:23" x14ac:dyDescent="0.25">
      <c r="Q177">
        <f>IF(E177="USD",CONFIG!$B$5,1)</f>
        <v>1</v>
      </c>
      <c r="R177" t="str">
        <f t="shared" si="10"/>
        <v>✗ ERROR: Revisa datos</v>
      </c>
      <c r="S177" t="str">
        <f t="shared" ca="1" si="11"/>
        <v/>
      </c>
      <c r="T177" t="str">
        <f>IF(E177="USD",F177,IF(E177="CRC",F177/CONFIG!$B$5,""))</f>
        <v/>
      </c>
      <c r="U177" t="str">
        <f t="shared" si="12"/>
        <v/>
      </c>
      <c r="V177" t="str">
        <f t="shared" ca="1" si="13"/>
        <v/>
      </c>
      <c r="W177" t="str">
        <f t="shared" ca="1" si="14"/>
        <v/>
      </c>
    </row>
    <row r="178" spans="17:23" x14ac:dyDescent="0.25">
      <c r="Q178">
        <f>IF(E178="USD",CONFIG!$B$5,1)</f>
        <v>1</v>
      </c>
      <c r="R178" t="str">
        <f t="shared" si="10"/>
        <v>✗ ERROR: Revisa datos</v>
      </c>
      <c r="S178" t="str">
        <f t="shared" ca="1" si="11"/>
        <v/>
      </c>
      <c r="T178" t="str">
        <f>IF(E178="USD",F178,IF(E178="CRC",F178/CONFIG!$B$5,""))</f>
        <v/>
      </c>
      <c r="U178" t="str">
        <f t="shared" si="12"/>
        <v/>
      </c>
      <c r="V178" t="str">
        <f t="shared" ca="1" si="13"/>
        <v/>
      </c>
      <c r="W178" t="str">
        <f t="shared" ca="1" si="14"/>
        <v/>
      </c>
    </row>
    <row r="179" spans="17:23" x14ac:dyDescent="0.25">
      <c r="Q179">
        <f>IF(E179="USD",CONFIG!$B$5,1)</f>
        <v>1</v>
      </c>
      <c r="R179" t="str">
        <f t="shared" si="10"/>
        <v>✗ ERROR: Revisa datos</v>
      </c>
      <c r="S179" t="str">
        <f t="shared" ca="1" si="11"/>
        <v/>
      </c>
      <c r="T179" t="str">
        <f>IF(E179="USD",F179,IF(E179="CRC",F179/CONFIG!$B$5,""))</f>
        <v/>
      </c>
      <c r="U179" t="str">
        <f t="shared" si="12"/>
        <v/>
      </c>
      <c r="V179" t="str">
        <f t="shared" ca="1" si="13"/>
        <v/>
      </c>
      <c r="W179" t="str">
        <f t="shared" ca="1" si="14"/>
        <v/>
      </c>
    </row>
    <row r="180" spans="17:23" x14ac:dyDescent="0.25">
      <c r="Q180">
        <f>IF(E180="USD",CONFIG!$B$5,1)</f>
        <v>1</v>
      </c>
      <c r="R180" t="str">
        <f t="shared" si="10"/>
        <v>✗ ERROR: Revisa datos</v>
      </c>
      <c r="S180" t="str">
        <f t="shared" ca="1" si="11"/>
        <v/>
      </c>
      <c r="T180" t="str">
        <f>IF(E180="USD",F180,IF(E180="CRC",F180/CONFIG!$B$5,""))</f>
        <v/>
      </c>
      <c r="U180" t="str">
        <f t="shared" si="12"/>
        <v/>
      </c>
      <c r="V180" t="str">
        <f t="shared" ca="1" si="13"/>
        <v/>
      </c>
      <c r="W180" t="str">
        <f t="shared" ca="1" si="14"/>
        <v/>
      </c>
    </row>
    <row r="181" spans="17:23" x14ac:dyDescent="0.25">
      <c r="Q181">
        <f>IF(E181="USD",CONFIG!$B$5,1)</f>
        <v>1</v>
      </c>
      <c r="R181" t="str">
        <f t="shared" si="10"/>
        <v>✗ ERROR: Revisa datos</v>
      </c>
      <c r="S181" t="str">
        <f t="shared" ca="1" si="11"/>
        <v/>
      </c>
      <c r="T181" t="str">
        <f>IF(E181="USD",F181,IF(E181="CRC",F181/CONFIG!$B$5,""))</f>
        <v/>
      </c>
      <c r="U181" t="str">
        <f t="shared" si="12"/>
        <v/>
      </c>
      <c r="V181" t="str">
        <f t="shared" ca="1" si="13"/>
        <v/>
      </c>
      <c r="W181" t="str">
        <f t="shared" ca="1" si="14"/>
        <v/>
      </c>
    </row>
    <row r="182" spans="17:23" x14ac:dyDescent="0.25">
      <c r="Q182">
        <f>IF(E182="USD",CONFIG!$B$5,1)</f>
        <v>1</v>
      </c>
      <c r="R182" t="str">
        <f t="shared" si="10"/>
        <v>✗ ERROR: Revisa datos</v>
      </c>
      <c r="S182" t="str">
        <f t="shared" ca="1" si="11"/>
        <v/>
      </c>
      <c r="T182" t="str">
        <f>IF(E182="USD",F182,IF(E182="CRC",F182/CONFIG!$B$5,""))</f>
        <v/>
      </c>
      <c r="U182" t="str">
        <f t="shared" si="12"/>
        <v/>
      </c>
      <c r="V182" t="str">
        <f t="shared" ca="1" si="13"/>
        <v/>
      </c>
      <c r="W182" t="str">
        <f t="shared" ca="1" si="14"/>
        <v/>
      </c>
    </row>
    <row r="183" spans="17:23" x14ac:dyDescent="0.25">
      <c r="Q183">
        <f>IF(E183="USD",CONFIG!$B$5,1)</f>
        <v>1</v>
      </c>
      <c r="R183" t="str">
        <f t="shared" si="10"/>
        <v>✗ ERROR: Revisa datos</v>
      </c>
      <c r="S183" t="str">
        <f t="shared" ca="1" si="11"/>
        <v/>
      </c>
      <c r="T183" t="str">
        <f>IF(E183="USD",F183,IF(E183="CRC",F183/CONFIG!$B$5,""))</f>
        <v/>
      </c>
      <c r="U183" t="str">
        <f t="shared" si="12"/>
        <v/>
      </c>
      <c r="V183" t="str">
        <f t="shared" ca="1" si="13"/>
        <v/>
      </c>
      <c r="W183" t="str">
        <f t="shared" ca="1" si="14"/>
        <v/>
      </c>
    </row>
    <row r="184" spans="17:23" x14ac:dyDescent="0.25">
      <c r="Q184">
        <f>IF(E184="USD",CONFIG!$B$5,1)</f>
        <v>1</v>
      </c>
      <c r="R184" t="str">
        <f t="shared" si="10"/>
        <v>✗ ERROR: Revisa datos</v>
      </c>
      <c r="S184" t="str">
        <f t="shared" ca="1" si="11"/>
        <v/>
      </c>
      <c r="T184" t="str">
        <f>IF(E184="USD",F184,IF(E184="CRC",F184/CONFIG!$B$5,""))</f>
        <v/>
      </c>
      <c r="U184" t="str">
        <f t="shared" si="12"/>
        <v/>
      </c>
      <c r="V184" t="str">
        <f t="shared" ca="1" si="13"/>
        <v/>
      </c>
      <c r="W184" t="str">
        <f t="shared" ca="1" si="14"/>
        <v/>
      </c>
    </row>
    <row r="185" spans="17:23" x14ac:dyDescent="0.25">
      <c r="Q185">
        <f>IF(E185="USD",CONFIG!$B$5,1)</f>
        <v>1</v>
      </c>
      <c r="R185" t="str">
        <f t="shared" si="10"/>
        <v>✗ ERROR: Revisa datos</v>
      </c>
      <c r="S185" t="str">
        <f t="shared" ca="1" si="11"/>
        <v/>
      </c>
      <c r="T185" t="str">
        <f>IF(E185="USD",F185,IF(E185="CRC",F185/CONFIG!$B$5,""))</f>
        <v/>
      </c>
      <c r="U185" t="str">
        <f t="shared" si="12"/>
        <v/>
      </c>
      <c r="V185" t="str">
        <f t="shared" ca="1" si="13"/>
        <v/>
      </c>
      <c r="W185" t="str">
        <f t="shared" ca="1" si="14"/>
        <v/>
      </c>
    </row>
    <row r="186" spans="17:23" x14ac:dyDescent="0.25">
      <c r="Q186">
        <f>IF(E186="USD",CONFIG!$B$5,1)</f>
        <v>1</v>
      </c>
      <c r="R186" t="str">
        <f t="shared" si="10"/>
        <v>✗ ERROR: Revisa datos</v>
      </c>
      <c r="S186" t="str">
        <f t="shared" ca="1" si="11"/>
        <v/>
      </c>
      <c r="T186" t="str">
        <f>IF(E186="USD",F186,IF(E186="CRC",F186/CONFIG!$B$5,""))</f>
        <v/>
      </c>
      <c r="U186" t="str">
        <f t="shared" si="12"/>
        <v/>
      </c>
      <c r="V186" t="str">
        <f t="shared" ca="1" si="13"/>
        <v/>
      </c>
      <c r="W186" t="str">
        <f t="shared" ca="1" si="14"/>
        <v/>
      </c>
    </row>
    <row r="187" spans="17:23" x14ac:dyDescent="0.25">
      <c r="Q187">
        <f>IF(E187="USD",CONFIG!$B$5,1)</f>
        <v>1</v>
      </c>
      <c r="R187" t="str">
        <f t="shared" si="10"/>
        <v>✗ ERROR: Revisa datos</v>
      </c>
      <c r="S187" t="str">
        <f t="shared" ca="1" si="11"/>
        <v/>
      </c>
      <c r="T187" t="str">
        <f>IF(E187="USD",F187,IF(E187="CRC",F187/CONFIG!$B$5,""))</f>
        <v/>
      </c>
      <c r="U187" t="str">
        <f t="shared" si="12"/>
        <v/>
      </c>
      <c r="V187" t="str">
        <f t="shared" ca="1" si="13"/>
        <v/>
      </c>
      <c r="W187" t="str">
        <f t="shared" ca="1" si="14"/>
        <v/>
      </c>
    </row>
    <row r="188" spans="17:23" x14ac:dyDescent="0.25">
      <c r="Q188">
        <f>IF(E188="USD",CONFIG!$B$5,1)</f>
        <v>1</v>
      </c>
      <c r="R188" t="str">
        <f t="shared" si="10"/>
        <v>✗ ERROR: Revisa datos</v>
      </c>
      <c r="S188" t="str">
        <f t="shared" ca="1" si="11"/>
        <v/>
      </c>
      <c r="T188" t="str">
        <f>IF(E188="USD",F188,IF(E188="CRC",F188/CONFIG!$B$5,""))</f>
        <v/>
      </c>
      <c r="U188" t="str">
        <f t="shared" si="12"/>
        <v/>
      </c>
      <c r="V188" t="str">
        <f t="shared" ca="1" si="13"/>
        <v/>
      </c>
      <c r="W188" t="str">
        <f t="shared" ca="1" si="14"/>
        <v/>
      </c>
    </row>
    <row r="189" spans="17:23" x14ac:dyDescent="0.25">
      <c r="Q189">
        <f>IF(E189="USD",CONFIG!$B$5,1)</f>
        <v>1</v>
      </c>
      <c r="R189" t="str">
        <f t="shared" si="10"/>
        <v>✗ ERROR: Revisa datos</v>
      </c>
      <c r="S189" t="str">
        <f t="shared" ca="1" si="11"/>
        <v/>
      </c>
      <c r="T189" t="str">
        <f>IF(E189="USD",F189,IF(E189="CRC",F189/CONFIG!$B$5,""))</f>
        <v/>
      </c>
      <c r="U189" t="str">
        <f t="shared" si="12"/>
        <v/>
      </c>
      <c r="V189" t="str">
        <f t="shared" ca="1" si="13"/>
        <v/>
      </c>
      <c r="W189" t="str">
        <f t="shared" ca="1" si="14"/>
        <v/>
      </c>
    </row>
    <row r="190" spans="17:23" x14ac:dyDescent="0.25">
      <c r="Q190">
        <f>IF(E190="USD",CONFIG!$B$5,1)</f>
        <v>1</v>
      </c>
      <c r="R190" t="str">
        <f t="shared" si="10"/>
        <v>✗ ERROR: Revisa datos</v>
      </c>
      <c r="S190" t="str">
        <f t="shared" ca="1" si="11"/>
        <v/>
      </c>
      <c r="T190" t="str">
        <f>IF(E190="USD",F190,IF(E190="CRC",F190/CONFIG!$B$5,""))</f>
        <v/>
      </c>
      <c r="U190" t="str">
        <f t="shared" si="12"/>
        <v/>
      </c>
      <c r="V190" t="str">
        <f t="shared" ca="1" si="13"/>
        <v/>
      </c>
      <c r="W190" t="str">
        <f t="shared" ca="1" si="14"/>
        <v/>
      </c>
    </row>
    <row r="191" spans="17:23" x14ac:dyDescent="0.25">
      <c r="Q191">
        <f>IF(E191="USD",CONFIG!$B$5,1)</f>
        <v>1</v>
      </c>
      <c r="R191" t="str">
        <f t="shared" si="10"/>
        <v>✗ ERROR: Revisa datos</v>
      </c>
      <c r="S191" t="str">
        <f t="shared" ca="1" si="11"/>
        <v/>
      </c>
      <c r="T191" t="str">
        <f>IF(E191="USD",F191,IF(E191="CRC",F191/CONFIG!$B$5,""))</f>
        <v/>
      </c>
      <c r="U191" t="str">
        <f t="shared" si="12"/>
        <v/>
      </c>
      <c r="V191" t="str">
        <f t="shared" ca="1" si="13"/>
        <v/>
      </c>
      <c r="W191" t="str">
        <f t="shared" ca="1" si="14"/>
        <v/>
      </c>
    </row>
    <row r="192" spans="17:23" x14ac:dyDescent="0.25">
      <c r="Q192">
        <f>IF(E192="USD",CONFIG!$B$5,1)</f>
        <v>1</v>
      </c>
      <c r="R192" t="str">
        <f t="shared" si="10"/>
        <v>✗ ERROR: Revisa datos</v>
      </c>
      <c r="S192" t="str">
        <f t="shared" ca="1" si="11"/>
        <v/>
      </c>
      <c r="T192" t="str">
        <f>IF(E192="USD",F192,IF(E192="CRC",F192/CONFIG!$B$5,""))</f>
        <v/>
      </c>
      <c r="U192" t="str">
        <f t="shared" si="12"/>
        <v/>
      </c>
      <c r="V192" t="str">
        <f t="shared" ca="1" si="13"/>
        <v/>
      </c>
      <c r="W192" t="str">
        <f t="shared" ca="1" si="14"/>
        <v/>
      </c>
    </row>
    <row r="193" spans="17:23" x14ac:dyDescent="0.25">
      <c r="Q193">
        <f>IF(E193="USD",CONFIG!$B$5,1)</f>
        <v>1</v>
      </c>
      <c r="R193" t="str">
        <f t="shared" si="10"/>
        <v>✗ ERROR: Revisa datos</v>
      </c>
      <c r="S193" t="str">
        <f t="shared" ca="1" si="11"/>
        <v/>
      </c>
      <c r="T193" t="str">
        <f>IF(E193="USD",F193,IF(E193="CRC",F193/CONFIG!$B$5,""))</f>
        <v/>
      </c>
      <c r="U193" t="str">
        <f t="shared" si="12"/>
        <v/>
      </c>
      <c r="V193" t="str">
        <f t="shared" ca="1" si="13"/>
        <v/>
      </c>
      <c r="W193" t="str">
        <f t="shared" ca="1" si="14"/>
        <v/>
      </c>
    </row>
    <row r="194" spans="17:23" x14ac:dyDescent="0.25">
      <c r="Q194">
        <f>IF(E194="USD",CONFIG!$B$5,1)</f>
        <v>1</v>
      </c>
      <c r="R194" t="str">
        <f t="shared" si="10"/>
        <v>✗ ERROR: Revisa datos</v>
      </c>
      <c r="S194" t="str">
        <f t="shared" ca="1" si="11"/>
        <v/>
      </c>
      <c r="T194" t="str">
        <f>IF(E194="USD",F194,IF(E194="CRC",F194/CONFIG!$B$5,""))</f>
        <v/>
      </c>
      <c r="U194" t="str">
        <f t="shared" si="12"/>
        <v/>
      </c>
      <c r="V194" t="str">
        <f t="shared" ca="1" si="13"/>
        <v/>
      </c>
      <c r="W194" t="str">
        <f t="shared" ca="1" si="14"/>
        <v/>
      </c>
    </row>
    <row r="195" spans="17:23" x14ac:dyDescent="0.25">
      <c r="Q195">
        <f>IF(E195="USD",CONFIG!$B$5,1)</f>
        <v>1</v>
      </c>
      <c r="R195" t="str">
        <f t="shared" ref="R195:R258" si="15">IF(AND(A195&lt;&gt;"",ISNUMBER(A195),B195&lt;&gt;"",C195&lt;&gt;"",OR(E195="USD",E195="CRC"),F195&gt;0,ISNUMBER(Q195),Q195&gt;0),"✓ OK","✗ ERROR: Revisa datos")</f>
        <v>✗ ERROR: Revisa datos</v>
      </c>
      <c r="S195" t="str">
        <f t="shared" ca="1" si="11"/>
        <v/>
      </c>
      <c r="T195" t="str">
        <f>IF(E195="USD",F195,IF(E195="CRC",F195/CONFIG!$B$5,""))</f>
        <v/>
      </c>
      <c r="U195" t="str">
        <f t="shared" si="12"/>
        <v/>
      </c>
      <c r="V195" t="str">
        <f t="shared" ca="1" si="13"/>
        <v/>
      </c>
      <c r="W195" t="str">
        <f t="shared" ca="1" si="14"/>
        <v/>
      </c>
    </row>
    <row r="196" spans="17:23" x14ac:dyDescent="0.25">
      <c r="Q196">
        <f>IF(E196="USD",CONFIG!$B$5,1)</f>
        <v>1</v>
      </c>
      <c r="R196" t="str">
        <f t="shared" si="15"/>
        <v>✗ ERROR: Revisa datos</v>
      </c>
      <c r="S196" t="str">
        <f t="shared" ca="1" si="11"/>
        <v/>
      </c>
      <c r="T196" t="str">
        <f>IF(E196="USD",F196,IF(E196="CRC",F196/CONFIG!$B$5,""))</f>
        <v/>
      </c>
      <c r="U196" t="str">
        <f t="shared" si="12"/>
        <v/>
      </c>
      <c r="V196" t="str">
        <f t="shared" ca="1" si="13"/>
        <v/>
      </c>
      <c r="W196" t="str">
        <f t="shared" ca="1" si="14"/>
        <v/>
      </c>
    </row>
    <row r="197" spans="17:23" x14ac:dyDescent="0.25">
      <c r="Q197">
        <f>IF(E197="USD",CONFIG!$B$5,1)</f>
        <v>1</v>
      </c>
      <c r="R197" t="str">
        <f t="shared" si="15"/>
        <v>✗ ERROR: Revisa datos</v>
      </c>
      <c r="S197" t="str">
        <f t="shared" ca="1" si="11"/>
        <v/>
      </c>
      <c r="T197" t="str">
        <f>IF(E197="USD",F197,IF(E197="CRC",F197/CONFIG!$B$5,""))</f>
        <v/>
      </c>
      <c r="U197" t="str">
        <f t="shared" si="12"/>
        <v/>
      </c>
      <c r="V197" t="str">
        <f t="shared" ca="1" si="13"/>
        <v/>
      </c>
      <c r="W197" t="str">
        <f t="shared" ca="1" si="14"/>
        <v/>
      </c>
    </row>
    <row r="198" spans="17:23" x14ac:dyDescent="0.25">
      <c r="Q198">
        <f>IF(E198="USD",CONFIG!$B$5,1)</f>
        <v>1</v>
      </c>
      <c r="R198" t="str">
        <f t="shared" si="15"/>
        <v>✗ ERROR: Revisa datos</v>
      </c>
      <c r="S198" t="str">
        <f t="shared" ca="1" si="11"/>
        <v/>
      </c>
      <c r="T198" t="str">
        <f>IF(E198="USD",F198,IF(E198="CRC",F198/CONFIG!$B$5,""))</f>
        <v/>
      </c>
      <c r="U198" t="str">
        <f t="shared" si="12"/>
        <v/>
      </c>
      <c r="V198" t="str">
        <f t="shared" ca="1" si="13"/>
        <v/>
      </c>
      <c r="W198" t="str">
        <f t="shared" ca="1" si="14"/>
        <v/>
      </c>
    </row>
    <row r="199" spans="17:23" x14ac:dyDescent="0.25">
      <c r="Q199">
        <f>IF(E199="USD",CONFIG!$B$5,1)</f>
        <v>1</v>
      </c>
      <c r="R199" t="str">
        <f t="shared" si="15"/>
        <v>✗ ERROR: Revisa datos</v>
      </c>
      <c r="S199" t="str">
        <f t="shared" ref="S199:S262" ca="1" si="16">IF(A199&lt;&gt;"",TODAY()-A199,"")</f>
        <v/>
      </c>
      <c r="T199" t="str">
        <f>IF(E199="USD",F199,IF(E199="CRC",F199/CONFIG!$B$5,""))</f>
        <v/>
      </c>
      <c r="U199" t="str">
        <f t="shared" ref="U199:U262" si="17">IF(A199&lt;&gt;"",A199+30,"")</f>
        <v/>
      </c>
      <c r="V199" t="str">
        <f t="shared" ref="V199:V262" ca="1" si="18">IF(AND(C199="CxP",S199&gt;60),"Alta",IF(AND(C199="CxP",S199&gt;30),"Media",IF(C199="CxP","Baja","")))</f>
        <v/>
      </c>
      <c r="W199" t="str">
        <f t="shared" ref="W199:W262" ca="1" si="19">IF(AND(C199="CxC",S199&gt;90),"Alta",IF(AND(C199="CxC",S199&gt;60),"Media",IF(C199="CxC","Baja","")))</f>
        <v/>
      </c>
    </row>
    <row r="200" spans="17:23" x14ac:dyDescent="0.25">
      <c r="Q200">
        <f>IF(E200="USD",CONFIG!$B$5,1)</f>
        <v>1</v>
      </c>
      <c r="R200" t="str">
        <f t="shared" si="15"/>
        <v>✗ ERROR: Revisa datos</v>
      </c>
      <c r="S200" t="str">
        <f t="shared" ca="1" si="16"/>
        <v/>
      </c>
      <c r="T200" t="str">
        <f>IF(E200="USD",F200,IF(E200="CRC",F200/CONFIG!$B$5,""))</f>
        <v/>
      </c>
      <c r="U200" t="str">
        <f t="shared" si="17"/>
        <v/>
      </c>
      <c r="V200" t="str">
        <f t="shared" ca="1" si="18"/>
        <v/>
      </c>
      <c r="W200" t="str">
        <f t="shared" ca="1" si="19"/>
        <v/>
      </c>
    </row>
    <row r="201" spans="17:23" x14ac:dyDescent="0.25">
      <c r="Q201">
        <f>IF(E201="USD",CONFIG!$B$5,1)</f>
        <v>1</v>
      </c>
      <c r="R201" t="str">
        <f t="shared" si="15"/>
        <v>✗ ERROR: Revisa datos</v>
      </c>
      <c r="S201" t="str">
        <f t="shared" ca="1" si="16"/>
        <v/>
      </c>
      <c r="T201" t="str">
        <f>IF(E201="USD",F201,IF(E201="CRC",F201/CONFIG!$B$5,""))</f>
        <v/>
      </c>
      <c r="U201" t="str">
        <f t="shared" si="17"/>
        <v/>
      </c>
      <c r="V201" t="str">
        <f t="shared" ca="1" si="18"/>
        <v/>
      </c>
      <c r="W201" t="str">
        <f t="shared" ca="1" si="19"/>
        <v/>
      </c>
    </row>
    <row r="202" spans="17:23" x14ac:dyDescent="0.25">
      <c r="Q202">
        <f>IF(E202="USD",CONFIG!$B$5,1)</f>
        <v>1</v>
      </c>
      <c r="R202" t="str">
        <f t="shared" si="15"/>
        <v>✗ ERROR: Revisa datos</v>
      </c>
      <c r="S202" t="str">
        <f t="shared" ca="1" si="16"/>
        <v/>
      </c>
      <c r="T202" t="str">
        <f>IF(E202="USD",F202,IF(E202="CRC",F202/CONFIG!$B$5,""))</f>
        <v/>
      </c>
      <c r="U202" t="str">
        <f t="shared" si="17"/>
        <v/>
      </c>
      <c r="V202" t="str">
        <f t="shared" ca="1" si="18"/>
        <v/>
      </c>
      <c r="W202" t="str">
        <f t="shared" ca="1" si="19"/>
        <v/>
      </c>
    </row>
    <row r="203" spans="17:23" x14ac:dyDescent="0.25">
      <c r="Q203">
        <f>IF(E203="USD",CONFIG!$B$5,1)</f>
        <v>1</v>
      </c>
      <c r="R203" t="str">
        <f t="shared" si="15"/>
        <v>✗ ERROR: Revisa datos</v>
      </c>
      <c r="S203" t="str">
        <f t="shared" ca="1" si="16"/>
        <v/>
      </c>
      <c r="T203" t="str">
        <f>IF(E203="USD",F203,IF(E203="CRC",F203/CONFIG!$B$5,""))</f>
        <v/>
      </c>
      <c r="U203" t="str">
        <f t="shared" si="17"/>
        <v/>
      </c>
      <c r="V203" t="str">
        <f t="shared" ca="1" si="18"/>
        <v/>
      </c>
      <c r="W203" t="str">
        <f t="shared" ca="1" si="19"/>
        <v/>
      </c>
    </row>
    <row r="204" spans="17:23" x14ac:dyDescent="0.25">
      <c r="Q204">
        <f>IF(E204="USD",CONFIG!$B$5,1)</f>
        <v>1</v>
      </c>
      <c r="R204" t="str">
        <f t="shared" si="15"/>
        <v>✗ ERROR: Revisa datos</v>
      </c>
      <c r="S204" t="str">
        <f t="shared" ca="1" si="16"/>
        <v/>
      </c>
      <c r="T204" t="str">
        <f>IF(E204="USD",F204,IF(E204="CRC",F204/CONFIG!$B$5,""))</f>
        <v/>
      </c>
      <c r="U204" t="str">
        <f t="shared" si="17"/>
        <v/>
      </c>
      <c r="V204" t="str">
        <f t="shared" ca="1" si="18"/>
        <v/>
      </c>
      <c r="W204" t="str">
        <f t="shared" ca="1" si="19"/>
        <v/>
      </c>
    </row>
    <row r="205" spans="17:23" x14ac:dyDescent="0.25">
      <c r="Q205">
        <f>IF(E205="USD",CONFIG!$B$5,1)</f>
        <v>1</v>
      </c>
      <c r="R205" t="str">
        <f t="shared" si="15"/>
        <v>✗ ERROR: Revisa datos</v>
      </c>
      <c r="S205" t="str">
        <f t="shared" ca="1" si="16"/>
        <v/>
      </c>
      <c r="T205" t="str">
        <f>IF(E205="USD",F205,IF(E205="CRC",F205/CONFIG!$B$5,""))</f>
        <v/>
      </c>
      <c r="U205" t="str">
        <f t="shared" si="17"/>
        <v/>
      </c>
      <c r="V205" t="str">
        <f t="shared" ca="1" si="18"/>
        <v/>
      </c>
      <c r="W205" t="str">
        <f t="shared" ca="1" si="19"/>
        <v/>
      </c>
    </row>
    <row r="206" spans="17:23" x14ac:dyDescent="0.25">
      <c r="Q206">
        <f>IF(E206="USD",CONFIG!$B$5,1)</f>
        <v>1</v>
      </c>
      <c r="R206" t="str">
        <f t="shared" si="15"/>
        <v>✗ ERROR: Revisa datos</v>
      </c>
      <c r="S206" t="str">
        <f t="shared" ca="1" si="16"/>
        <v/>
      </c>
      <c r="T206" t="str">
        <f>IF(E206="USD",F206,IF(E206="CRC",F206/CONFIG!$B$5,""))</f>
        <v/>
      </c>
      <c r="U206" t="str">
        <f t="shared" si="17"/>
        <v/>
      </c>
      <c r="V206" t="str">
        <f t="shared" ca="1" si="18"/>
        <v/>
      </c>
      <c r="W206" t="str">
        <f t="shared" ca="1" si="19"/>
        <v/>
      </c>
    </row>
    <row r="207" spans="17:23" x14ac:dyDescent="0.25">
      <c r="Q207">
        <f>IF(E207="USD",CONFIG!$B$5,1)</f>
        <v>1</v>
      </c>
      <c r="R207" t="str">
        <f t="shared" si="15"/>
        <v>✗ ERROR: Revisa datos</v>
      </c>
      <c r="S207" t="str">
        <f t="shared" ca="1" si="16"/>
        <v/>
      </c>
      <c r="T207" t="str">
        <f>IF(E207="USD",F207,IF(E207="CRC",F207/CONFIG!$B$5,""))</f>
        <v/>
      </c>
      <c r="U207" t="str">
        <f t="shared" si="17"/>
        <v/>
      </c>
      <c r="V207" t="str">
        <f t="shared" ca="1" si="18"/>
        <v/>
      </c>
      <c r="W207" t="str">
        <f t="shared" ca="1" si="19"/>
        <v/>
      </c>
    </row>
    <row r="208" spans="17:23" x14ac:dyDescent="0.25">
      <c r="Q208">
        <f>IF(E208="USD",CONFIG!$B$5,1)</f>
        <v>1</v>
      </c>
      <c r="R208" t="str">
        <f t="shared" si="15"/>
        <v>✗ ERROR: Revisa datos</v>
      </c>
      <c r="S208" t="str">
        <f t="shared" ca="1" si="16"/>
        <v/>
      </c>
      <c r="T208" t="str">
        <f>IF(E208="USD",F208,IF(E208="CRC",F208/CONFIG!$B$5,""))</f>
        <v/>
      </c>
      <c r="U208" t="str">
        <f t="shared" si="17"/>
        <v/>
      </c>
      <c r="V208" t="str">
        <f t="shared" ca="1" si="18"/>
        <v/>
      </c>
      <c r="W208" t="str">
        <f t="shared" ca="1" si="19"/>
        <v/>
      </c>
    </row>
    <row r="209" spans="17:23" x14ac:dyDescent="0.25">
      <c r="Q209">
        <f>IF(E209="USD",CONFIG!$B$5,1)</f>
        <v>1</v>
      </c>
      <c r="R209" t="str">
        <f t="shared" si="15"/>
        <v>✗ ERROR: Revisa datos</v>
      </c>
      <c r="S209" t="str">
        <f t="shared" ca="1" si="16"/>
        <v/>
      </c>
      <c r="T209" t="str">
        <f>IF(E209="USD",F209,IF(E209="CRC",F209/CONFIG!$B$5,""))</f>
        <v/>
      </c>
      <c r="U209" t="str">
        <f t="shared" si="17"/>
        <v/>
      </c>
      <c r="V209" t="str">
        <f t="shared" ca="1" si="18"/>
        <v/>
      </c>
      <c r="W209" t="str">
        <f t="shared" ca="1" si="19"/>
        <v/>
      </c>
    </row>
    <row r="210" spans="17:23" x14ac:dyDescent="0.25">
      <c r="Q210">
        <f>IF(E210="USD",CONFIG!$B$5,1)</f>
        <v>1</v>
      </c>
      <c r="R210" t="str">
        <f t="shared" si="15"/>
        <v>✗ ERROR: Revisa datos</v>
      </c>
      <c r="S210" t="str">
        <f t="shared" ca="1" si="16"/>
        <v/>
      </c>
      <c r="T210" t="str">
        <f>IF(E210="USD",F210,IF(E210="CRC",F210/CONFIG!$B$5,""))</f>
        <v/>
      </c>
      <c r="U210" t="str">
        <f t="shared" si="17"/>
        <v/>
      </c>
      <c r="V210" t="str">
        <f t="shared" ca="1" si="18"/>
        <v/>
      </c>
      <c r="W210" t="str">
        <f t="shared" ca="1" si="19"/>
        <v/>
      </c>
    </row>
    <row r="211" spans="17:23" x14ac:dyDescent="0.25">
      <c r="Q211">
        <f>IF(E211="USD",CONFIG!$B$5,1)</f>
        <v>1</v>
      </c>
      <c r="R211" t="str">
        <f t="shared" si="15"/>
        <v>✗ ERROR: Revisa datos</v>
      </c>
      <c r="S211" t="str">
        <f t="shared" ca="1" si="16"/>
        <v/>
      </c>
      <c r="T211" t="str">
        <f>IF(E211="USD",F211,IF(E211="CRC",F211/CONFIG!$B$5,""))</f>
        <v/>
      </c>
      <c r="U211" t="str">
        <f t="shared" si="17"/>
        <v/>
      </c>
      <c r="V211" t="str">
        <f t="shared" ca="1" si="18"/>
        <v/>
      </c>
      <c r="W211" t="str">
        <f t="shared" ca="1" si="19"/>
        <v/>
      </c>
    </row>
    <row r="212" spans="17:23" x14ac:dyDescent="0.25">
      <c r="Q212">
        <f>IF(E212="USD",CONFIG!$B$5,1)</f>
        <v>1</v>
      </c>
      <c r="R212" t="str">
        <f t="shared" si="15"/>
        <v>✗ ERROR: Revisa datos</v>
      </c>
      <c r="S212" t="str">
        <f t="shared" ca="1" si="16"/>
        <v/>
      </c>
      <c r="T212" t="str">
        <f>IF(E212="USD",F212,IF(E212="CRC",F212/CONFIG!$B$5,""))</f>
        <v/>
      </c>
      <c r="U212" t="str">
        <f t="shared" si="17"/>
        <v/>
      </c>
      <c r="V212" t="str">
        <f t="shared" ca="1" si="18"/>
        <v/>
      </c>
      <c r="W212" t="str">
        <f t="shared" ca="1" si="19"/>
        <v/>
      </c>
    </row>
    <row r="213" spans="17:23" x14ac:dyDescent="0.25">
      <c r="Q213">
        <f>IF(E213="USD",CONFIG!$B$5,1)</f>
        <v>1</v>
      </c>
      <c r="R213" t="str">
        <f t="shared" si="15"/>
        <v>✗ ERROR: Revisa datos</v>
      </c>
      <c r="S213" t="str">
        <f t="shared" ca="1" si="16"/>
        <v/>
      </c>
      <c r="T213" t="str">
        <f>IF(E213="USD",F213,IF(E213="CRC",F213/CONFIG!$B$5,""))</f>
        <v/>
      </c>
      <c r="U213" t="str">
        <f t="shared" si="17"/>
        <v/>
      </c>
      <c r="V213" t="str">
        <f t="shared" ca="1" si="18"/>
        <v/>
      </c>
      <c r="W213" t="str">
        <f t="shared" ca="1" si="19"/>
        <v/>
      </c>
    </row>
    <row r="214" spans="17:23" x14ac:dyDescent="0.25">
      <c r="Q214">
        <f>IF(E214="USD",CONFIG!$B$5,1)</f>
        <v>1</v>
      </c>
      <c r="R214" t="str">
        <f t="shared" si="15"/>
        <v>✗ ERROR: Revisa datos</v>
      </c>
      <c r="S214" t="str">
        <f t="shared" ca="1" si="16"/>
        <v/>
      </c>
      <c r="T214" t="str">
        <f>IF(E214="USD",F214,IF(E214="CRC",F214/CONFIG!$B$5,""))</f>
        <v/>
      </c>
      <c r="U214" t="str">
        <f t="shared" si="17"/>
        <v/>
      </c>
      <c r="V214" t="str">
        <f t="shared" ca="1" si="18"/>
        <v/>
      </c>
      <c r="W214" t="str">
        <f t="shared" ca="1" si="19"/>
        <v/>
      </c>
    </row>
    <row r="215" spans="17:23" x14ac:dyDescent="0.25">
      <c r="Q215">
        <f>IF(E215="USD",CONFIG!$B$5,1)</f>
        <v>1</v>
      </c>
      <c r="R215" t="str">
        <f t="shared" si="15"/>
        <v>✗ ERROR: Revisa datos</v>
      </c>
      <c r="S215" t="str">
        <f t="shared" ca="1" si="16"/>
        <v/>
      </c>
      <c r="T215" t="str">
        <f>IF(E215="USD",F215,IF(E215="CRC",F215/CONFIG!$B$5,""))</f>
        <v/>
      </c>
      <c r="U215" t="str">
        <f t="shared" si="17"/>
        <v/>
      </c>
      <c r="V215" t="str">
        <f t="shared" ca="1" si="18"/>
        <v/>
      </c>
      <c r="W215" t="str">
        <f t="shared" ca="1" si="19"/>
        <v/>
      </c>
    </row>
    <row r="216" spans="17:23" x14ac:dyDescent="0.25">
      <c r="Q216">
        <f>IF(E216="USD",CONFIG!$B$5,1)</f>
        <v>1</v>
      </c>
      <c r="R216" t="str">
        <f t="shared" si="15"/>
        <v>✗ ERROR: Revisa datos</v>
      </c>
      <c r="S216" t="str">
        <f t="shared" ca="1" si="16"/>
        <v/>
      </c>
      <c r="T216" t="str">
        <f>IF(E216="USD",F216,IF(E216="CRC",F216/CONFIG!$B$5,""))</f>
        <v/>
      </c>
      <c r="U216" t="str">
        <f t="shared" si="17"/>
        <v/>
      </c>
      <c r="V216" t="str">
        <f t="shared" ca="1" si="18"/>
        <v/>
      </c>
      <c r="W216" t="str">
        <f t="shared" ca="1" si="19"/>
        <v/>
      </c>
    </row>
    <row r="217" spans="17:23" x14ac:dyDescent="0.25">
      <c r="Q217">
        <f>IF(E217="USD",CONFIG!$B$5,1)</f>
        <v>1</v>
      </c>
      <c r="R217" t="str">
        <f t="shared" si="15"/>
        <v>✗ ERROR: Revisa datos</v>
      </c>
      <c r="S217" t="str">
        <f t="shared" ca="1" si="16"/>
        <v/>
      </c>
      <c r="T217" t="str">
        <f>IF(E217="USD",F217,IF(E217="CRC",F217/CONFIG!$B$5,""))</f>
        <v/>
      </c>
      <c r="U217" t="str">
        <f t="shared" si="17"/>
        <v/>
      </c>
      <c r="V217" t="str">
        <f t="shared" ca="1" si="18"/>
        <v/>
      </c>
      <c r="W217" t="str">
        <f t="shared" ca="1" si="19"/>
        <v/>
      </c>
    </row>
    <row r="218" spans="17:23" x14ac:dyDescent="0.25">
      <c r="Q218">
        <f>IF(E218="USD",CONFIG!$B$5,1)</f>
        <v>1</v>
      </c>
      <c r="R218" t="str">
        <f t="shared" si="15"/>
        <v>✗ ERROR: Revisa datos</v>
      </c>
      <c r="S218" t="str">
        <f t="shared" ca="1" si="16"/>
        <v/>
      </c>
      <c r="T218" t="str">
        <f>IF(E218="USD",F218,IF(E218="CRC",F218/CONFIG!$B$5,""))</f>
        <v/>
      </c>
      <c r="U218" t="str">
        <f t="shared" si="17"/>
        <v/>
      </c>
      <c r="V218" t="str">
        <f t="shared" ca="1" si="18"/>
        <v/>
      </c>
      <c r="W218" t="str">
        <f t="shared" ca="1" si="19"/>
        <v/>
      </c>
    </row>
    <row r="219" spans="17:23" x14ac:dyDescent="0.25">
      <c r="Q219">
        <f>IF(E219="USD",CONFIG!$B$5,1)</f>
        <v>1</v>
      </c>
      <c r="R219" t="str">
        <f t="shared" si="15"/>
        <v>✗ ERROR: Revisa datos</v>
      </c>
      <c r="S219" t="str">
        <f t="shared" ca="1" si="16"/>
        <v/>
      </c>
      <c r="T219" t="str">
        <f>IF(E219="USD",F219,IF(E219="CRC",F219/CONFIG!$B$5,""))</f>
        <v/>
      </c>
      <c r="U219" t="str">
        <f t="shared" si="17"/>
        <v/>
      </c>
      <c r="V219" t="str">
        <f t="shared" ca="1" si="18"/>
        <v/>
      </c>
      <c r="W219" t="str">
        <f t="shared" ca="1" si="19"/>
        <v/>
      </c>
    </row>
    <row r="220" spans="17:23" x14ac:dyDescent="0.25">
      <c r="Q220">
        <f>IF(E220="USD",CONFIG!$B$5,1)</f>
        <v>1</v>
      </c>
      <c r="R220" t="str">
        <f t="shared" si="15"/>
        <v>✗ ERROR: Revisa datos</v>
      </c>
      <c r="S220" t="str">
        <f t="shared" ca="1" si="16"/>
        <v/>
      </c>
      <c r="T220" t="str">
        <f>IF(E220="USD",F220,IF(E220="CRC",F220/CONFIG!$B$5,""))</f>
        <v/>
      </c>
      <c r="U220" t="str">
        <f t="shared" si="17"/>
        <v/>
      </c>
      <c r="V220" t="str">
        <f t="shared" ca="1" si="18"/>
        <v/>
      </c>
      <c r="W220" t="str">
        <f t="shared" ca="1" si="19"/>
        <v/>
      </c>
    </row>
    <row r="221" spans="17:23" x14ac:dyDescent="0.25">
      <c r="Q221">
        <f>IF(E221="USD",CONFIG!$B$5,1)</f>
        <v>1</v>
      </c>
      <c r="R221" t="str">
        <f t="shared" si="15"/>
        <v>✗ ERROR: Revisa datos</v>
      </c>
      <c r="S221" t="str">
        <f t="shared" ca="1" si="16"/>
        <v/>
      </c>
      <c r="T221" t="str">
        <f>IF(E221="USD",F221,IF(E221="CRC",F221/CONFIG!$B$5,""))</f>
        <v/>
      </c>
      <c r="U221" t="str">
        <f t="shared" si="17"/>
        <v/>
      </c>
      <c r="V221" t="str">
        <f t="shared" ca="1" si="18"/>
        <v/>
      </c>
      <c r="W221" t="str">
        <f t="shared" ca="1" si="19"/>
        <v/>
      </c>
    </row>
    <row r="222" spans="17:23" x14ac:dyDescent="0.25">
      <c r="Q222">
        <f>IF(E222="USD",CONFIG!$B$5,1)</f>
        <v>1</v>
      </c>
      <c r="R222" t="str">
        <f t="shared" si="15"/>
        <v>✗ ERROR: Revisa datos</v>
      </c>
      <c r="S222" t="str">
        <f t="shared" ca="1" si="16"/>
        <v/>
      </c>
      <c r="T222" t="str">
        <f>IF(E222="USD",F222,IF(E222="CRC",F222/CONFIG!$B$5,""))</f>
        <v/>
      </c>
      <c r="U222" t="str">
        <f t="shared" si="17"/>
        <v/>
      </c>
      <c r="V222" t="str">
        <f t="shared" ca="1" si="18"/>
        <v/>
      </c>
      <c r="W222" t="str">
        <f t="shared" ca="1" si="19"/>
        <v/>
      </c>
    </row>
    <row r="223" spans="17:23" x14ac:dyDescent="0.25">
      <c r="Q223">
        <f>IF(E223="USD",CONFIG!$B$5,1)</f>
        <v>1</v>
      </c>
      <c r="R223" t="str">
        <f t="shared" si="15"/>
        <v>✗ ERROR: Revisa datos</v>
      </c>
      <c r="S223" t="str">
        <f t="shared" ca="1" si="16"/>
        <v/>
      </c>
      <c r="T223" t="str">
        <f>IF(E223="USD",F223,IF(E223="CRC",F223/CONFIG!$B$5,""))</f>
        <v/>
      </c>
      <c r="U223" t="str">
        <f t="shared" si="17"/>
        <v/>
      </c>
      <c r="V223" t="str">
        <f t="shared" ca="1" si="18"/>
        <v/>
      </c>
      <c r="W223" t="str">
        <f t="shared" ca="1" si="19"/>
        <v/>
      </c>
    </row>
    <row r="224" spans="17:23" x14ac:dyDescent="0.25">
      <c r="Q224">
        <f>IF(E224="USD",CONFIG!$B$5,1)</f>
        <v>1</v>
      </c>
      <c r="R224" t="str">
        <f t="shared" si="15"/>
        <v>✗ ERROR: Revisa datos</v>
      </c>
      <c r="S224" t="str">
        <f t="shared" ca="1" si="16"/>
        <v/>
      </c>
      <c r="T224" t="str">
        <f>IF(E224="USD",F224,IF(E224="CRC",F224/CONFIG!$B$5,""))</f>
        <v/>
      </c>
      <c r="U224" t="str">
        <f t="shared" si="17"/>
        <v/>
      </c>
      <c r="V224" t="str">
        <f t="shared" ca="1" si="18"/>
        <v/>
      </c>
      <c r="W224" t="str">
        <f t="shared" ca="1" si="19"/>
        <v/>
      </c>
    </row>
    <row r="225" spans="17:23" x14ac:dyDescent="0.25">
      <c r="Q225">
        <f>IF(E225="USD",CONFIG!$B$5,1)</f>
        <v>1</v>
      </c>
      <c r="R225" t="str">
        <f t="shared" si="15"/>
        <v>✗ ERROR: Revisa datos</v>
      </c>
      <c r="S225" t="str">
        <f t="shared" ca="1" si="16"/>
        <v/>
      </c>
      <c r="T225" t="str">
        <f>IF(E225="USD",F225,IF(E225="CRC",F225/CONFIG!$B$5,""))</f>
        <v/>
      </c>
      <c r="U225" t="str">
        <f t="shared" si="17"/>
        <v/>
      </c>
      <c r="V225" t="str">
        <f t="shared" ca="1" si="18"/>
        <v/>
      </c>
      <c r="W225" t="str">
        <f t="shared" ca="1" si="19"/>
        <v/>
      </c>
    </row>
    <row r="226" spans="17:23" x14ac:dyDescent="0.25">
      <c r="Q226">
        <f>IF(E226="USD",CONFIG!$B$5,1)</f>
        <v>1</v>
      </c>
      <c r="R226" t="str">
        <f t="shared" si="15"/>
        <v>✗ ERROR: Revisa datos</v>
      </c>
      <c r="S226" t="str">
        <f t="shared" ca="1" si="16"/>
        <v/>
      </c>
      <c r="T226" t="str">
        <f>IF(E226="USD",F226,IF(E226="CRC",F226/CONFIG!$B$5,""))</f>
        <v/>
      </c>
      <c r="U226" t="str">
        <f t="shared" si="17"/>
        <v/>
      </c>
      <c r="V226" t="str">
        <f t="shared" ca="1" si="18"/>
        <v/>
      </c>
      <c r="W226" t="str">
        <f t="shared" ca="1" si="19"/>
        <v/>
      </c>
    </row>
    <row r="227" spans="17:23" x14ac:dyDescent="0.25">
      <c r="Q227">
        <f>IF(E227="USD",CONFIG!$B$5,1)</f>
        <v>1</v>
      </c>
      <c r="R227" t="str">
        <f t="shared" si="15"/>
        <v>✗ ERROR: Revisa datos</v>
      </c>
      <c r="S227" t="str">
        <f t="shared" ca="1" si="16"/>
        <v/>
      </c>
      <c r="T227" t="str">
        <f>IF(E227="USD",F227,IF(E227="CRC",F227/CONFIG!$B$5,""))</f>
        <v/>
      </c>
      <c r="U227" t="str">
        <f t="shared" si="17"/>
        <v/>
      </c>
      <c r="V227" t="str">
        <f t="shared" ca="1" si="18"/>
        <v/>
      </c>
      <c r="W227" t="str">
        <f t="shared" ca="1" si="19"/>
        <v/>
      </c>
    </row>
    <row r="228" spans="17:23" x14ac:dyDescent="0.25">
      <c r="Q228">
        <f>IF(E228="USD",CONFIG!$B$5,1)</f>
        <v>1</v>
      </c>
      <c r="R228" t="str">
        <f t="shared" si="15"/>
        <v>✗ ERROR: Revisa datos</v>
      </c>
      <c r="S228" t="str">
        <f t="shared" ca="1" si="16"/>
        <v/>
      </c>
      <c r="T228" t="str">
        <f>IF(E228="USD",F228,IF(E228="CRC",F228/CONFIG!$B$5,""))</f>
        <v/>
      </c>
      <c r="U228" t="str">
        <f t="shared" si="17"/>
        <v/>
      </c>
      <c r="V228" t="str">
        <f t="shared" ca="1" si="18"/>
        <v/>
      </c>
      <c r="W228" t="str">
        <f t="shared" ca="1" si="19"/>
        <v/>
      </c>
    </row>
    <row r="229" spans="17:23" x14ac:dyDescent="0.25">
      <c r="Q229">
        <f>IF(E229="USD",CONFIG!$B$5,1)</f>
        <v>1</v>
      </c>
      <c r="R229" t="str">
        <f t="shared" si="15"/>
        <v>✗ ERROR: Revisa datos</v>
      </c>
      <c r="S229" t="str">
        <f t="shared" ca="1" si="16"/>
        <v/>
      </c>
      <c r="T229" t="str">
        <f>IF(E229="USD",F229,IF(E229="CRC",F229/CONFIG!$B$5,""))</f>
        <v/>
      </c>
      <c r="U229" t="str">
        <f t="shared" si="17"/>
        <v/>
      </c>
      <c r="V229" t="str">
        <f t="shared" ca="1" si="18"/>
        <v/>
      </c>
      <c r="W229" t="str">
        <f t="shared" ca="1" si="19"/>
        <v/>
      </c>
    </row>
    <row r="230" spans="17:23" x14ac:dyDescent="0.25">
      <c r="Q230">
        <f>IF(E230="USD",CONFIG!$B$5,1)</f>
        <v>1</v>
      </c>
      <c r="R230" t="str">
        <f t="shared" si="15"/>
        <v>✗ ERROR: Revisa datos</v>
      </c>
      <c r="S230" t="str">
        <f t="shared" ca="1" si="16"/>
        <v/>
      </c>
      <c r="T230" t="str">
        <f>IF(E230="USD",F230,IF(E230="CRC",F230/CONFIG!$B$5,""))</f>
        <v/>
      </c>
      <c r="U230" t="str">
        <f t="shared" si="17"/>
        <v/>
      </c>
      <c r="V230" t="str">
        <f t="shared" ca="1" si="18"/>
        <v/>
      </c>
      <c r="W230" t="str">
        <f t="shared" ca="1" si="19"/>
        <v/>
      </c>
    </row>
    <row r="231" spans="17:23" x14ac:dyDescent="0.25">
      <c r="Q231">
        <f>IF(E231="USD",CONFIG!$B$5,1)</f>
        <v>1</v>
      </c>
      <c r="R231" t="str">
        <f t="shared" si="15"/>
        <v>✗ ERROR: Revisa datos</v>
      </c>
      <c r="S231" t="str">
        <f t="shared" ca="1" si="16"/>
        <v/>
      </c>
      <c r="T231" t="str">
        <f>IF(E231="USD",F231,IF(E231="CRC",F231/CONFIG!$B$5,""))</f>
        <v/>
      </c>
      <c r="U231" t="str">
        <f t="shared" si="17"/>
        <v/>
      </c>
      <c r="V231" t="str">
        <f t="shared" ca="1" si="18"/>
        <v/>
      </c>
      <c r="W231" t="str">
        <f t="shared" ca="1" si="19"/>
        <v/>
      </c>
    </row>
    <row r="232" spans="17:23" x14ac:dyDescent="0.25">
      <c r="Q232">
        <f>IF(E232="USD",CONFIG!$B$5,1)</f>
        <v>1</v>
      </c>
      <c r="R232" t="str">
        <f t="shared" si="15"/>
        <v>✗ ERROR: Revisa datos</v>
      </c>
      <c r="S232" t="str">
        <f t="shared" ca="1" si="16"/>
        <v/>
      </c>
      <c r="T232" t="str">
        <f>IF(E232="USD",F232,IF(E232="CRC",F232/CONFIG!$B$5,""))</f>
        <v/>
      </c>
      <c r="U232" t="str">
        <f t="shared" si="17"/>
        <v/>
      </c>
      <c r="V232" t="str">
        <f t="shared" ca="1" si="18"/>
        <v/>
      </c>
      <c r="W232" t="str">
        <f t="shared" ca="1" si="19"/>
        <v/>
      </c>
    </row>
    <row r="233" spans="17:23" x14ac:dyDescent="0.25">
      <c r="Q233">
        <f>IF(E233="USD",CONFIG!$B$5,1)</f>
        <v>1</v>
      </c>
      <c r="R233" t="str">
        <f t="shared" si="15"/>
        <v>✗ ERROR: Revisa datos</v>
      </c>
      <c r="S233" t="str">
        <f t="shared" ca="1" si="16"/>
        <v/>
      </c>
      <c r="T233" t="str">
        <f>IF(E233="USD",F233,IF(E233="CRC",F233/CONFIG!$B$5,""))</f>
        <v/>
      </c>
      <c r="U233" t="str">
        <f t="shared" si="17"/>
        <v/>
      </c>
      <c r="V233" t="str">
        <f t="shared" ca="1" si="18"/>
        <v/>
      </c>
      <c r="W233" t="str">
        <f t="shared" ca="1" si="19"/>
        <v/>
      </c>
    </row>
    <row r="234" spans="17:23" x14ac:dyDescent="0.25">
      <c r="Q234">
        <f>IF(E234="USD",CONFIG!$B$5,1)</f>
        <v>1</v>
      </c>
      <c r="R234" t="str">
        <f t="shared" si="15"/>
        <v>✗ ERROR: Revisa datos</v>
      </c>
      <c r="S234" t="str">
        <f t="shared" ca="1" si="16"/>
        <v/>
      </c>
      <c r="T234" t="str">
        <f>IF(E234="USD",F234,IF(E234="CRC",F234/CONFIG!$B$5,""))</f>
        <v/>
      </c>
      <c r="U234" t="str">
        <f t="shared" si="17"/>
        <v/>
      </c>
      <c r="V234" t="str">
        <f t="shared" ca="1" si="18"/>
        <v/>
      </c>
      <c r="W234" t="str">
        <f t="shared" ca="1" si="19"/>
        <v/>
      </c>
    </row>
    <row r="235" spans="17:23" x14ac:dyDescent="0.25">
      <c r="Q235">
        <f>IF(E235="USD",CONFIG!$B$5,1)</f>
        <v>1</v>
      </c>
      <c r="R235" t="str">
        <f t="shared" si="15"/>
        <v>✗ ERROR: Revisa datos</v>
      </c>
      <c r="S235" t="str">
        <f t="shared" ca="1" si="16"/>
        <v/>
      </c>
      <c r="T235" t="str">
        <f>IF(E235="USD",F235,IF(E235="CRC",F235/CONFIG!$B$5,""))</f>
        <v/>
      </c>
      <c r="U235" t="str">
        <f t="shared" si="17"/>
        <v/>
      </c>
      <c r="V235" t="str">
        <f t="shared" ca="1" si="18"/>
        <v/>
      </c>
      <c r="W235" t="str">
        <f t="shared" ca="1" si="19"/>
        <v/>
      </c>
    </row>
    <row r="236" spans="17:23" x14ac:dyDescent="0.25">
      <c r="Q236">
        <f>IF(E236="USD",CONFIG!$B$5,1)</f>
        <v>1</v>
      </c>
      <c r="R236" t="str">
        <f t="shared" si="15"/>
        <v>✗ ERROR: Revisa datos</v>
      </c>
      <c r="S236" t="str">
        <f t="shared" ca="1" si="16"/>
        <v/>
      </c>
      <c r="T236" t="str">
        <f>IF(E236="USD",F236,IF(E236="CRC",F236/CONFIG!$B$5,""))</f>
        <v/>
      </c>
      <c r="U236" t="str">
        <f t="shared" si="17"/>
        <v/>
      </c>
      <c r="V236" t="str">
        <f t="shared" ca="1" si="18"/>
        <v/>
      </c>
      <c r="W236" t="str">
        <f t="shared" ca="1" si="19"/>
        <v/>
      </c>
    </row>
    <row r="237" spans="17:23" x14ac:dyDescent="0.25">
      <c r="Q237">
        <f>IF(E237="USD",CONFIG!$B$5,1)</f>
        <v>1</v>
      </c>
      <c r="R237" t="str">
        <f t="shared" si="15"/>
        <v>✗ ERROR: Revisa datos</v>
      </c>
      <c r="S237" t="str">
        <f t="shared" ca="1" si="16"/>
        <v/>
      </c>
      <c r="T237" t="str">
        <f>IF(E237="USD",F237,IF(E237="CRC",F237/CONFIG!$B$5,""))</f>
        <v/>
      </c>
      <c r="U237" t="str">
        <f t="shared" si="17"/>
        <v/>
      </c>
      <c r="V237" t="str">
        <f t="shared" ca="1" si="18"/>
        <v/>
      </c>
      <c r="W237" t="str">
        <f t="shared" ca="1" si="19"/>
        <v/>
      </c>
    </row>
    <row r="238" spans="17:23" x14ac:dyDescent="0.25">
      <c r="Q238">
        <f>IF(E238="USD",CONFIG!$B$5,1)</f>
        <v>1</v>
      </c>
      <c r="R238" t="str">
        <f t="shared" si="15"/>
        <v>✗ ERROR: Revisa datos</v>
      </c>
      <c r="S238" t="str">
        <f t="shared" ca="1" si="16"/>
        <v/>
      </c>
      <c r="T238" t="str">
        <f>IF(E238="USD",F238,IF(E238="CRC",F238/CONFIG!$B$5,""))</f>
        <v/>
      </c>
      <c r="U238" t="str">
        <f t="shared" si="17"/>
        <v/>
      </c>
      <c r="V238" t="str">
        <f t="shared" ca="1" si="18"/>
        <v/>
      </c>
      <c r="W238" t="str">
        <f t="shared" ca="1" si="19"/>
        <v/>
      </c>
    </row>
    <row r="239" spans="17:23" x14ac:dyDescent="0.25">
      <c r="Q239">
        <f>IF(E239="USD",CONFIG!$B$5,1)</f>
        <v>1</v>
      </c>
      <c r="R239" t="str">
        <f t="shared" si="15"/>
        <v>✗ ERROR: Revisa datos</v>
      </c>
      <c r="S239" t="str">
        <f t="shared" ca="1" si="16"/>
        <v/>
      </c>
      <c r="T239" t="str">
        <f>IF(E239="USD",F239,IF(E239="CRC",F239/CONFIG!$B$5,""))</f>
        <v/>
      </c>
      <c r="U239" t="str">
        <f t="shared" si="17"/>
        <v/>
      </c>
      <c r="V239" t="str">
        <f t="shared" ca="1" si="18"/>
        <v/>
      </c>
      <c r="W239" t="str">
        <f t="shared" ca="1" si="19"/>
        <v/>
      </c>
    </row>
    <row r="240" spans="17:23" x14ac:dyDescent="0.25">
      <c r="Q240">
        <f>IF(E240="USD",CONFIG!$B$5,1)</f>
        <v>1</v>
      </c>
      <c r="R240" t="str">
        <f t="shared" si="15"/>
        <v>✗ ERROR: Revisa datos</v>
      </c>
      <c r="S240" t="str">
        <f t="shared" ca="1" si="16"/>
        <v/>
      </c>
      <c r="T240" t="str">
        <f>IF(E240="USD",F240,IF(E240="CRC",F240/CONFIG!$B$5,""))</f>
        <v/>
      </c>
      <c r="U240" t="str">
        <f t="shared" si="17"/>
        <v/>
      </c>
      <c r="V240" t="str">
        <f t="shared" ca="1" si="18"/>
        <v/>
      </c>
      <c r="W240" t="str">
        <f t="shared" ca="1" si="19"/>
        <v/>
      </c>
    </row>
    <row r="241" spans="17:23" x14ac:dyDescent="0.25">
      <c r="Q241">
        <f>IF(E241="USD",CONFIG!$B$5,1)</f>
        <v>1</v>
      </c>
      <c r="R241" t="str">
        <f t="shared" si="15"/>
        <v>✗ ERROR: Revisa datos</v>
      </c>
      <c r="S241" t="str">
        <f t="shared" ca="1" si="16"/>
        <v/>
      </c>
      <c r="T241" t="str">
        <f>IF(E241="USD",F241,IF(E241="CRC",F241/CONFIG!$B$5,""))</f>
        <v/>
      </c>
      <c r="U241" t="str">
        <f t="shared" si="17"/>
        <v/>
      </c>
      <c r="V241" t="str">
        <f t="shared" ca="1" si="18"/>
        <v/>
      </c>
      <c r="W241" t="str">
        <f t="shared" ca="1" si="19"/>
        <v/>
      </c>
    </row>
    <row r="242" spans="17:23" x14ac:dyDescent="0.25">
      <c r="Q242">
        <f>IF(E242="USD",CONFIG!$B$5,1)</f>
        <v>1</v>
      </c>
      <c r="R242" t="str">
        <f t="shared" si="15"/>
        <v>✗ ERROR: Revisa datos</v>
      </c>
      <c r="S242" t="str">
        <f t="shared" ca="1" si="16"/>
        <v/>
      </c>
      <c r="T242" t="str">
        <f>IF(E242="USD",F242,IF(E242="CRC",F242/CONFIG!$B$5,""))</f>
        <v/>
      </c>
      <c r="U242" t="str">
        <f t="shared" si="17"/>
        <v/>
      </c>
      <c r="V242" t="str">
        <f t="shared" ca="1" si="18"/>
        <v/>
      </c>
      <c r="W242" t="str">
        <f t="shared" ca="1" si="19"/>
        <v/>
      </c>
    </row>
    <row r="243" spans="17:23" x14ac:dyDescent="0.25">
      <c r="Q243">
        <f>IF(E243="USD",CONFIG!$B$5,1)</f>
        <v>1</v>
      </c>
      <c r="R243" t="str">
        <f t="shared" si="15"/>
        <v>✗ ERROR: Revisa datos</v>
      </c>
      <c r="S243" t="str">
        <f t="shared" ca="1" si="16"/>
        <v/>
      </c>
      <c r="T243" t="str">
        <f>IF(E243="USD",F243,IF(E243="CRC",F243/CONFIG!$B$5,""))</f>
        <v/>
      </c>
      <c r="U243" t="str">
        <f t="shared" si="17"/>
        <v/>
      </c>
      <c r="V243" t="str">
        <f t="shared" ca="1" si="18"/>
        <v/>
      </c>
      <c r="W243" t="str">
        <f t="shared" ca="1" si="19"/>
        <v/>
      </c>
    </row>
    <row r="244" spans="17:23" x14ac:dyDescent="0.25">
      <c r="Q244">
        <f>IF(E244="USD",CONFIG!$B$5,1)</f>
        <v>1</v>
      </c>
      <c r="R244" t="str">
        <f t="shared" si="15"/>
        <v>✗ ERROR: Revisa datos</v>
      </c>
      <c r="S244" t="str">
        <f t="shared" ca="1" si="16"/>
        <v/>
      </c>
      <c r="T244" t="str">
        <f>IF(E244="USD",F244,IF(E244="CRC",F244/CONFIG!$B$5,""))</f>
        <v/>
      </c>
      <c r="U244" t="str">
        <f t="shared" si="17"/>
        <v/>
      </c>
      <c r="V244" t="str">
        <f t="shared" ca="1" si="18"/>
        <v/>
      </c>
      <c r="W244" t="str">
        <f t="shared" ca="1" si="19"/>
        <v/>
      </c>
    </row>
    <row r="245" spans="17:23" x14ac:dyDescent="0.25">
      <c r="Q245">
        <f>IF(E245="USD",CONFIG!$B$5,1)</f>
        <v>1</v>
      </c>
      <c r="R245" t="str">
        <f t="shared" si="15"/>
        <v>✗ ERROR: Revisa datos</v>
      </c>
      <c r="S245" t="str">
        <f t="shared" ca="1" si="16"/>
        <v/>
      </c>
      <c r="T245" t="str">
        <f>IF(E245="USD",F245,IF(E245="CRC",F245/CONFIG!$B$5,""))</f>
        <v/>
      </c>
      <c r="U245" t="str">
        <f t="shared" si="17"/>
        <v/>
      </c>
      <c r="V245" t="str">
        <f t="shared" ca="1" si="18"/>
        <v/>
      </c>
      <c r="W245" t="str">
        <f t="shared" ca="1" si="19"/>
        <v/>
      </c>
    </row>
    <row r="246" spans="17:23" x14ac:dyDescent="0.25">
      <c r="Q246">
        <f>IF(E246="USD",CONFIG!$B$5,1)</f>
        <v>1</v>
      </c>
      <c r="R246" t="str">
        <f t="shared" si="15"/>
        <v>✗ ERROR: Revisa datos</v>
      </c>
      <c r="S246" t="str">
        <f t="shared" ca="1" si="16"/>
        <v/>
      </c>
      <c r="T246" t="str">
        <f>IF(E246="USD",F246,IF(E246="CRC",F246/CONFIG!$B$5,""))</f>
        <v/>
      </c>
      <c r="U246" t="str">
        <f t="shared" si="17"/>
        <v/>
      </c>
      <c r="V246" t="str">
        <f t="shared" ca="1" si="18"/>
        <v/>
      </c>
      <c r="W246" t="str">
        <f t="shared" ca="1" si="19"/>
        <v/>
      </c>
    </row>
    <row r="247" spans="17:23" x14ac:dyDescent="0.25">
      <c r="Q247">
        <f>IF(E247="USD",CONFIG!$B$5,1)</f>
        <v>1</v>
      </c>
      <c r="R247" t="str">
        <f t="shared" si="15"/>
        <v>✗ ERROR: Revisa datos</v>
      </c>
      <c r="S247" t="str">
        <f t="shared" ca="1" si="16"/>
        <v/>
      </c>
      <c r="T247" t="str">
        <f>IF(E247="USD",F247,IF(E247="CRC",F247/CONFIG!$B$5,""))</f>
        <v/>
      </c>
      <c r="U247" t="str">
        <f t="shared" si="17"/>
        <v/>
      </c>
      <c r="V247" t="str">
        <f t="shared" ca="1" si="18"/>
        <v/>
      </c>
      <c r="W247" t="str">
        <f t="shared" ca="1" si="19"/>
        <v/>
      </c>
    </row>
    <row r="248" spans="17:23" x14ac:dyDescent="0.25">
      <c r="Q248">
        <f>IF(E248="USD",CONFIG!$B$5,1)</f>
        <v>1</v>
      </c>
      <c r="R248" t="str">
        <f t="shared" si="15"/>
        <v>✗ ERROR: Revisa datos</v>
      </c>
      <c r="S248" t="str">
        <f t="shared" ca="1" si="16"/>
        <v/>
      </c>
      <c r="T248" t="str">
        <f>IF(E248="USD",F248,IF(E248="CRC",F248/CONFIG!$B$5,""))</f>
        <v/>
      </c>
      <c r="U248" t="str">
        <f t="shared" si="17"/>
        <v/>
      </c>
      <c r="V248" t="str">
        <f t="shared" ca="1" si="18"/>
        <v/>
      </c>
      <c r="W248" t="str">
        <f t="shared" ca="1" si="19"/>
        <v/>
      </c>
    </row>
    <row r="249" spans="17:23" x14ac:dyDescent="0.25">
      <c r="Q249">
        <f>IF(E249="USD",CONFIG!$B$5,1)</f>
        <v>1</v>
      </c>
      <c r="R249" t="str">
        <f t="shared" si="15"/>
        <v>✗ ERROR: Revisa datos</v>
      </c>
      <c r="S249" t="str">
        <f t="shared" ca="1" si="16"/>
        <v/>
      </c>
      <c r="T249" t="str">
        <f>IF(E249="USD",F249,IF(E249="CRC",F249/CONFIG!$B$5,""))</f>
        <v/>
      </c>
      <c r="U249" t="str">
        <f t="shared" si="17"/>
        <v/>
      </c>
      <c r="V249" t="str">
        <f t="shared" ca="1" si="18"/>
        <v/>
      </c>
      <c r="W249" t="str">
        <f t="shared" ca="1" si="19"/>
        <v/>
      </c>
    </row>
    <row r="250" spans="17:23" x14ac:dyDescent="0.25">
      <c r="Q250">
        <f>IF(E250="USD",CONFIG!$B$5,1)</f>
        <v>1</v>
      </c>
      <c r="R250" t="str">
        <f t="shared" si="15"/>
        <v>✗ ERROR: Revisa datos</v>
      </c>
      <c r="S250" t="str">
        <f t="shared" ca="1" si="16"/>
        <v/>
      </c>
      <c r="T250" t="str">
        <f>IF(E250="USD",F250,IF(E250="CRC",F250/CONFIG!$B$5,""))</f>
        <v/>
      </c>
      <c r="U250" t="str">
        <f t="shared" si="17"/>
        <v/>
      </c>
      <c r="V250" t="str">
        <f t="shared" ca="1" si="18"/>
        <v/>
      </c>
      <c r="W250" t="str">
        <f t="shared" ca="1" si="19"/>
        <v/>
      </c>
    </row>
    <row r="251" spans="17:23" x14ac:dyDescent="0.25">
      <c r="Q251">
        <f>IF(E251="USD",CONFIG!$B$5,1)</f>
        <v>1</v>
      </c>
      <c r="R251" t="str">
        <f t="shared" si="15"/>
        <v>✗ ERROR: Revisa datos</v>
      </c>
      <c r="S251" t="str">
        <f t="shared" ca="1" si="16"/>
        <v/>
      </c>
      <c r="T251" t="str">
        <f>IF(E251="USD",F251,IF(E251="CRC",F251/CONFIG!$B$5,""))</f>
        <v/>
      </c>
      <c r="U251" t="str">
        <f t="shared" si="17"/>
        <v/>
      </c>
      <c r="V251" t="str">
        <f t="shared" ca="1" si="18"/>
        <v/>
      </c>
      <c r="W251" t="str">
        <f t="shared" ca="1" si="19"/>
        <v/>
      </c>
    </row>
    <row r="252" spans="17:23" x14ac:dyDescent="0.25">
      <c r="Q252">
        <f>IF(E252="USD",CONFIG!$B$5,1)</f>
        <v>1</v>
      </c>
      <c r="R252" t="str">
        <f t="shared" si="15"/>
        <v>✗ ERROR: Revisa datos</v>
      </c>
      <c r="S252" t="str">
        <f t="shared" ca="1" si="16"/>
        <v/>
      </c>
      <c r="T252" t="str">
        <f>IF(E252="USD",F252,IF(E252="CRC",F252/CONFIG!$B$5,""))</f>
        <v/>
      </c>
      <c r="U252" t="str">
        <f t="shared" si="17"/>
        <v/>
      </c>
      <c r="V252" t="str">
        <f t="shared" ca="1" si="18"/>
        <v/>
      </c>
      <c r="W252" t="str">
        <f t="shared" ca="1" si="19"/>
        <v/>
      </c>
    </row>
    <row r="253" spans="17:23" x14ac:dyDescent="0.25">
      <c r="Q253">
        <f>IF(E253="USD",CONFIG!$B$5,1)</f>
        <v>1</v>
      </c>
      <c r="R253" t="str">
        <f t="shared" si="15"/>
        <v>✗ ERROR: Revisa datos</v>
      </c>
      <c r="S253" t="str">
        <f t="shared" ca="1" si="16"/>
        <v/>
      </c>
      <c r="T253" t="str">
        <f>IF(E253="USD",F253,IF(E253="CRC",F253/CONFIG!$B$5,""))</f>
        <v/>
      </c>
      <c r="U253" t="str">
        <f t="shared" si="17"/>
        <v/>
      </c>
      <c r="V253" t="str">
        <f t="shared" ca="1" si="18"/>
        <v/>
      </c>
      <c r="W253" t="str">
        <f t="shared" ca="1" si="19"/>
        <v/>
      </c>
    </row>
    <row r="254" spans="17:23" x14ac:dyDescent="0.25">
      <c r="Q254">
        <f>IF(E254="USD",CONFIG!$B$5,1)</f>
        <v>1</v>
      </c>
      <c r="R254" t="str">
        <f t="shared" si="15"/>
        <v>✗ ERROR: Revisa datos</v>
      </c>
      <c r="S254" t="str">
        <f t="shared" ca="1" si="16"/>
        <v/>
      </c>
      <c r="T254" t="str">
        <f>IF(E254="USD",F254,IF(E254="CRC",F254/CONFIG!$B$5,""))</f>
        <v/>
      </c>
      <c r="U254" t="str">
        <f t="shared" si="17"/>
        <v/>
      </c>
      <c r="V254" t="str">
        <f t="shared" ca="1" si="18"/>
        <v/>
      </c>
      <c r="W254" t="str">
        <f t="shared" ca="1" si="19"/>
        <v/>
      </c>
    </row>
    <row r="255" spans="17:23" x14ac:dyDescent="0.25">
      <c r="Q255">
        <f>IF(E255="USD",CONFIG!$B$5,1)</f>
        <v>1</v>
      </c>
      <c r="R255" t="str">
        <f t="shared" si="15"/>
        <v>✗ ERROR: Revisa datos</v>
      </c>
      <c r="S255" t="str">
        <f t="shared" ca="1" si="16"/>
        <v/>
      </c>
      <c r="T255" t="str">
        <f>IF(E255="USD",F255,IF(E255="CRC",F255/CONFIG!$B$5,""))</f>
        <v/>
      </c>
      <c r="U255" t="str">
        <f t="shared" si="17"/>
        <v/>
      </c>
      <c r="V255" t="str">
        <f t="shared" ca="1" si="18"/>
        <v/>
      </c>
      <c r="W255" t="str">
        <f t="shared" ca="1" si="19"/>
        <v/>
      </c>
    </row>
    <row r="256" spans="17:23" x14ac:dyDescent="0.25">
      <c r="Q256">
        <f>IF(E256="USD",CONFIG!$B$5,1)</f>
        <v>1</v>
      </c>
      <c r="R256" t="str">
        <f t="shared" si="15"/>
        <v>✗ ERROR: Revisa datos</v>
      </c>
      <c r="S256" t="str">
        <f t="shared" ca="1" si="16"/>
        <v/>
      </c>
      <c r="T256" t="str">
        <f>IF(E256="USD",F256,IF(E256="CRC",F256/CONFIG!$B$5,""))</f>
        <v/>
      </c>
      <c r="U256" t="str">
        <f t="shared" si="17"/>
        <v/>
      </c>
      <c r="V256" t="str">
        <f t="shared" ca="1" si="18"/>
        <v/>
      </c>
      <c r="W256" t="str">
        <f t="shared" ca="1" si="19"/>
        <v/>
      </c>
    </row>
    <row r="257" spans="17:23" x14ac:dyDescent="0.25">
      <c r="Q257">
        <f>IF(E257="USD",CONFIG!$B$5,1)</f>
        <v>1</v>
      </c>
      <c r="R257" t="str">
        <f t="shared" si="15"/>
        <v>✗ ERROR: Revisa datos</v>
      </c>
      <c r="S257" t="str">
        <f t="shared" ca="1" si="16"/>
        <v/>
      </c>
      <c r="T257" t="str">
        <f>IF(E257="USD",F257,IF(E257="CRC",F257/CONFIG!$B$5,""))</f>
        <v/>
      </c>
      <c r="U257" t="str">
        <f t="shared" si="17"/>
        <v/>
      </c>
      <c r="V257" t="str">
        <f t="shared" ca="1" si="18"/>
        <v/>
      </c>
      <c r="W257" t="str">
        <f t="shared" ca="1" si="19"/>
        <v/>
      </c>
    </row>
    <row r="258" spans="17:23" x14ac:dyDescent="0.25">
      <c r="Q258">
        <f>IF(E258="USD",CONFIG!$B$5,1)</f>
        <v>1</v>
      </c>
      <c r="R258" t="str">
        <f t="shared" si="15"/>
        <v>✗ ERROR: Revisa datos</v>
      </c>
      <c r="S258" t="str">
        <f t="shared" ca="1" si="16"/>
        <v/>
      </c>
      <c r="T258" t="str">
        <f>IF(E258="USD",F258,IF(E258="CRC",F258/CONFIG!$B$5,""))</f>
        <v/>
      </c>
      <c r="U258" t="str">
        <f t="shared" si="17"/>
        <v/>
      </c>
      <c r="V258" t="str">
        <f t="shared" ca="1" si="18"/>
        <v/>
      </c>
      <c r="W258" t="str">
        <f t="shared" ca="1" si="19"/>
        <v/>
      </c>
    </row>
    <row r="259" spans="17:23" x14ac:dyDescent="0.25">
      <c r="Q259">
        <f>IF(E259="USD",CONFIG!$B$5,1)</f>
        <v>1</v>
      </c>
      <c r="R259" t="str">
        <f t="shared" ref="R259:R322" si="20">IF(AND(A259&lt;&gt;"",ISNUMBER(A259),B259&lt;&gt;"",C259&lt;&gt;"",OR(E259="USD",E259="CRC"),F259&gt;0,ISNUMBER(Q259),Q259&gt;0),"✓ OK","✗ ERROR: Revisa datos")</f>
        <v>✗ ERROR: Revisa datos</v>
      </c>
      <c r="S259" t="str">
        <f t="shared" ca="1" si="16"/>
        <v/>
      </c>
      <c r="T259" t="str">
        <f>IF(E259="USD",F259,IF(E259="CRC",F259/CONFIG!$B$5,""))</f>
        <v/>
      </c>
      <c r="U259" t="str">
        <f t="shared" si="17"/>
        <v/>
      </c>
      <c r="V259" t="str">
        <f t="shared" ca="1" si="18"/>
        <v/>
      </c>
      <c r="W259" t="str">
        <f t="shared" ca="1" si="19"/>
        <v/>
      </c>
    </row>
    <row r="260" spans="17:23" x14ac:dyDescent="0.25">
      <c r="Q260">
        <f>IF(E260="USD",CONFIG!$B$5,1)</f>
        <v>1</v>
      </c>
      <c r="R260" t="str">
        <f t="shared" si="20"/>
        <v>✗ ERROR: Revisa datos</v>
      </c>
      <c r="S260" t="str">
        <f t="shared" ca="1" si="16"/>
        <v/>
      </c>
      <c r="T260" t="str">
        <f>IF(E260="USD",F260,IF(E260="CRC",F260/CONFIG!$B$5,""))</f>
        <v/>
      </c>
      <c r="U260" t="str">
        <f t="shared" si="17"/>
        <v/>
      </c>
      <c r="V260" t="str">
        <f t="shared" ca="1" si="18"/>
        <v/>
      </c>
      <c r="W260" t="str">
        <f t="shared" ca="1" si="19"/>
        <v/>
      </c>
    </row>
    <row r="261" spans="17:23" x14ac:dyDescent="0.25">
      <c r="Q261">
        <f>IF(E261="USD",CONFIG!$B$5,1)</f>
        <v>1</v>
      </c>
      <c r="R261" t="str">
        <f t="shared" si="20"/>
        <v>✗ ERROR: Revisa datos</v>
      </c>
      <c r="S261" t="str">
        <f t="shared" ca="1" si="16"/>
        <v/>
      </c>
      <c r="T261" t="str">
        <f>IF(E261="USD",F261,IF(E261="CRC",F261/CONFIG!$B$5,""))</f>
        <v/>
      </c>
      <c r="U261" t="str">
        <f t="shared" si="17"/>
        <v/>
      </c>
      <c r="V261" t="str">
        <f t="shared" ca="1" si="18"/>
        <v/>
      </c>
      <c r="W261" t="str">
        <f t="shared" ca="1" si="19"/>
        <v/>
      </c>
    </row>
    <row r="262" spans="17:23" x14ac:dyDescent="0.25">
      <c r="Q262">
        <f>IF(E262="USD",CONFIG!$B$5,1)</f>
        <v>1</v>
      </c>
      <c r="R262" t="str">
        <f t="shared" si="20"/>
        <v>✗ ERROR: Revisa datos</v>
      </c>
      <c r="S262" t="str">
        <f t="shared" ca="1" si="16"/>
        <v/>
      </c>
      <c r="T262" t="str">
        <f>IF(E262="USD",F262,IF(E262="CRC",F262/CONFIG!$B$5,""))</f>
        <v/>
      </c>
      <c r="U262" t="str">
        <f t="shared" si="17"/>
        <v/>
      </c>
      <c r="V262" t="str">
        <f t="shared" ca="1" si="18"/>
        <v/>
      </c>
      <c r="W262" t="str">
        <f t="shared" ca="1" si="19"/>
        <v/>
      </c>
    </row>
    <row r="263" spans="17:23" x14ac:dyDescent="0.25">
      <c r="Q263">
        <f>IF(E263="USD",CONFIG!$B$5,1)</f>
        <v>1</v>
      </c>
      <c r="R263" t="str">
        <f t="shared" si="20"/>
        <v>✗ ERROR: Revisa datos</v>
      </c>
      <c r="S263" t="str">
        <f t="shared" ref="S263:S326" ca="1" si="21">IF(A263&lt;&gt;"",TODAY()-A263,"")</f>
        <v/>
      </c>
      <c r="T263" t="str">
        <f>IF(E263="USD",F263,IF(E263="CRC",F263/CONFIG!$B$5,""))</f>
        <v/>
      </c>
      <c r="U263" t="str">
        <f t="shared" ref="U263:U326" si="22">IF(A263&lt;&gt;"",A263+30,"")</f>
        <v/>
      </c>
      <c r="V263" t="str">
        <f t="shared" ref="V263:V326" ca="1" si="23">IF(AND(C263="CxP",S263&gt;60),"Alta",IF(AND(C263="CxP",S263&gt;30),"Media",IF(C263="CxP","Baja","")))</f>
        <v/>
      </c>
      <c r="W263" t="str">
        <f t="shared" ref="W263:W326" ca="1" si="24">IF(AND(C263="CxC",S263&gt;90),"Alta",IF(AND(C263="CxC",S263&gt;60),"Media",IF(C263="CxC","Baja","")))</f>
        <v/>
      </c>
    </row>
    <row r="264" spans="17:23" x14ac:dyDescent="0.25">
      <c r="Q264">
        <f>IF(E264="USD",CONFIG!$B$5,1)</f>
        <v>1</v>
      </c>
      <c r="R264" t="str">
        <f t="shared" si="20"/>
        <v>✗ ERROR: Revisa datos</v>
      </c>
      <c r="S264" t="str">
        <f t="shared" ca="1" si="21"/>
        <v/>
      </c>
      <c r="T264" t="str">
        <f>IF(E264="USD",F264,IF(E264="CRC",F264/CONFIG!$B$5,""))</f>
        <v/>
      </c>
      <c r="U264" t="str">
        <f t="shared" si="22"/>
        <v/>
      </c>
      <c r="V264" t="str">
        <f t="shared" ca="1" si="23"/>
        <v/>
      </c>
      <c r="W264" t="str">
        <f t="shared" ca="1" si="24"/>
        <v/>
      </c>
    </row>
    <row r="265" spans="17:23" x14ac:dyDescent="0.25">
      <c r="Q265">
        <f>IF(E265="USD",CONFIG!$B$5,1)</f>
        <v>1</v>
      </c>
      <c r="R265" t="str">
        <f t="shared" si="20"/>
        <v>✗ ERROR: Revisa datos</v>
      </c>
      <c r="S265" t="str">
        <f t="shared" ca="1" si="21"/>
        <v/>
      </c>
      <c r="T265" t="str">
        <f>IF(E265="USD",F265,IF(E265="CRC",F265/CONFIG!$B$5,""))</f>
        <v/>
      </c>
      <c r="U265" t="str">
        <f t="shared" si="22"/>
        <v/>
      </c>
      <c r="V265" t="str">
        <f t="shared" ca="1" si="23"/>
        <v/>
      </c>
      <c r="W265" t="str">
        <f t="shared" ca="1" si="24"/>
        <v/>
      </c>
    </row>
    <row r="266" spans="17:23" x14ac:dyDescent="0.25">
      <c r="Q266">
        <f>IF(E266="USD",CONFIG!$B$5,1)</f>
        <v>1</v>
      </c>
      <c r="R266" t="str">
        <f t="shared" si="20"/>
        <v>✗ ERROR: Revisa datos</v>
      </c>
      <c r="S266" t="str">
        <f t="shared" ca="1" si="21"/>
        <v/>
      </c>
      <c r="T266" t="str">
        <f>IF(E266="USD",F266,IF(E266="CRC",F266/CONFIG!$B$5,""))</f>
        <v/>
      </c>
      <c r="U266" t="str">
        <f t="shared" si="22"/>
        <v/>
      </c>
      <c r="V266" t="str">
        <f t="shared" ca="1" si="23"/>
        <v/>
      </c>
      <c r="W266" t="str">
        <f t="shared" ca="1" si="24"/>
        <v/>
      </c>
    </row>
    <row r="267" spans="17:23" x14ac:dyDescent="0.25">
      <c r="Q267">
        <f>IF(E267="USD",CONFIG!$B$5,1)</f>
        <v>1</v>
      </c>
      <c r="R267" t="str">
        <f t="shared" si="20"/>
        <v>✗ ERROR: Revisa datos</v>
      </c>
      <c r="S267" t="str">
        <f t="shared" ca="1" si="21"/>
        <v/>
      </c>
      <c r="T267" t="str">
        <f>IF(E267="USD",F267,IF(E267="CRC",F267/CONFIG!$B$5,""))</f>
        <v/>
      </c>
      <c r="U267" t="str">
        <f t="shared" si="22"/>
        <v/>
      </c>
      <c r="V267" t="str">
        <f t="shared" ca="1" si="23"/>
        <v/>
      </c>
      <c r="W267" t="str">
        <f t="shared" ca="1" si="24"/>
        <v/>
      </c>
    </row>
    <row r="268" spans="17:23" x14ac:dyDescent="0.25">
      <c r="Q268">
        <f>IF(E268="USD",CONFIG!$B$5,1)</f>
        <v>1</v>
      </c>
      <c r="R268" t="str">
        <f t="shared" si="20"/>
        <v>✗ ERROR: Revisa datos</v>
      </c>
      <c r="S268" t="str">
        <f t="shared" ca="1" si="21"/>
        <v/>
      </c>
      <c r="T268" t="str">
        <f>IF(E268="USD",F268,IF(E268="CRC",F268/CONFIG!$B$5,""))</f>
        <v/>
      </c>
      <c r="U268" t="str">
        <f t="shared" si="22"/>
        <v/>
      </c>
      <c r="V268" t="str">
        <f t="shared" ca="1" si="23"/>
        <v/>
      </c>
      <c r="W268" t="str">
        <f t="shared" ca="1" si="24"/>
        <v/>
      </c>
    </row>
    <row r="269" spans="17:23" x14ac:dyDescent="0.25">
      <c r="Q269">
        <f>IF(E269="USD",CONFIG!$B$5,1)</f>
        <v>1</v>
      </c>
      <c r="R269" t="str">
        <f t="shared" si="20"/>
        <v>✗ ERROR: Revisa datos</v>
      </c>
      <c r="S269" t="str">
        <f t="shared" ca="1" si="21"/>
        <v/>
      </c>
      <c r="T269" t="str">
        <f>IF(E269="USD",F269,IF(E269="CRC",F269/CONFIG!$B$5,""))</f>
        <v/>
      </c>
      <c r="U269" t="str">
        <f t="shared" si="22"/>
        <v/>
      </c>
      <c r="V269" t="str">
        <f t="shared" ca="1" si="23"/>
        <v/>
      </c>
      <c r="W269" t="str">
        <f t="shared" ca="1" si="24"/>
        <v/>
      </c>
    </row>
    <row r="270" spans="17:23" x14ac:dyDescent="0.25">
      <c r="Q270">
        <f>IF(E270="USD",CONFIG!$B$5,1)</f>
        <v>1</v>
      </c>
      <c r="R270" t="str">
        <f t="shared" si="20"/>
        <v>✗ ERROR: Revisa datos</v>
      </c>
      <c r="S270" t="str">
        <f t="shared" ca="1" si="21"/>
        <v/>
      </c>
      <c r="T270" t="str">
        <f>IF(E270="USD",F270,IF(E270="CRC",F270/CONFIG!$B$5,""))</f>
        <v/>
      </c>
      <c r="U270" t="str">
        <f t="shared" si="22"/>
        <v/>
      </c>
      <c r="V270" t="str">
        <f t="shared" ca="1" si="23"/>
        <v/>
      </c>
      <c r="W270" t="str">
        <f t="shared" ca="1" si="24"/>
        <v/>
      </c>
    </row>
    <row r="271" spans="17:23" x14ac:dyDescent="0.25">
      <c r="Q271">
        <f>IF(E271="USD",CONFIG!$B$5,1)</f>
        <v>1</v>
      </c>
      <c r="R271" t="str">
        <f t="shared" si="20"/>
        <v>✗ ERROR: Revisa datos</v>
      </c>
      <c r="S271" t="str">
        <f t="shared" ca="1" si="21"/>
        <v/>
      </c>
      <c r="T271" t="str">
        <f>IF(E271="USD",F271,IF(E271="CRC",F271/CONFIG!$B$5,""))</f>
        <v/>
      </c>
      <c r="U271" t="str">
        <f t="shared" si="22"/>
        <v/>
      </c>
      <c r="V271" t="str">
        <f t="shared" ca="1" si="23"/>
        <v/>
      </c>
      <c r="W271" t="str">
        <f t="shared" ca="1" si="24"/>
        <v/>
      </c>
    </row>
    <row r="272" spans="17:23" x14ac:dyDescent="0.25">
      <c r="Q272">
        <f>IF(E272="USD",CONFIG!$B$5,1)</f>
        <v>1</v>
      </c>
      <c r="R272" t="str">
        <f t="shared" si="20"/>
        <v>✗ ERROR: Revisa datos</v>
      </c>
      <c r="S272" t="str">
        <f t="shared" ca="1" si="21"/>
        <v/>
      </c>
      <c r="T272" t="str">
        <f>IF(E272="USD",F272,IF(E272="CRC",F272/CONFIG!$B$5,""))</f>
        <v/>
      </c>
      <c r="U272" t="str">
        <f t="shared" si="22"/>
        <v/>
      </c>
      <c r="V272" t="str">
        <f t="shared" ca="1" si="23"/>
        <v/>
      </c>
      <c r="W272" t="str">
        <f t="shared" ca="1" si="24"/>
        <v/>
      </c>
    </row>
    <row r="273" spans="17:23" x14ac:dyDescent="0.25">
      <c r="Q273">
        <f>IF(E273="USD",CONFIG!$B$5,1)</f>
        <v>1</v>
      </c>
      <c r="R273" t="str">
        <f t="shared" si="20"/>
        <v>✗ ERROR: Revisa datos</v>
      </c>
      <c r="S273" t="str">
        <f t="shared" ca="1" si="21"/>
        <v/>
      </c>
      <c r="T273" t="str">
        <f>IF(E273="USD",F273,IF(E273="CRC",F273/CONFIG!$B$5,""))</f>
        <v/>
      </c>
      <c r="U273" t="str">
        <f t="shared" si="22"/>
        <v/>
      </c>
      <c r="V273" t="str">
        <f t="shared" ca="1" si="23"/>
        <v/>
      </c>
      <c r="W273" t="str">
        <f t="shared" ca="1" si="24"/>
        <v/>
      </c>
    </row>
    <row r="274" spans="17:23" x14ac:dyDescent="0.25">
      <c r="Q274">
        <f>IF(E274="USD",CONFIG!$B$5,1)</f>
        <v>1</v>
      </c>
      <c r="R274" t="str">
        <f t="shared" si="20"/>
        <v>✗ ERROR: Revisa datos</v>
      </c>
      <c r="S274" t="str">
        <f t="shared" ca="1" si="21"/>
        <v/>
      </c>
      <c r="T274" t="str">
        <f>IF(E274="USD",F274,IF(E274="CRC",F274/CONFIG!$B$5,""))</f>
        <v/>
      </c>
      <c r="U274" t="str">
        <f t="shared" si="22"/>
        <v/>
      </c>
      <c r="V274" t="str">
        <f t="shared" ca="1" si="23"/>
        <v/>
      </c>
      <c r="W274" t="str">
        <f t="shared" ca="1" si="24"/>
        <v/>
      </c>
    </row>
    <row r="275" spans="17:23" x14ac:dyDescent="0.25">
      <c r="Q275">
        <f>IF(E275="USD",CONFIG!$B$5,1)</f>
        <v>1</v>
      </c>
      <c r="R275" t="str">
        <f t="shared" si="20"/>
        <v>✗ ERROR: Revisa datos</v>
      </c>
      <c r="S275" t="str">
        <f t="shared" ca="1" si="21"/>
        <v/>
      </c>
      <c r="T275" t="str">
        <f>IF(E275="USD",F275,IF(E275="CRC",F275/CONFIG!$B$5,""))</f>
        <v/>
      </c>
      <c r="U275" t="str">
        <f t="shared" si="22"/>
        <v/>
      </c>
      <c r="V275" t="str">
        <f t="shared" ca="1" si="23"/>
        <v/>
      </c>
      <c r="W275" t="str">
        <f t="shared" ca="1" si="24"/>
        <v/>
      </c>
    </row>
    <row r="276" spans="17:23" x14ac:dyDescent="0.25">
      <c r="Q276">
        <f>IF(E276="USD",CONFIG!$B$5,1)</f>
        <v>1</v>
      </c>
      <c r="R276" t="str">
        <f t="shared" si="20"/>
        <v>✗ ERROR: Revisa datos</v>
      </c>
      <c r="S276" t="str">
        <f t="shared" ca="1" si="21"/>
        <v/>
      </c>
      <c r="T276" t="str">
        <f>IF(E276="USD",F276,IF(E276="CRC",F276/CONFIG!$B$5,""))</f>
        <v/>
      </c>
      <c r="U276" t="str">
        <f t="shared" si="22"/>
        <v/>
      </c>
      <c r="V276" t="str">
        <f t="shared" ca="1" si="23"/>
        <v/>
      </c>
      <c r="W276" t="str">
        <f t="shared" ca="1" si="24"/>
        <v/>
      </c>
    </row>
    <row r="277" spans="17:23" x14ac:dyDescent="0.25">
      <c r="Q277">
        <f>IF(E277="USD",CONFIG!$B$5,1)</f>
        <v>1</v>
      </c>
      <c r="R277" t="str">
        <f t="shared" si="20"/>
        <v>✗ ERROR: Revisa datos</v>
      </c>
      <c r="S277" t="str">
        <f t="shared" ca="1" si="21"/>
        <v/>
      </c>
      <c r="T277" t="str">
        <f>IF(E277="USD",F277,IF(E277="CRC",F277/CONFIG!$B$5,""))</f>
        <v/>
      </c>
      <c r="U277" t="str">
        <f t="shared" si="22"/>
        <v/>
      </c>
      <c r="V277" t="str">
        <f t="shared" ca="1" si="23"/>
        <v/>
      </c>
      <c r="W277" t="str">
        <f t="shared" ca="1" si="24"/>
        <v/>
      </c>
    </row>
    <row r="278" spans="17:23" x14ac:dyDescent="0.25">
      <c r="Q278">
        <f>IF(E278="USD",CONFIG!$B$5,1)</f>
        <v>1</v>
      </c>
      <c r="R278" t="str">
        <f t="shared" si="20"/>
        <v>✗ ERROR: Revisa datos</v>
      </c>
      <c r="S278" t="str">
        <f t="shared" ca="1" si="21"/>
        <v/>
      </c>
      <c r="T278" t="str">
        <f>IF(E278="USD",F278,IF(E278="CRC",F278/CONFIG!$B$5,""))</f>
        <v/>
      </c>
      <c r="U278" t="str">
        <f t="shared" si="22"/>
        <v/>
      </c>
      <c r="V278" t="str">
        <f t="shared" ca="1" si="23"/>
        <v/>
      </c>
      <c r="W278" t="str">
        <f t="shared" ca="1" si="24"/>
        <v/>
      </c>
    </row>
    <row r="279" spans="17:23" x14ac:dyDescent="0.25">
      <c r="Q279">
        <f>IF(E279="USD",CONFIG!$B$5,1)</f>
        <v>1</v>
      </c>
      <c r="R279" t="str">
        <f t="shared" si="20"/>
        <v>✗ ERROR: Revisa datos</v>
      </c>
      <c r="S279" t="str">
        <f t="shared" ca="1" si="21"/>
        <v/>
      </c>
      <c r="T279" t="str">
        <f>IF(E279="USD",F279,IF(E279="CRC",F279/CONFIG!$B$5,""))</f>
        <v/>
      </c>
      <c r="U279" t="str">
        <f t="shared" si="22"/>
        <v/>
      </c>
      <c r="V279" t="str">
        <f t="shared" ca="1" si="23"/>
        <v/>
      </c>
      <c r="W279" t="str">
        <f t="shared" ca="1" si="24"/>
        <v/>
      </c>
    </row>
    <row r="280" spans="17:23" x14ac:dyDescent="0.25">
      <c r="Q280">
        <f>IF(E280="USD",CONFIG!$B$5,1)</f>
        <v>1</v>
      </c>
      <c r="R280" t="str">
        <f t="shared" si="20"/>
        <v>✗ ERROR: Revisa datos</v>
      </c>
      <c r="S280" t="str">
        <f t="shared" ca="1" si="21"/>
        <v/>
      </c>
      <c r="T280" t="str">
        <f>IF(E280="USD",F280,IF(E280="CRC",F280/CONFIG!$B$5,""))</f>
        <v/>
      </c>
      <c r="U280" t="str">
        <f t="shared" si="22"/>
        <v/>
      </c>
      <c r="V280" t="str">
        <f t="shared" ca="1" si="23"/>
        <v/>
      </c>
      <c r="W280" t="str">
        <f t="shared" ca="1" si="24"/>
        <v/>
      </c>
    </row>
    <row r="281" spans="17:23" x14ac:dyDescent="0.25">
      <c r="Q281">
        <f>IF(E281="USD",CONFIG!$B$5,1)</f>
        <v>1</v>
      </c>
      <c r="R281" t="str">
        <f t="shared" si="20"/>
        <v>✗ ERROR: Revisa datos</v>
      </c>
      <c r="S281" t="str">
        <f t="shared" ca="1" si="21"/>
        <v/>
      </c>
      <c r="T281" t="str">
        <f>IF(E281="USD",F281,IF(E281="CRC",F281/CONFIG!$B$5,""))</f>
        <v/>
      </c>
      <c r="U281" t="str">
        <f t="shared" si="22"/>
        <v/>
      </c>
      <c r="V281" t="str">
        <f t="shared" ca="1" si="23"/>
        <v/>
      </c>
      <c r="W281" t="str">
        <f t="shared" ca="1" si="24"/>
        <v/>
      </c>
    </row>
    <row r="282" spans="17:23" x14ac:dyDescent="0.25">
      <c r="Q282">
        <f>IF(E282="USD",CONFIG!$B$5,1)</f>
        <v>1</v>
      </c>
      <c r="R282" t="str">
        <f t="shared" si="20"/>
        <v>✗ ERROR: Revisa datos</v>
      </c>
      <c r="S282" t="str">
        <f t="shared" ca="1" si="21"/>
        <v/>
      </c>
      <c r="T282" t="str">
        <f>IF(E282="USD",F282,IF(E282="CRC",F282/CONFIG!$B$5,""))</f>
        <v/>
      </c>
      <c r="U282" t="str">
        <f t="shared" si="22"/>
        <v/>
      </c>
      <c r="V282" t="str">
        <f t="shared" ca="1" si="23"/>
        <v/>
      </c>
      <c r="W282" t="str">
        <f t="shared" ca="1" si="24"/>
        <v/>
      </c>
    </row>
    <row r="283" spans="17:23" x14ac:dyDescent="0.25">
      <c r="Q283">
        <f>IF(E283="USD",CONFIG!$B$5,1)</f>
        <v>1</v>
      </c>
      <c r="R283" t="str">
        <f t="shared" si="20"/>
        <v>✗ ERROR: Revisa datos</v>
      </c>
      <c r="S283" t="str">
        <f t="shared" ca="1" si="21"/>
        <v/>
      </c>
      <c r="T283" t="str">
        <f>IF(E283="USD",F283,IF(E283="CRC",F283/CONFIG!$B$5,""))</f>
        <v/>
      </c>
      <c r="U283" t="str">
        <f t="shared" si="22"/>
        <v/>
      </c>
      <c r="V283" t="str">
        <f t="shared" ca="1" si="23"/>
        <v/>
      </c>
      <c r="W283" t="str">
        <f t="shared" ca="1" si="24"/>
        <v/>
      </c>
    </row>
    <row r="284" spans="17:23" x14ac:dyDescent="0.25">
      <c r="Q284">
        <f>IF(E284="USD",CONFIG!$B$5,1)</f>
        <v>1</v>
      </c>
      <c r="R284" t="str">
        <f t="shared" si="20"/>
        <v>✗ ERROR: Revisa datos</v>
      </c>
      <c r="S284" t="str">
        <f t="shared" ca="1" si="21"/>
        <v/>
      </c>
      <c r="T284" t="str">
        <f>IF(E284="USD",F284,IF(E284="CRC",F284/CONFIG!$B$5,""))</f>
        <v/>
      </c>
      <c r="U284" t="str">
        <f t="shared" si="22"/>
        <v/>
      </c>
      <c r="V284" t="str">
        <f t="shared" ca="1" si="23"/>
        <v/>
      </c>
      <c r="W284" t="str">
        <f t="shared" ca="1" si="24"/>
        <v/>
      </c>
    </row>
    <row r="285" spans="17:23" x14ac:dyDescent="0.25">
      <c r="Q285">
        <f>IF(E285="USD",CONFIG!$B$5,1)</f>
        <v>1</v>
      </c>
      <c r="R285" t="str">
        <f t="shared" si="20"/>
        <v>✗ ERROR: Revisa datos</v>
      </c>
      <c r="S285" t="str">
        <f t="shared" ca="1" si="21"/>
        <v/>
      </c>
      <c r="T285" t="str">
        <f>IF(E285="USD",F285,IF(E285="CRC",F285/CONFIG!$B$5,""))</f>
        <v/>
      </c>
      <c r="U285" t="str">
        <f t="shared" si="22"/>
        <v/>
      </c>
      <c r="V285" t="str">
        <f t="shared" ca="1" si="23"/>
        <v/>
      </c>
      <c r="W285" t="str">
        <f t="shared" ca="1" si="24"/>
        <v/>
      </c>
    </row>
    <row r="286" spans="17:23" x14ac:dyDescent="0.25">
      <c r="Q286">
        <f>IF(E286="USD",CONFIG!$B$5,1)</f>
        <v>1</v>
      </c>
      <c r="R286" t="str">
        <f t="shared" si="20"/>
        <v>✗ ERROR: Revisa datos</v>
      </c>
      <c r="S286" t="str">
        <f t="shared" ca="1" si="21"/>
        <v/>
      </c>
      <c r="T286" t="str">
        <f>IF(E286="USD",F286,IF(E286="CRC",F286/CONFIG!$B$5,""))</f>
        <v/>
      </c>
      <c r="U286" t="str">
        <f t="shared" si="22"/>
        <v/>
      </c>
      <c r="V286" t="str">
        <f t="shared" ca="1" si="23"/>
        <v/>
      </c>
      <c r="W286" t="str">
        <f t="shared" ca="1" si="24"/>
        <v/>
      </c>
    </row>
    <row r="287" spans="17:23" x14ac:dyDescent="0.25">
      <c r="Q287">
        <f>IF(E287="USD",CONFIG!$B$5,1)</f>
        <v>1</v>
      </c>
      <c r="R287" t="str">
        <f t="shared" si="20"/>
        <v>✗ ERROR: Revisa datos</v>
      </c>
      <c r="S287" t="str">
        <f t="shared" ca="1" si="21"/>
        <v/>
      </c>
      <c r="T287" t="str">
        <f>IF(E287="USD",F287,IF(E287="CRC",F287/CONFIG!$B$5,""))</f>
        <v/>
      </c>
      <c r="U287" t="str">
        <f t="shared" si="22"/>
        <v/>
      </c>
      <c r="V287" t="str">
        <f t="shared" ca="1" si="23"/>
        <v/>
      </c>
      <c r="W287" t="str">
        <f t="shared" ca="1" si="24"/>
        <v/>
      </c>
    </row>
    <row r="288" spans="17:23" x14ac:dyDescent="0.25">
      <c r="Q288">
        <f>IF(E288="USD",CONFIG!$B$5,1)</f>
        <v>1</v>
      </c>
      <c r="R288" t="str">
        <f t="shared" si="20"/>
        <v>✗ ERROR: Revisa datos</v>
      </c>
      <c r="S288" t="str">
        <f t="shared" ca="1" si="21"/>
        <v/>
      </c>
      <c r="T288" t="str">
        <f>IF(E288="USD",F288,IF(E288="CRC",F288/CONFIG!$B$5,""))</f>
        <v/>
      </c>
      <c r="U288" t="str">
        <f t="shared" si="22"/>
        <v/>
      </c>
      <c r="V288" t="str">
        <f t="shared" ca="1" si="23"/>
        <v/>
      </c>
      <c r="W288" t="str">
        <f t="shared" ca="1" si="24"/>
        <v/>
      </c>
    </row>
    <row r="289" spans="17:23" x14ac:dyDescent="0.25">
      <c r="Q289">
        <f>IF(E289="USD",CONFIG!$B$5,1)</f>
        <v>1</v>
      </c>
      <c r="R289" t="str">
        <f t="shared" si="20"/>
        <v>✗ ERROR: Revisa datos</v>
      </c>
      <c r="S289" t="str">
        <f t="shared" ca="1" si="21"/>
        <v/>
      </c>
      <c r="T289" t="str">
        <f>IF(E289="USD",F289,IF(E289="CRC",F289/CONFIG!$B$5,""))</f>
        <v/>
      </c>
      <c r="U289" t="str">
        <f t="shared" si="22"/>
        <v/>
      </c>
      <c r="V289" t="str">
        <f t="shared" ca="1" si="23"/>
        <v/>
      </c>
      <c r="W289" t="str">
        <f t="shared" ca="1" si="24"/>
        <v/>
      </c>
    </row>
    <row r="290" spans="17:23" x14ac:dyDescent="0.25">
      <c r="Q290">
        <f>IF(E290="USD",CONFIG!$B$5,1)</f>
        <v>1</v>
      </c>
      <c r="R290" t="str">
        <f t="shared" si="20"/>
        <v>✗ ERROR: Revisa datos</v>
      </c>
      <c r="S290" t="str">
        <f t="shared" ca="1" si="21"/>
        <v/>
      </c>
      <c r="T290" t="str">
        <f>IF(E290="USD",F290,IF(E290="CRC",F290/CONFIG!$B$5,""))</f>
        <v/>
      </c>
      <c r="U290" t="str">
        <f t="shared" si="22"/>
        <v/>
      </c>
      <c r="V290" t="str">
        <f t="shared" ca="1" si="23"/>
        <v/>
      </c>
      <c r="W290" t="str">
        <f t="shared" ca="1" si="24"/>
        <v/>
      </c>
    </row>
    <row r="291" spans="17:23" x14ac:dyDescent="0.25">
      <c r="Q291">
        <f>IF(E291="USD",CONFIG!$B$5,1)</f>
        <v>1</v>
      </c>
      <c r="R291" t="str">
        <f t="shared" si="20"/>
        <v>✗ ERROR: Revisa datos</v>
      </c>
      <c r="S291" t="str">
        <f t="shared" ca="1" si="21"/>
        <v/>
      </c>
      <c r="T291" t="str">
        <f>IF(E291="USD",F291,IF(E291="CRC",F291/CONFIG!$B$5,""))</f>
        <v/>
      </c>
      <c r="U291" t="str">
        <f t="shared" si="22"/>
        <v/>
      </c>
      <c r="V291" t="str">
        <f t="shared" ca="1" si="23"/>
        <v/>
      </c>
      <c r="W291" t="str">
        <f t="shared" ca="1" si="24"/>
        <v/>
      </c>
    </row>
    <row r="292" spans="17:23" x14ac:dyDescent="0.25">
      <c r="Q292">
        <f>IF(E292="USD",CONFIG!$B$5,1)</f>
        <v>1</v>
      </c>
      <c r="R292" t="str">
        <f t="shared" si="20"/>
        <v>✗ ERROR: Revisa datos</v>
      </c>
      <c r="S292" t="str">
        <f t="shared" ca="1" si="21"/>
        <v/>
      </c>
      <c r="T292" t="str">
        <f>IF(E292="USD",F292,IF(E292="CRC",F292/CONFIG!$B$5,""))</f>
        <v/>
      </c>
      <c r="U292" t="str">
        <f t="shared" si="22"/>
        <v/>
      </c>
      <c r="V292" t="str">
        <f t="shared" ca="1" si="23"/>
        <v/>
      </c>
      <c r="W292" t="str">
        <f t="shared" ca="1" si="24"/>
        <v/>
      </c>
    </row>
    <row r="293" spans="17:23" x14ac:dyDescent="0.25">
      <c r="Q293">
        <f>IF(E293="USD",CONFIG!$B$5,1)</f>
        <v>1</v>
      </c>
      <c r="R293" t="str">
        <f t="shared" si="20"/>
        <v>✗ ERROR: Revisa datos</v>
      </c>
      <c r="S293" t="str">
        <f t="shared" ca="1" si="21"/>
        <v/>
      </c>
      <c r="T293" t="str">
        <f>IF(E293="USD",F293,IF(E293="CRC",F293/CONFIG!$B$5,""))</f>
        <v/>
      </c>
      <c r="U293" t="str">
        <f t="shared" si="22"/>
        <v/>
      </c>
      <c r="V293" t="str">
        <f t="shared" ca="1" si="23"/>
        <v/>
      </c>
      <c r="W293" t="str">
        <f t="shared" ca="1" si="24"/>
        <v/>
      </c>
    </row>
    <row r="294" spans="17:23" x14ac:dyDescent="0.25">
      <c r="Q294">
        <f>IF(E294="USD",CONFIG!$B$5,1)</f>
        <v>1</v>
      </c>
      <c r="R294" t="str">
        <f t="shared" si="20"/>
        <v>✗ ERROR: Revisa datos</v>
      </c>
      <c r="S294" t="str">
        <f t="shared" ca="1" si="21"/>
        <v/>
      </c>
      <c r="T294" t="str">
        <f>IF(E294="USD",F294,IF(E294="CRC",F294/CONFIG!$B$5,""))</f>
        <v/>
      </c>
      <c r="U294" t="str">
        <f t="shared" si="22"/>
        <v/>
      </c>
      <c r="V294" t="str">
        <f t="shared" ca="1" si="23"/>
        <v/>
      </c>
      <c r="W294" t="str">
        <f t="shared" ca="1" si="24"/>
        <v/>
      </c>
    </row>
    <row r="295" spans="17:23" x14ac:dyDescent="0.25">
      <c r="Q295">
        <f>IF(E295="USD",CONFIG!$B$5,1)</f>
        <v>1</v>
      </c>
      <c r="R295" t="str">
        <f t="shared" si="20"/>
        <v>✗ ERROR: Revisa datos</v>
      </c>
      <c r="S295" t="str">
        <f t="shared" ca="1" si="21"/>
        <v/>
      </c>
      <c r="T295" t="str">
        <f>IF(E295="USD",F295,IF(E295="CRC",F295/CONFIG!$B$5,""))</f>
        <v/>
      </c>
      <c r="U295" t="str">
        <f t="shared" si="22"/>
        <v/>
      </c>
      <c r="V295" t="str">
        <f t="shared" ca="1" si="23"/>
        <v/>
      </c>
      <c r="W295" t="str">
        <f t="shared" ca="1" si="24"/>
        <v/>
      </c>
    </row>
    <row r="296" spans="17:23" x14ac:dyDescent="0.25">
      <c r="Q296">
        <f>IF(E296="USD",CONFIG!$B$5,1)</f>
        <v>1</v>
      </c>
      <c r="R296" t="str">
        <f t="shared" si="20"/>
        <v>✗ ERROR: Revisa datos</v>
      </c>
      <c r="S296" t="str">
        <f t="shared" ca="1" si="21"/>
        <v/>
      </c>
      <c r="T296" t="str">
        <f>IF(E296="USD",F296,IF(E296="CRC",F296/CONFIG!$B$5,""))</f>
        <v/>
      </c>
      <c r="U296" t="str">
        <f t="shared" si="22"/>
        <v/>
      </c>
      <c r="V296" t="str">
        <f t="shared" ca="1" si="23"/>
        <v/>
      </c>
      <c r="W296" t="str">
        <f t="shared" ca="1" si="24"/>
        <v/>
      </c>
    </row>
    <row r="297" spans="17:23" x14ac:dyDescent="0.25">
      <c r="Q297">
        <f>IF(E297="USD",CONFIG!$B$5,1)</f>
        <v>1</v>
      </c>
      <c r="R297" t="str">
        <f t="shared" si="20"/>
        <v>✗ ERROR: Revisa datos</v>
      </c>
      <c r="S297" t="str">
        <f t="shared" ca="1" si="21"/>
        <v/>
      </c>
      <c r="T297" t="str">
        <f>IF(E297="USD",F297,IF(E297="CRC",F297/CONFIG!$B$5,""))</f>
        <v/>
      </c>
      <c r="U297" t="str">
        <f t="shared" si="22"/>
        <v/>
      </c>
      <c r="V297" t="str">
        <f t="shared" ca="1" si="23"/>
        <v/>
      </c>
      <c r="W297" t="str">
        <f t="shared" ca="1" si="24"/>
        <v/>
      </c>
    </row>
    <row r="298" spans="17:23" x14ac:dyDescent="0.25">
      <c r="Q298">
        <f>IF(E298="USD",CONFIG!$B$5,1)</f>
        <v>1</v>
      </c>
      <c r="R298" t="str">
        <f t="shared" si="20"/>
        <v>✗ ERROR: Revisa datos</v>
      </c>
      <c r="S298" t="str">
        <f t="shared" ca="1" si="21"/>
        <v/>
      </c>
      <c r="T298" t="str">
        <f>IF(E298="USD",F298,IF(E298="CRC",F298/CONFIG!$B$5,""))</f>
        <v/>
      </c>
      <c r="U298" t="str">
        <f t="shared" si="22"/>
        <v/>
      </c>
      <c r="V298" t="str">
        <f t="shared" ca="1" si="23"/>
        <v/>
      </c>
      <c r="W298" t="str">
        <f t="shared" ca="1" si="24"/>
        <v/>
      </c>
    </row>
    <row r="299" spans="17:23" x14ac:dyDescent="0.25">
      <c r="Q299">
        <f>IF(E299="USD",CONFIG!$B$5,1)</f>
        <v>1</v>
      </c>
      <c r="R299" t="str">
        <f t="shared" si="20"/>
        <v>✗ ERROR: Revisa datos</v>
      </c>
      <c r="S299" t="str">
        <f t="shared" ca="1" si="21"/>
        <v/>
      </c>
      <c r="T299" t="str">
        <f>IF(E299="USD",F299,IF(E299="CRC",F299/CONFIG!$B$5,""))</f>
        <v/>
      </c>
      <c r="U299" t="str">
        <f t="shared" si="22"/>
        <v/>
      </c>
      <c r="V299" t="str">
        <f t="shared" ca="1" si="23"/>
        <v/>
      </c>
      <c r="W299" t="str">
        <f t="shared" ca="1" si="24"/>
        <v/>
      </c>
    </row>
    <row r="300" spans="17:23" x14ac:dyDescent="0.25">
      <c r="Q300">
        <f>IF(E300="USD",CONFIG!$B$5,1)</f>
        <v>1</v>
      </c>
      <c r="R300" t="str">
        <f t="shared" si="20"/>
        <v>✗ ERROR: Revisa datos</v>
      </c>
      <c r="S300" t="str">
        <f t="shared" ca="1" si="21"/>
        <v/>
      </c>
      <c r="T300" t="str">
        <f>IF(E300="USD",F300,IF(E300="CRC",F300/CONFIG!$B$5,""))</f>
        <v/>
      </c>
      <c r="U300" t="str">
        <f t="shared" si="22"/>
        <v/>
      </c>
      <c r="V300" t="str">
        <f t="shared" ca="1" si="23"/>
        <v/>
      </c>
      <c r="W300" t="str">
        <f t="shared" ca="1" si="24"/>
        <v/>
      </c>
    </row>
    <row r="301" spans="17:23" x14ac:dyDescent="0.25">
      <c r="Q301">
        <f>IF(E301="USD",CONFIG!$B$5,1)</f>
        <v>1</v>
      </c>
      <c r="R301" t="str">
        <f t="shared" si="20"/>
        <v>✗ ERROR: Revisa datos</v>
      </c>
      <c r="S301" t="str">
        <f t="shared" ca="1" si="21"/>
        <v/>
      </c>
      <c r="T301" t="str">
        <f>IF(E301="USD",F301,IF(E301="CRC",F301/CONFIG!$B$5,""))</f>
        <v/>
      </c>
      <c r="U301" t="str">
        <f t="shared" si="22"/>
        <v/>
      </c>
      <c r="V301" t="str">
        <f t="shared" ca="1" si="23"/>
        <v/>
      </c>
      <c r="W301" t="str">
        <f t="shared" ca="1" si="24"/>
        <v/>
      </c>
    </row>
    <row r="302" spans="17:23" x14ac:dyDescent="0.25">
      <c r="Q302">
        <f>IF(E302="USD",CONFIG!$B$5,1)</f>
        <v>1</v>
      </c>
      <c r="R302" t="str">
        <f t="shared" si="20"/>
        <v>✗ ERROR: Revisa datos</v>
      </c>
      <c r="S302" t="str">
        <f t="shared" ca="1" si="21"/>
        <v/>
      </c>
      <c r="T302" t="str">
        <f>IF(E302="USD",F302,IF(E302="CRC",F302/CONFIG!$B$5,""))</f>
        <v/>
      </c>
      <c r="U302" t="str">
        <f t="shared" si="22"/>
        <v/>
      </c>
      <c r="V302" t="str">
        <f t="shared" ca="1" si="23"/>
        <v/>
      </c>
      <c r="W302" t="str">
        <f t="shared" ca="1" si="24"/>
        <v/>
      </c>
    </row>
    <row r="303" spans="17:23" x14ac:dyDescent="0.25">
      <c r="Q303">
        <f>IF(E303="USD",CONFIG!$B$5,1)</f>
        <v>1</v>
      </c>
      <c r="R303" t="str">
        <f t="shared" si="20"/>
        <v>✗ ERROR: Revisa datos</v>
      </c>
      <c r="S303" t="str">
        <f t="shared" ca="1" si="21"/>
        <v/>
      </c>
      <c r="T303" t="str">
        <f>IF(E303="USD",F303,IF(E303="CRC",F303/CONFIG!$B$5,""))</f>
        <v/>
      </c>
      <c r="U303" t="str">
        <f t="shared" si="22"/>
        <v/>
      </c>
      <c r="V303" t="str">
        <f t="shared" ca="1" si="23"/>
        <v/>
      </c>
      <c r="W303" t="str">
        <f t="shared" ca="1" si="24"/>
        <v/>
      </c>
    </row>
    <row r="304" spans="17:23" x14ac:dyDescent="0.25">
      <c r="Q304">
        <f>IF(E304="USD",CONFIG!$B$5,1)</f>
        <v>1</v>
      </c>
      <c r="R304" t="str">
        <f t="shared" si="20"/>
        <v>✗ ERROR: Revisa datos</v>
      </c>
      <c r="S304" t="str">
        <f t="shared" ca="1" si="21"/>
        <v/>
      </c>
      <c r="T304" t="str">
        <f>IF(E304="USD",F304,IF(E304="CRC",F304/CONFIG!$B$5,""))</f>
        <v/>
      </c>
      <c r="U304" t="str">
        <f t="shared" si="22"/>
        <v/>
      </c>
      <c r="V304" t="str">
        <f t="shared" ca="1" si="23"/>
        <v/>
      </c>
      <c r="W304" t="str">
        <f t="shared" ca="1" si="24"/>
        <v/>
      </c>
    </row>
    <row r="305" spans="17:23" x14ac:dyDescent="0.25">
      <c r="Q305">
        <f>IF(E305="USD",CONFIG!$B$5,1)</f>
        <v>1</v>
      </c>
      <c r="R305" t="str">
        <f t="shared" si="20"/>
        <v>✗ ERROR: Revisa datos</v>
      </c>
      <c r="S305" t="str">
        <f t="shared" ca="1" si="21"/>
        <v/>
      </c>
      <c r="T305" t="str">
        <f>IF(E305="USD",F305,IF(E305="CRC",F305/CONFIG!$B$5,""))</f>
        <v/>
      </c>
      <c r="U305" t="str">
        <f t="shared" si="22"/>
        <v/>
      </c>
      <c r="V305" t="str">
        <f t="shared" ca="1" si="23"/>
        <v/>
      </c>
      <c r="W305" t="str">
        <f t="shared" ca="1" si="24"/>
        <v/>
      </c>
    </row>
    <row r="306" spans="17:23" x14ac:dyDescent="0.25">
      <c r="Q306">
        <f>IF(E306="USD",CONFIG!$B$5,1)</f>
        <v>1</v>
      </c>
      <c r="R306" t="str">
        <f t="shared" si="20"/>
        <v>✗ ERROR: Revisa datos</v>
      </c>
      <c r="S306" t="str">
        <f t="shared" ca="1" si="21"/>
        <v/>
      </c>
      <c r="T306" t="str">
        <f>IF(E306="USD",F306,IF(E306="CRC",F306/CONFIG!$B$5,""))</f>
        <v/>
      </c>
      <c r="U306" t="str">
        <f t="shared" si="22"/>
        <v/>
      </c>
      <c r="V306" t="str">
        <f t="shared" ca="1" si="23"/>
        <v/>
      </c>
      <c r="W306" t="str">
        <f t="shared" ca="1" si="24"/>
        <v/>
      </c>
    </row>
    <row r="307" spans="17:23" x14ac:dyDescent="0.25">
      <c r="Q307">
        <f>IF(E307="USD",CONFIG!$B$5,1)</f>
        <v>1</v>
      </c>
      <c r="R307" t="str">
        <f t="shared" si="20"/>
        <v>✗ ERROR: Revisa datos</v>
      </c>
      <c r="S307" t="str">
        <f t="shared" ca="1" si="21"/>
        <v/>
      </c>
      <c r="T307" t="str">
        <f>IF(E307="USD",F307,IF(E307="CRC",F307/CONFIG!$B$5,""))</f>
        <v/>
      </c>
      <c r="U307" t="str">
        <f t="shared" si="22"/>
        <v/>
      </c>
      <c r="V307" t="str">
        <f t="shared" ca="1" si="23"/>
        <v/>
      </c>
      <c r="W307" t="str">
        <f t="shared" ca="1" si="24"/>
        <v/>
      </c>
    </row>
    <row r="308" spans="17:23" x14ac:dyDescent="0.25">
      <c r="Q308">
        <f>IF(E308="USD",CONFIG!$B$5,1)</f>
        <v>1</v>
      </c>
      <c r="R308" t="str">
        <f t="shared" si="20"/>
        <v>✗ ERROR: Revisa datos</v>
      </c>
      <c r="S308" t="str">
        <f t="shared" ca="1" si="21"/>
        <v/>
      </c>
      <c r="T308" t="str">
        <f>IF(E308="USD",F308,IF(E308="CRC",F308/CONFIG!$B$5,""))</f>
        <v/>
      </c>
      <c r="U308" t="str">
        <f t="shared" si="22"/>
        <v/>
      </c>
      <c r="V308" t="str">
        <f t="shared" ca="1" si="23"/>
        <v/>
      </c>
      <c r="W308" t="str">
        <f t="shared" ca="1" si="24"/>
        <v/>
      </c>
    </row>
    <row r="309" spans="17:23" x14ac:dyDescent="0.25">
      <c r="Q309">
        <f>IF(E309="USD",CONFIG!$B$5,1)</f>
        <v>1</v>
      </c>
      <c r="R309" t="str">
        <f t="shared" si="20"/>
        <v>✗ ERROR: Revisa datos</v>
      </c>
      <c r="S309" t="str">
        <f t="shared" ca="1" si="21"/>
        <v/>
      </c>
      <c r="T309" t="str">
        <f>IF(E309="USD",F309,IF(E309="CRC",F309/CONFIG!$B$5,""))</f>
        <v/>
      </c>
      <c r="U309" t="str">
        <f t="shared" si="22"/>
        <v/>
      </c>
      <c r="V309" t="str">
        <f t="shared" ca="1" si="23"/>
        <v/>
      </c>
      <c r="W309" t="str">
        <f t="shared" ca="1" si="24"/>
        <v/>
      </c>
    </row>
    <row r="310" spans="17:23" x14ac:dyDescent="0.25">
      <c r="Q310">
        <f>IF(E310="USD",CONFIG!$B$5,1)</f>
        <v>1</v>
      </c>
      <c r="R310" t="str">
        <f t="shared" si="20"/>
        <v>✗ ERROR: Revisa datos</v>
      </c>
      <c r="S310" t="str">
        <f t="shared" ca="1" si="21"/>
        <v/>
      </c>
      <c r="T310" t="str">
        <f>IF(E310="USD",F310,IF(E310="CRC",F310/CONFIG!$B$5,""))</f>
        <v/>
      </c>
      <c r="U310" t="str">
        <f t="shared" si="22"/>
        <v/>
      </c>
      <c r="V310" t="str">
        <f t="shared" ca="1" si="23"/>
        <v/>
      </c>
      <c r="W310" t="str">
        <f t="shared" ca="1" si="24"/>
        <v/>
      </c>
    </row>
    <row r="311" spans="17:23" x14ac:dyDescent="0.25">
      <c r="Q311">
        <f>IF(E311="USD",CONFIG!$B$5,1)</f>
        <v>1</v>
      </c>
      <c r="R311" t="str">
        <f t="shared" si="20"/>
        <v>✗ ERROR: Revisa datos</v>
      </c>
      <c r="S311" t="str">
        <f t="shared" ca="1" si="21"/>
        <v/>
      </c>
      <c r="T311" t="str">
        <f>IF(E311="USD",F311,IF(E311="CRC",F311/CONFIG!$B$5,""))</f>
        <v/>
      </c>
      <c r="U311" t="str">
        <f t="shared" si="22"/>
        <v/>
      </c>
      <c r="V311" t="str">
        <f t="shared" ca="1" si="23"/>
        <v/>
      </c>
      <c r="W311" t="str">
        <f t="shared" ca="1" si="24"/>
        <v/>
      </c>
    </row>
    <row r="312" spans="17:23" x14ac:dyDescent="0.25">
      <c r="Q312">
        <f>IF(E312="USD",CONFIG!$B$5,1)</f>
        <v>1</v>
      </c>
      <c r="R312" t="str">
        <f t="shared" si="20"/>
        <v>✗ ERROR: Revisa datos</v>
      </c>
      <c r="S312" t="str">
        <f t="shared" ca="1" si="21"/>
        <v/>
      </c>
      <c r="T312" t="str">
        <f>IF(E312="USD",F312,IF(E312="CRC",F312/CONFIG!$B$5,""))</f>
        <v/>
      </c>
      <c r="U312" t="str">
        <f t="shared" si="22"/>
        <v/>
      </c>
      <c r="V312" t="str">
        <f t="shared" ca="1" si="23"/>
        <v/>
      </c>
      <c r="W312" t="str">
        <f t="shared" ca="1" si="24"/>
        <v/>
      </c>
    </row>
    <row r="313" spans="17:23" x14ac:dyDescent="0.25">
      <c r="Q313">
        <f>IF(E313="USD",CONFIG!$B$5,1)</f>
        <v>1</v>
      </c>
      <c r="R313" t="str">
        <f t="shared" si="20"/>
        <v>✗ ERROR: Revisa datos</v>
      </c>
      <c r="S313" t="str">
        <f t="shared" ca="1" si="21"/>
        <v/>
      </c>
      <c r="T313" t="str">
        <f>IF(E313="USD",F313,IF(E313="CRC",F313/CONFIG!$B$5,""))</f>
        <v/>
      </c>
      <c r="U313" t="str">
        <f t="shared" si="22"/>
        <v/>
      </c>
      <c r="V313" t="str">
        <f t="shared" ca="1" si="23"/>
        <v/>
      </c>
      <c r="W313" t="str">
        <f t="shared" ca="1" si="24"/>
        <v/>
      </c>
    </row>
    <row r="314" spans="17:23" x14ac:dyDescent="0.25">
      <c r="Q314">
        <f>IF(E314="USD",CONFIG!$B$5,1)</f>
        <v>1</v>
      </c>
      <c r="R314" t="str">
        <f t="shared" si="20"/>
        <v>✗ ERROR: Revisa datos</v>
      </c>
      <c r="S314" t="str">
        <f t="shared" ca="1" si="21"/>
        <v/>
      </c>
      <c r="T314" t="str">
        <f>IF(E314="USD",F314,IF(E314="CRC",F314/CONFIG!$B$5,""))</f>
        <v/>
      </c>
      <c r="U314" t="str">
        <f t="shared" si="22"/>
        <v/>
      </c>
      <c r="V314" t="str">
        <f t="shared" ca="1" si="23"/>
        <v/>
      </c>
      <c r="W314" t="str">
        <f t="shared" ca="1" si="24"/>
        <v/>
      </c>
    </row>
    <row r="315" spans="17:23" x14ac:dyDescent="0.25">
      <c r="Q315">
        <f>IF(E315="USD",CONFIG!$B$5,1)</f>
        <v>1</v>
      </c>
      <c r="R315" t="str">
        <f t="shared" si="20"/>
        <v>✗ ERROR: Revisa datos</v>
      </c>
      <c r="S315" t="str">
        <f t="shared" ca="1" si="21"/>
        <v/>
      </c>
      <c r="T315" t="str">
        <f>IF(E315="USD",F315,IF(E315="CRC",F315/CONFIG!$B$5,""))</f>
        <v/>
      </c>
      <c r="U315" t="str">
        <f t="shared" si="22"/>
        <v/>
      </c>
      <c r="V315" t="str">
        <f t="shared" ca="1" si="23"/>
        <v/>
      </c>
      <c r="W315" t="str">
        <f t="shared" ca="1" si="24"/>
        <v/>
      </c>
    </row>
    <row r="316" spans="17:23" x14ac:dyDescent="0.25">
      <c r="Q316">
        <f>IF(E316="USD",CONFIG!$B$5,1)</f>
        <v>1</v>
      </c>
      <c r="R316" t="str">
        <f t="shared" si="20"/>
        <v>✗ ERROR: Revisa datos</v>
      </c>
      <c r="S316" t="str">
        <f t="shared" ca="1" si="21"/>
        <v/>
      </c>
      <c r="T316" t="str">
        <f>IF(E316="USD",F316,IF(E316="CRC",F316/CONFIG!$B$5,""))</f>
        <v/>
      </c>
      <c r="U316" t="str">
        <f t="shared" si="22"/>
        <v/>
      </c>
      <c r="V316" t="str">
        <f t="shared" ca="1" si="23"/>
        <v/>
      </c>
      <c r="W316" t="str">
        <f t="shared" ca="1" si="24"/>
        <v/>
      </c>
    </row>
    <row r="317" spans="17:23" x14ac:dyDescent="0.25">
      <c r="Q317">
        <f>IF(E317="USD",CONFIG!$B$5,1)</f>
        <v>1</v>
      </c>
      <c r="R317" t="str">
        <f t="shared" si="20"/>
        <v>✗ ERROR: Revisa datos</v>
      </c>
      <c r="S317" t="str">
        <f t="shared" ca="1" si="21"/>
        <v/>
      </c>
      <c r="T317" t="str">
        <f>IF(E317="USD",F317,IF(E317="CRC",F317/CONFIG!$B$5,""))</f>
        <v/>
      </c>
      <c r="U317" t="str">
        <f t="shared" si="22"/>
        <v/>
      </c>
      <c r="V317" t="str">
        <f t="shared" ca="1" si="23"/>
        <v/>
      </c>
      <c r="W317" t="str">
        <f t="shared" ca="1" si="24"/>
        <v/>
      </c>
    </row>
    <row r="318" spans="17:23" x14ac:dyDescent="0.25">
      <c r="Q318">
        <f>IF(E318="USD",CONFIG!$B$5,1)</f>
        <v>1</v>
      </c>
      <c r="R318" t="str">
        <f t="shared" si="20"/>
        <v>✗ ERROR: Revisa datos</v>
      </c>
      <c r="S318" t="str">
        <f t="shared" ca="1" si="21"/>
        <v/>
      </c>
      <c r="T318" t="str">
        <f>IF(E318="USD",F318,IF(E318="CRC",F318/CONFIG!$B$5,""))</f>
        <v/>
      </c>
      <c r="U318" t="str">
        <f t="shared" si="22"/>
        <v/>
      </c>
      <c r="V318" t="str">
        <f t="shared" ca="1" si="23"/>
        <v/>
      </c>
      <c r="W318" t="str">
        <f t="shared" ca="1" si="24"/>
        <v/>
      </c>
    </row>
    <row r="319" spans="17:23" x14ac:dyDescent="0.25">
      <c r="Q319">
        <f>IF(E319="USD",CONFIG!$B$5,1)</f>
        <v>1</v>
      </c>
      <c r="R319" t="str">
        <f t="shared" si="20"/>
        <v>✗ ERROR: Revisa datos</v>
      </c>
      <c r="S319" t="str">
        <f t="shared" ca="1" si="21"/>
        <v/>
      </c>
      <c r="T319" t="str">
        <f>IF(E319="USD",F319,IF(E319="CRC",F319/CONFIG!$B$5,""))</f>
        <v/>
      </c>
      <c r="U319" t="str">
        <f t="shared" si="22"/>
        <v/>
      </c>
      <c r="V319" t="str">
        <f t="shared" ca="1" si="23"/>
        <v/>
      </c>
      <c r="W319" t="str">
        <f t="shared" ca="1" si="24"/>
        <v/>
      </c>
    </row>
    <row r="320" spans="17:23" x14ac:dyDescent="0.25">
      <c r="Q320">
        <f>IF(E320="USD",CONFIG!$B$5,1)</f>
        <v>1</v>
      </c>
      <c r="R320" t="str">
        <f t="shared" si="20"/>
        <v>✗ ERROR: Revisa datos</v>
      </c>
      <c r="S320" t="str">
        <f t="shared" ca="1" si="21"/>
        <v/>
      </c>
      <c r="T320" t="str">
        <f>IF(E320="USD",F320,IF(E320="CRC",F320/CONFIG!$B$5,""))</f>
        <v/>
      </c>
      <c r="U320" t="str">
        <f t="shared" si="22"/>
        <v/>
      </c>
      <c r="V320" t="str">
        <f t="shared" ca="1" si="23"/>
        <v/>
      </c>
      <c r="W320" t="str">
        <f t="shared" ca="1" si="24"/>
        <v/>
      </c>
    </row>
    <row r="321" spans="17:23" x14ac:dyDescent="0.25">
      <c r="Q321">
        <f>IF(E321="USD",CONFIG!$B$5,1)</f>
        <v>1</v>
      </c>
      <c r="R321" t="str">
        <f t="shared" si="20"/>
        <v>✗ ERROR: Revisa datos</v>
      </c>
      <c r="S321" t="str">
        <f t="shared" ca="1" si="21"/>
        <v/>
      </c>
      <c r="T321" t="str">
        <f>IF(E321="USD",F321,IF(E321="CRC",F321/CONFIG!$B$5,""))</f>
        <v/>
      </c>
      <c r="U321" t="str">
        <f t="shared" si="22"/>
        <v/>
      </c>
      <c r="V321" t="str">
        <f t="shared" ca="1" si="23"/>
        <v/>
      </c>
      <c r="W321" t="str">
        <f t="shared" ca="1" si="24"/>
        <v/>
      </c>
    </row>
    <row r="322" spans="17:23" x14ac:dyDescent="0.25">
      <c r="Q322">
        <f>IF(E322="USD",CONFIG!$B$5,1)</f>
        <v>1</v>
      </c>
      <c r="R322" t="str">
        <f t="shared" si="20"/>
        <v>✗ ERROR: Revisa datos</v>
      </c>
      <c r="S322" t="str">
        <f t="shared" ca="1" si="21"/>
        <v/>
      </c>
      <c r="T322" t="str">
        <f>IF(E322="USD",F322,IF(E322="CRC",F322/CONFIG!$B$5,""))</f>
        <v/>
      </c>
      <c r="U322" t="str">
        <f t="shared" si="22"/>
        <v/>
      </c>
      <c r="V322" t="str">
        <f t="shared" ca="1" si="23"/>
        <v/>
      </c>
      <c r="W322" t="str">
        <f t="shared" ca="1" si="24"/>
        <v/>
      </c>
    </row>
    <row r="323" spans="17:23" x14ac:dyDescent="0.25">
      <c r="Q323">
        <f>IF(E323="USD",CONFIG!$B$5,1)</f>
        <v>1</v>
      </c>
      <c r="R323" t="str">
        <f t="shared" ref="R323:R386" si="25">IF(AND(A323&lt;&gt;"",ISNUMBER(A323),B323&lt;&gt;"",C323&lt;&gt;"",OR(E323="USD",E323="CRC"),F323&gt;0,ISNUMBER(Q323),Q323&gt;0),"✓ OK","✗ ERROR: Revisa datos")</f>
        <v>✗ ERROR: Revisa datos</v>
      </c>
      <c r="S323" t="str">
        <f t="shared" ca="1" si="21"/>
        <v/>
      </c>
      <c r="T323" t="str">
        <f>IF(E323="USD",F323,IF(E323="CRC",F323/CONFIG!$B$5,""))</f>
        <v/>
      </c>
      <c r="U323" t="str">
        <f t="shared" si="22"/>
        <v/>
      </c>
      <c r="V323" t="str">
        <f t="shared" ca="1" si="23"/>
        <v/>
      </c>
      <c r="W323" t="str">
        <f t="shared" ca="1" si="24"/>
        <v/>
      </c>
    </row>
    <row r="324" spans="17:23" x14ac:dyDescent="0.25">
      <c r="Q324">
        <f>IF(E324="USD",CONFIG!$B$5,1)</f>
        <v>1</v>
      </c>
      <c r="R324" t="str">
        <f t="shared" si="25"/>
        <v>✗ ERROR: Revisa datos</v>
      </c>
      <c r="S324" t="str">
        <f t="shared" ca="1" si="21"/>
        <v/>
      </c>
      <c r="T324" t="str">
        <f>IF(E324="USD",F324,IF(E324="CRC",F324/CONFIG!$B$5,""))</f>
        <v/>
      </c>
      <c r="U324" t="str">
        <f t="shared" si="22"/>
        <v/>
      </c>
      <c r="V324" t="str">
        <f t="shared" ca="1" si="23"/>
        <v/>
      </c>
      <c r="W324" t="str">
        <f t="shared" ca="1" si="24"/>
        <v/>
      </c>
    </row>
    <row r="325" spans="17:23" x14ac:dyDescent="0.25">
      <c r="Q325">
        <f>IF(E325="USD",CONFIG!$B$5,1)</f>
        <v>1</v>
      </c>
      <c r="R325" t="str">
        <f t="shared" si="25"/>
        <v>✗ ERROR: Revisa datos</v>
      </c>
      <c r="S325" t="str">
        <f t="shared" ca="1" si="21"/>
        <v/>
      </c>
      <c r="T325" t="str">
        <f>IF(E325="USD",F325,IF(E325="CRC",F325/CONFIG!$B$5,""))</f>
        <v/>
      </c>
      <c r="U325" t="str">
        <f t="shared" si="22"/>
        <v/>
      </c>
      <c r="V325" t="str">
        <f t="shared" ca="1" si="23"/>
        <v/>
      </c>
      <c r="W325" t="str">
        <f t="shared" ca="1" si="24"/>
        <v/>
      </c>
    </row>
    <row r="326" spans="17:23" x14ac:dyDescent="0.25">
      <c r="Q326">
        <f>IF(E326="USD",CONFIG!$B$5,1)</f>
        <v>1</v>
      </c>
      <c r="R326" t="str">
        <f t="shared" si="25"/>
        <v>✗ ERROR: Revisa datos</v>
      </c>
      <c r="S326" t="str">
        <f t="shared" ca="1" si="21"/>
        <v/>
      </c>
      <c r="T326" t="str">
        <f>IF(E326="USD",F326,IF(E326="CRC",F326/CONFIG!$B$5,""))</f>
        <v/>
      </c>
      <c r="U326" t="str">
        <f t="shared" si="22"/>
        <v/>
      </c>
      <c r="V326" t="str">
        <f t="shared" ca="1" si="23"/>
        <v/>
      </c>
      <c r="W326" t="str">
        <f t="shared" ca="1" si="24"/>
        <v/>
      </c>
    </row>
    <row r="327" spans="17:23" x14ac:dyDescent="0.25">
      <c r="Q327">
        <f>IF(E327="USD",CONFIG!$B$5,1)</f>
        <v>1</v>
      </c>
      <c r="R327" t="str">
        <f t="shared" si="25"/>
        <v>✗ ERROR: Revisa datos</v>
      </c>
      <c r="S327" t="str">
        <f t="shared" ref="S327:S390" ca="1" si="26">IF(A327&lt;&gt;"",TODAY()-A327,"")</f>
        <v/>
      </c>
      <c r="T327" t="str">
        <f>IF(E327="USD",F327,IF(E327="CRC",F327/CONFIG!$B$5,""))</f>
        <v/>
      </c>
      <c r="U327" t="str">
        <f t="shared" ref="U327:U390" si="27">IF(A327&lt;&gt;"",A327+30,"")</f>
        <v/>
      </c>
      <c r="V327" t="str">
        <f t="shared" ref="V327:V390" ca="1" si="28">IF(AND(C327="CxP",S327&gt;60),"Alta",IF(AND(C327="CxP",S327&gt;30),"Media",IF(C327="CxP","Baja","")))</f>
        <v/>
      </c>
      <c r="W327" t="str">
        <f t="shared" ref="W327:W390" ca="1" si="29">IF(AND(C327="CxC",S327&gt;90),"Alta",IF(AND(C327="CxC",S327&gt;60),"Media",IF(C327="CxC","Baja","")))</f>
        <v/>
      </c>
    </row>
    <row r="328" spans="17:23" x14ac:dyDescent="0.25">
      <c r="Q328">
        <f>IF(E328="USD",CONFIG!$B$5,1)</f>
        <v>1</v>
      </c>
      <c r="R328" t="str">
        <f t="shared" si="25"/>
        <v>✗ ERROR: Revisa datos</v>
      </c>
      <c r="S328" t="str">
        <f t="shared" ca="1" si="26"/>
        <v/>
      </c>
      <c r="T328" t="str">
        <f>IF(E328="USD",F328,IF(E328="CRC",F328/CONFIG!$B$5,""))</f>
        <v/>
      </c>
      <c r="U328" t="str">
        <f t="shared" si="27"/>
        <v/>
      </c>
      <c r="V328" t="str">
        <f t="shared" ca="1" si="28"/>
        <v/>
      </c>
      <c r="W328" t="str">
        <f t="shared" ca="1" si="29"/>
        <v/>
      </c>
    </row>
    <row r="329" spans="17:23" x14ac:dyDescent="0.25">
      <c r="Q329">
        <f>IF(E329="USD",CONFIG!$B$5,1)</f>
        <v>1</v>
      </c>
      <c r="R329" t="str">
        <f t="shared" si="25"/>
        <v>✗ ERROR: Revisa datos</v>
      </c>
      <c r="S329" t="str">
        <f t="shared" ca="1" si="26"/>
        <v/>
      </c>
      <c r="T329" t="str">
        <f>IF(E329="USD",F329,IF(E329="CRC",F329/CONFIG!$B$5,""))</f>
        <v/>
      </c>
      <c r="U329" t="str">
        <f t="shared" si="27"/>
        <v/>
      </c>
      <c r="V329" t="str">
        <f t="shared" ca="1" si="28"/>
        <v/>
      </c>
      <c r="W329" t="str">
        <f t="shared" ca="1" si="29"/>
        <v/>
      </c>
    </row>
    <row r="330" spans="17:23" x14ac:dyDescent="0.25">
      <c r="Q330">
        <f>IF(E330="USD",CONFIG!$B$5,1)</f>
        <v>1</v>
      </c>
      <c r="R330" t="str">
        <f t="shared" si="25"/>
        <v>✗ ERROR: Revisa datos</v>
      </c>
      <c r="S330" t="str">
        <f t="shared" ca="1" si="26"/>
        <v/>
      </c>
      <c r="T330" t="str">
        <f>IF(E330="USD",F330,IF(E330="CRC",F330/CONFIG!$B$5,""))</f>
        <v/>
      </c>
      <c r="U330" t="str">
        <f t="shared" si="27"/>
        <v/>
      </c>
      <c r="V330" t="str">
        <f t="shared" ca="1" si="28"/>
        <v/>
      </c>
      <c r="W330" t="str">
        <f t="shared" ca="1" si="29"/>
        <v/>
      </c>
    </row>
    <row r="331" spans="17:23" x14ac:dyDescent="0.25">
      <c r="Q331">
        <f>IF(E331="USD",CONFIG!$B$5,1)</f>
        <v>1</v>
      </c>
      <c r="R331" t="str">
        <f t="shared" si="25"/>
        <v>✗ ERROR: Revisa datos</v>
      </c>
      <c r="S331" t="str">
        <f t="shared" ca="1" si="26"/>
        <v/>
      </c>
      <c r="T331" t="str">
        <f>IF(E331="USD",F331,IF(E331="CRC",F331/CONFIG!$B$5,""))</f>
        <v/>
      </c>
      <c r="U331" t="str">
        <f t="shared" si="27"/>
        <v/>
      </c>
      <c r="V331" t="str">
        <f t="shared" ca="1" si="28"/>
        <v/>
      </c>
      <c r="W331" t="str">
        <f t="shared" ca="1" si="29"/>
        <v/>
      </c>
    </row>
    <row r="332" spans="17:23" x14ac:dyDescent="0.25">
      <c r="Q332">
        <f>IF(E332="USD",CONFIG!$B$5,1)</f>
        <v>1</v>
      </c>
      <c r="R332" t="str">
        <f t="shared" si="25"/>
        <v>✗ ERROR: Revisa datos</v>
      </c>
      <c r="S332" t="str">
        <f t="shared" ca="1" si="26"/>
        <v/>
      </c>
      <c r="T332" t="str">
        <f>IF(E332="USD",F332,IF(E332="CRC",F332/CONFIG!$B$5,""))</f>
        <v/>
      </c>
      <c r="U332" t="str">
        <f t="shared" si="27"/>
        <v/>
      </c>
      <c r="V332" t="str">
        <f t="shared" ca="1" si="28"/>
        <v/>
      </c>
      <c r="W332" t="str">
        <f t="shared" ca="1" si="29"/>
        <v/>
      </c>
    </row>
    <row r="333" spans="17:23" x14ac:dyDescent="0.25">
      <c r="Q333">
        <f>IF(E333="USD",CONFIG!$B$5,1)</f>
        <v>1</v>
      </c>
      <c r="R333" t="str">
        <f t="shared" si="25"/>
        <v>✗ ERROR: Revisa datos</v>
      </c>
      <c r="S333" t="str">
        <f t="shared" ca="1" si="26"/>
        <v/>
      </c>
      <c r="T333" t="str">
        <f>IF(E333="USD",F333,IF(E333="CRC",F333/CONFIG!$B$5,""))</f>
        <v/>
      </c>
      <c r="U333" t="str">
        <f t="shared" si="27"/>
        <v/>
      </c>
      <c r="V333" t="str">
        <f t="shared" ca="1" si="28"/>
        <v/>
      </c>
      <c r="W333" t="str">
        <f t="shared" ca="1" si="29"/>
        <v/>
      </c>
    </row>
    <row r="334" spans="17:23" x14ac:dyDescent="0.25">
      <c r="Q334">
        <f>IF(E334="USD",CONFIG!$B$5,1)</f>
        <v>1</v>
      </c>
      <c r="R334" t="str">
        <f t="shared" si="25"/>
        <v>✗ ERROR: Revisa datos</v>
      </c>
      <c r="S334" t="str">
        <f t="shared" ca="1" si="26"/>
        <v/>
      </c>
      <c r="T334" t="str">
        <f>IF(E334="USD",F334,IF(E334="CRC",F334/CONFIG!$B$5,""))</f>
        <v/>
      </c>
      <c r="U334" t="str">
        <f t="shared" si="27"/>
        <v/>
      </c>
      <c r="V334" t="str">
        <f t="shared" ca="1" si="28"/>
        <v/>
      </c>
      <c r="W334" t="str">
        <f t="shared" ca="1" si="29"/>
        <v/>
      </c>
    </row>
    <row r="335" spans="17:23" x14ac:dyDescent="0.25">
      <c r="Q335">
        <f>IF(E335="USD",CONFIG!$B$5,1)</f>
        <v>1</v>
      </c>
      <c r="R335" t="str">
        <f t="shared" si="25"/>
        <v>✗ ERROR: Revisa datos</v>
      </c>
      <c r="S335" t="str">
        <f t="shared" ca="1" si="26"/>
        <v/>
      </c>
      <c r="T335" t="str">
        <f>IF(E335="USD",F335,IF(E335="CRC",F335/CONFIG!$B$5,""))</f>
        <v/>
      </c>
      <c r="U335" t="str">
        <f t="shared" si="27"/>
        <v/>
      </c>
      <c r="V335" t="str">
        <f t="shared" ca="1" si="28"/>
        <v/>
      </c>
      <c r="W335" t="str">
        <f t="shared" ca="1" si="29"/>
        <v/>
      </c>
    </row>
    <row r="336" spans="17:23" x14ac:dyDescent="0.25">
      <c r="Q336">
        <f>IF(E336="USD",CONFIG!$B$5,1)</f>
        <v>1</v>
      </c>
      <c r="R336" t="str">
        <f t="shared" si="25"/>
        <v>✗ ERROR: Revisa datos</v>
      </c>
      <c r="S336" t="str">
        <f t="shared" ca="1" si="26"/>
        <v/>
      </c>
      <c r="T336" t="str">
        <f>IF(E336="USD",F336,IF(E336="CRC",F336/CONFIG!$B$5,""))</f>
        <v/>
      </c>
      <c r="U336" t="str">
        <f t="shared" si="27"/>
        <v/>
      </c>
      <c r="V336" t="str">
        <f t="shared" ca="1" si="28"/>
        <v/>
      </c>
      <c r="W336" t="str">
        <f t="shared" ca="1" si="29"/>
        <v/>
      </c>
    </row>
    <row r="337" spans="17:23" x14ac:dyDescent="0.25">
      <c r="Q337">
        <f>IF(E337="USD",CONFIG!$B$5,1)</f>
        <v>1</v>
      </c>
      <c r="R337" t="str">
        <f t="shared" si="25"/>
        <v>✗ ERROR: Revisa datos</v>
      </c>
      <c r="S337" t="str">
        <f t="shared" ca="1" si="26"/>
        <v/>
      </c>
      <c r="T337" t="str">
        <f>IF(E337="USD",F337,IF(E337="CRC",F337/CONFIG!$B$5,""))</f>
        <v/>
      </c>
      <c r="U337" t="str">
        <f t="shared" si="27"/>
        <v/>
      </c>
      <c r="V337" t="str">
        <f t="shared" ca="1" si="28"/>
        <v/>
      </c>
      <c r="W337" t="str">
        <f t="shared" ca="1" si="29"/>
        <v/>
      </c>
    </row>
    <row r="338" spans="17:23" x14ac:dyDescent="0.25">
      <c r="Q338">
        <f>IF(E338="USD",CONFIG!$B$5,1)</f>
        <v>1</v>
      </c>
      <c r="R338" t="str">
        <f t="shared" si="25"/>
        <v>✗ ERROR: Revisa datos</v>
      </c>
      <c r="S338" t="str">
        <f t="shared" ca="1" si="26"/>
        <v/>
      </c>
      <c r="T338" t="str">
        <f>IF(E338="USD",F338,IF(E338="CRC",F338/CONFIG!$B$5,""))</f>
        <v/>
      </c>
      <c r="U338" t="str">
        <f t="shared" si="27"/>
        <v/>
      </c>
      <c r="V338" t="str">
        <f t="shared" ca="1" si="28"/>
        <v/>
      </c>
      <c r="W338" t="str">
        <f t="shared" ca="1" si="29"/>
        <v/>
      </c>
    </row>
    <row r="339" spans="17:23" x14ac:dyDescent="0.25">
      <c r="Q339">
        <f>IF(E339="USD",CONFIG!$B$5,1)</f>
        <v>1</v>
      </c>
      <c r="R339" t="str">
        <f t="shared" si="25"/>
        <v>✗ ERROR: Revisa datos</v>
      </c>
      <c r="S339" t="str">
        <f t="shared" ca="1" si="26"/>
        <v/>
      </c>
      <c r="T339" t="str">
        <f>IF(E339="USD",F339,IF(E339="CRC",F339/CONFIG!$B$5,""))</f>
        <v/>
      </c>
      <c r="U339" t="str">
        <f t="shared" si="27"/>
        <v/>
      </c>
      <c r="V339" t="str">
        <f t="shared" ca="1" si="28"/>
        <v/>
      </c>
      <c r="W339" t="str">
        <f t="shared" ca="1" si="29"/>
        <v/>
      </c>
    </row>
    <row r="340" spans="17:23" x14ac:dyDescent="0.25">
      <c r="Q340">
        <f>IF(E340="USD",CONFIG!$B$5,1)</f>
        <v>1</v>
      </c>
      <c r="R340" t="str">
        <f t="shared" si="25"/>
        <v>✗ ERROR: Revisa datos</v>
      </c>
      <c r="S340" t="str">
        <f t="shared" ca="1" si="26"/>
        <v/>
      </c>
      <c r="T340" t="str">
        <f>IF(E340="USD",F340,IF(E340="CRC",F340/CONFIG!$B$5,""))</f>
        <v/>
      </c>
      <c r="U340" t="str">
        <f t="shared" si="27"/>
        <v/>
      </c>
      <c r="V340" t="str">
        <f t="shared" ca="1" si="28"/>
        <v/>
      </c>
      <c r="W340" t="str">
        <f t="shared" ca="1" si="29"/>
        <v/>
      </c>
    </row>
    <row r="341" spans="17:23" x14ac:dyDescent="0.25">
      <c r="Q341">
        <f>IF(E341="USD",CONFIG!$B$5,1)</f>
        <v>1</v>
      </c>
      <c r="R341" t="str">
        <f t="shared" si="25"/>
        <v>✗ ERROR: Revisa datos</v>
      </c>
      <c r="S341" t="str">
        <f t="shared" ca="1" si="26"/>
        <v/>
      </c>
      <c r="T341" t="str">
        <f>IF(E341="USD",F341,IF(E341="CRC",F341/CONFIG!$B$5,""))</f>
        <v/>
      </c>
      <c r="U341" t="str">
        <f t="shared" si="27"/>
        <v/>
      </c>
      <c r="V341" t="str">
        <f t="shared" ca="1" si="28"/>
        <v/>
      </c>
      <c r="W341" t="str">
        <f t="shared" ca="1" si="29"/>
        <v/>
      </c>
    </row>
    <row r="342" spans="17:23" x14ac:dyDescent="0.25">
      <c r="Q342">
        <f>IF(E342="USD",CONFIG!$B$5,1)</f>
        <v>1</v>
      </c>
      <c r="R342" t="str">
        <f t="shared" si="25"/>
        <v>✗ ERROR: Revisa datos</v>
      </c>
      <c r="S342" t="str">
        <f t="shared" ca="1" si="26"/>
        <v/>
      </c>
      <c r="T342" t="str">
        <f>IF(E342="USD",F342,IF(E342="CRC",F342/CONFIG!$B$5,""))</f>
        <v/>
      </c>
      <c r="U342" t="str">
        <f t="shared" si="27"/>
        <v/>
      </c>
      <c r="V342" t="str">
        <f t="shared" ca="1" si="28"/>
        <v/>
      </c>
      <c r="W342" t="str">
        <f t="shared" ca="1" si="29"/>
        <v/>
      </c>
    </row>
    <row r="343" spans="17:23" x14ac:dyDescent="0.25">
      <c r="Q343">
        <f>IF(E343="USD",CONFIG!$B$5,1)</f>
        <v>1</v>
      </c>
      <c r="R343" t="str">
        <f t="shared" si="25"/>
        <v>✗ ERROR: Revisa datos</v>
      </c>
      <c r="S343" t="str">
        <f t="shared" ca="1" si="26"/>
        <v/>
      </c>
      <c r="T343" t="str">
        <f>IF(E343="USD",F343,IF(E343="CRC",F343/CONFIG!$B$5,""))</f>
        <v/>
      </c>
      <c r="U343" t="str">
        <f t="shared" si="27"/>
        <v/>
      </c>
      <c r="V343" t="str">
        <f t="shared" ca="1" si="28"/>
        <v/>
      </c>
      <c r="W343" t="str">
        <f t="shared" ca="1" si="29"/>
        <v/>
      </c>
    </row>
    <row r="344" spans="17:23" x14ac:dyDescent="0.25">
      <c r="Q344">
        <f>IF(E344="USD",CONFIG!$B$5,1)</f>
        <v>1</v>
      </c>
      <c r="R344" t="str">
        <f t="shared" si="25"/>
        <v>✗ ERROR: Revisa datos</v>
      </c>
      <c r="S344" t="str">
        <f t="shared" ca="1" si="26"/>
        <v/>
      </c>
      <c r="T344" t="str">
        <f>IF(E344="USD",F344,IF(E344="CRC",F344/CONFIG!$B$5,""))</f>
        <v/>
      </c>
      <c r="U344" t="str">
        <f t="shared" si="27"/>
        <v/>
      </c>
      <c r="V344" t="str">
        <f t="shared" ca="1" si="28"/>
        <v/>
      </c>
      <c r="W344" t="str">
        <f t="shared" ca="1" si="29"/>
        <v/>
      </c>
    </row>
    <row r="345" spans="17:23" x14ac:dyDescent="0.25">
      <c r="Q345">
        <f>IF(E345="USD",CONFIG!$B$5,1)</f>
        <v>1</v>
      </c>
      <c r="R345" t="str">
        <f t="shared" si="25"/>
        <v>✗ ERROR: Revisa datos</v>
      </c>
      <c r="S345" t="str">
        <f t="shared" ca="1" si="26"/>
        <v/>
      </c>
      <c r="T345" t="str">
        <f>IF(E345="USD",F345,IF(E345="CRC",F345/CONFIG!$B$5,""))</f>
        <v/>
      </c>
      <c r="U345" t="str">
        <f t="shared" si="27"/>
        <v/>
      </c>
      <c r="V345" t="str">
        <f t="shared" ca="1" si="28"/>
        <v/>
      </c>
      <c r="W345" t="str">
        <f t="shared" ca="1" si="29"/>
        <v/>
      </c>
    </row>
    <row r="346" spans="17:23" x14ac:dyDescent="0.25">
      <c r="Q346">
        <f>IF(E346="USD",CONFIG!$B$5,1)</f>
        <v>1</v>
      </c>
      <c r="R346" t="str">
        <f t="shared" si="25"/>
        <v>✗ ERROR: Revisa datos</v>
      </c>
      <c r="S346" t="str">
        <f t="shared" ca="1" si="26"/>
        <v/>
      </c>
      <c r="T346" t="str">
        <f>IF(E346="USD",F346,IF(E346="CRC",F346/CONFIG!$B$5,""))</f>
        <v/>
      </c>
      <c r="U346" t="str">
        <f t="shared" si="27"/>
        <v/>
      </c>
      <c r="V346" t="str">
        <f t="shared" ca="1" si="28"/>
        <v/>
      </c>
      <c r="W346" t="str">
        <f t="shared" ca="1" si="29"/>
        <v/>
      </c>
    </row>
    <row r="347" spans="17:23" x14ac:dyDescent="0.25">
      <c r="Q347">
        <f>IF(E347="USD",CONFIG!$B$5,1)</f>
        <v>1</v>
      </c>
      <c r="R347" t="str">
        <f t="shared" si="25"/>
        <v>✗ ERROR: Revisa datos</v>
      </c>
      <c r="S347" t="str">
        <f t="shared" ca="1" si="26"/>
        <v/>
      </c>
      <c r="T347" t="str">
        <f>IF(E347="USD",F347,IF(E347="CRC",F347/CONFIG!$B$5,""))</f>
        <v/>
      </c>
      <c r="U347" t="str">
        <f t="shared" si="27"/>
        <v/>
      </c>
      <c r="V347" t="str">
        <f t="shared" ca="1" si="28"/>
        <v/>
      </c>
      <c r="W347" t="str">
        <f t="shared" ca="1" si="29"/>
        <v/>
      </c>
    </row>
    <row r="348" spans="17:23" x14ac:dyDescent="0.25">
      <c r="Q348">
        <f>IF(E348="USD",CONFIG!$B$5,1)</f>
        <v>1</v>
      </c>
      <c r="R348" t="str">
        <f t="shared" si="25"/>
        <v>✗ ERROR: Revisa datos</v>
      </c>
      <c r="S348" t="str">
        <f t="shared" ca="1" si="26"/>
        <v/>
      </c>
      <c r="T348" t="str">
        <f>IF(E348="USD",F348,IF(E348="CRC",F348/CONFIG!$B$5,""))</f>
        <v/>
      </c>
      <c r="U348" t="str">
        <f t="shared" si="27"/>
        <v/>
      </c>
      <c r="V348" t="str">
        <f t="shared" ca="1" si="28"/>
        <v/>
      </c>
      <c r="W348" t="str">
        <f t="shared" ca="1" si="29"/>
        <v/>
      </c>
    </row>
    <row r="349" spans="17:23" x14ac:dyDescent="0.25">
      <c r="Q349">
        <f>IF(E349="USD",CONFIG!$B$5,1)</f>
        <v>1</v>
      </c>
      <c r="R349" t="str">
        <f t="shared" si="25"/>
        <v>✗ ERROR: Revisa datos</v>
      </c>
      <c r="S349" t="str">
        <f t="shared" ca="1" si="26"/>
        <v/>
      </c>
      <c r="T349" t="str">
        <f>IF(E349="USD",F349,IF(E349="CRC",F349/CONFIG!$B$5,""))</f>
        <v/>
      </c>
      <c r="U349" t="str">
        <f t="shared" si="27"/>
        <v/>
      </c>
      <c r="V349" t="str">
        <f t="shared" ca="1" si="28"/>
        <v/>
      </c>
      <c r="W349" t="str">
        <f t="shared" ca="1" si="29"/>
        <v/>
      </c>
    </row>
    <row r="350" spans="17:23" x14ac:dyDescent="0.25">
      <c r="Q350">
        <f>IF(E350="USD",CONFIG!$B$5,1)</f>
        <v>1</v>
      </c>
      <c r="R350" t="str">
        <f t="shared" si="25"/>
        <v>✗ ERROR: Revisa datos</v>
      </c>
      <c r="S350" t="str">
        <f t="shared" ca="1" si="26"/>
        <v/>
      </c>
      <c r="T350" t="str">
        <f>IF(E350="USD",F350,IF(E350="CRC",F350/CONFIG!$B$5,""))</f>
        <v/>
      </c>
      <c r="U350" t="str">
        <f t="shared" si="27"/>
        <v/>
      </c>
      <c r="V350" t="str">
        <f t="shared" ca="1" si="28"/>
        <v/>
      </c>
      <c r="W350" t="str">
        <f t="shared" ca="1" si="29"/>
        <v/>
      </c>
    </row>
    <row r="351" spans="17:23" x14ac:dyDescent="0.25">
      <c r="Q351">
        <f>IF(E351="USD",CONFIG!$B$5,1)</f>
        <v>1</v>
      </c>
      <c r="R351" t="str">
        <f t="shared" si="25"/>
        <v>✗ ERROR: Revisa datos</v>
      </c>
      <c r="S351" t="str">
        <f t="shared" ca="1" si="26"/>
        <v/>
      </c>
      <c r="T351" t="str">
        <f>IF(E351="USD",F351,IF(E351="CRC",F351/CONFIG!$B$5,""))</f>
        <v/>
      </c>
      <c r="U351" t="str">
        <f t="shared" si="27"/>
        <v/>
      </c>
      <c r="V351" t="str">
        <f t="shared" ca="1" si="28"/>
        <v/>
      </c>
      <c r="W351" t="str">
        <f t="shared" ca="1" si="29"/>
        <v/>
      </c>
    </row>
    <row r="352" spans="17:23" x14ac:dyDescent="0.25">
      <c r="Q352">
        <f>IF(E352="USD",CONFIG!$B$5,1)</f>
        <v>1</v>
      </c>
      <c r="R352" t="str">
        <f t="shared" si="25"/>
        <v>✗ ERROR: Revisa datos</v>
      </c>
      <c r="S352" t="str">
        <f t="shared" ca="1" si="26"/>
        <v/>
      </c>
      <c r="T352" t="str">
        <f>IF(E352="USD",F352,IF(E352="CRC",F352/CONFIG!$B$5,""))</f>
        <v/>
      </c>
      <c r="U352" t="str">
        <f t="shared" si="27"/>
        <v/>
      </c>
      <c r="V352" t="str">
        <f t="shared" ca="1" si="28"/>
        <v/>
      </c>
      <c r="W352" t="str">
        <f t="shared" ca="1" si="29"/>
        <v/>
      </c>
    </row>
    <row r="353" spans="17:23" x14ac:dyDescent="0.25">
      <c r="Q353">
        <f>IF(E353="USD",CONFIG!$B$5,1)</f>
        <v>1</v>
      </c>
      <c r="R353" t="str">
        <f t="shared" si="25"/>
        <v>✗ ERROR: Revisa datos</v>
      </c>
      <c r="S353" t="str">
        <f t="shared" ca="1" si="26"/>
        <v/>
      </c>
      <c r="T353" t="str">
        <f>IF(E353="USD",F353,IF(E353="CRC",F353/CONFIG!$B$5,""))</f>
        <v/>
      </c>
      <c r="U353" t="str">
        <f t="shared" si="27"/>
        <v/>
      </c>
      <c r="V353" t="str">
        <f t="shared" ca="1" si="28"/>
        <v/>
      </c>
      <c r="W353" t="str">
        <f t="shared" ca="1" si="29"/>
        <v/>
      </c>
    </row>
    <row r="354" spans="17:23" x14ac:dyDescent="0.25">
      <c r="Q354">
        <f>IF(E354="USD",CONFIG!$B$5,1)</f>
        <v>1</v>
      </c>
      <c r="R354" t="str">
        <f t="shared" si="25"/>
        <v>✗ ERROR: Revisa datos</v>
      </c>
      <c r="S354" t="str">
        <f t="shared" ca="1" si="26"/>
        <v/>
      </c>
      <c r="T354" t="str">
        <f>IF(E354="USD",F354,IF(E354="CRC",F354/CONFIG!$B$5,""))</f>
        <v/>
      </c>
      <c r="U354" t="str">
        <f t="shared" si="27"/>
        <v/>
      </c>
      <c r="V354" t="str">
        <f t="shared" ca="1" si="28"/>
        <v/>
      </c>
      <c r="W354" t="str">
        <f t="shared" ca="1" si="29"/>
        <v/>
      </c>
    </row>
    <row r="355" spans="17:23" x14ac:dyDescent="0.25">
      <c r="Q355">
        <f>IF(E355="USD",CONFIG!$B$5,1)</f>
        <v>1</v>
      </c>
      <c r="R355" t="str">
        <f t="shared" si="25"/>
        <v>✗ ERROR: Revisa datos</v>
      </c>
      <c r="S355" t="str">
        <f t="shared" ca="1" si="26"/>
        <v/>
      </c>
      <c r="T355" t="str">
        <f>IF(E355="USD",F355,IF(E355="CRC",F355/CONFIG!$B$5,""))</f>
        <v/>
      </c>
      <c r="U355" t="str">
        <f t="shared" si="27"/>
        <v/>
      </c>
      <c r="V355" t="str">
        <f t="shared" ca="1" si="28"/>
        <v/>
      </c>
      <c r="W355" t="str">
        <f t="shared" ca="1" si="29"/>
        <v/>
      </c>
    </row>
    <row r="356" spans="17:23" x14ac:dyDescent="0.25">
      <c r="Q356">
        <f>IF(E356="USD",CONFIG!$B$5,1)</f>
        <v>1</v>
      </c>
      <c r="R356" t="str">
        <f t="shared" si="25"/>
        <v>✗ ERROR: Revisa datos</v>
      </c>
      <c r="S356" t="str">
        <f t="shared" ca="1" si="26"/>
        <v/>
      </c>
      <c r="T356" t="str">
        <f>IF(E356="USD",F356,IF(E356="CRC",F356/CONFIG!$B$5,""))</f>
        <v/>
      </c>
      <c r="U356" t="str">
        <f t="shared" si="27"/>
        <v/>
      </c>
      <c r="V356" t="str">
        <f t="shared" ca="1" si="28"/>
        <v/>
      </c>
      <c r="W356" t="str">
        <f t="shared" ca="1" si="29"/>
        <v/>
      </c>
    </row>
    <row r="357" spans="17:23" x14ac:dyDescent="0.25">
      <c r="Q357">
        <f>IF(E357="USD",CONFIG!$B$5,1)</f>
        <v>1</v>
      </c>
      <c r="R357" t="str">
        <f t="shared" si="25"/>
        <v>✗ ERROR: Revisa datos</v>
      </c>
      <c r="S357" t="str">
        <f t="shared" ca="1" si="26"/>
        <v/>
      </c>
      <c r="T357" t="str">
        <f>IF(E357="USD",F357,IF(E357="CRC",F357/CONFIG!$B$5,""))</f>
        <v/>
      </c>
      <c r="U357" t="str">
        <f t="shared" si="27"/>
        <v/>
      </c>
      <c r="V357" t="str">
        <f t="shared" ca="1" si="28"/>
        <v/>
      </c>
      <c r="W357" t="str">
        <f t="shared" ca="1" si="29"/>
        <v/>
      </c>
    </row>
    <row r="358" spans="17:23" x14ac:dyDescent="0.25">
      <c r="Q358">
        <f>IF(E358="USD",CONFIG!$B$5,1)</f>
        <v>1</v>
      </c>
      <c r="R358" t="str">
        <f t="shared" si="25"/>
        <v>✗ ERROR: Revisa datos</v>
      </c>
      <c r="S358" t="str">
        <f t="shared" ca="1" si="26"/>
        <v/>
      </c>
      <c r="T358" t="str">
        <f>IF(E358="USD",F358,IF(E358="CRC",F358/CONFIG!$B$5,""))</f>
        <v/>
      </c>
      <c r="U358" t="str">
        <f t="shared" si="27"/>
        <v/>
      </c>
      <c r="V358" t="str">
        <f t="shared" ca="1" si="28"/>
        <v/>
      </c>
      <c r="W358" t="str">
        <f t="shared" ca="1" si="29"/>
        <v/>
      </c>
    </row>
    <row r="359" spans="17:23" x14ac:dyDescent="0.25">
      <c r="Q359">
        <f>IF(E359="USD",CONFIG!$B$5,1)</f>
        <v>1</v>
      </c>
      <c r="R359" t="str">
        <f t="shared" si="25"/>
        <v>✗ ERROR: Revisa datos</v>
      </c>
      <c r="S359" t="str">
        <f t="shared" ca="1" si="26"/>
        <v/>
      </c>
      <c r="T359" t="str">
        <f>IF(E359="USD",F359,IF(E359="CRC",F359/CONFIG!$B$5,""))</f>
        <v/>
      </c>
      <c r="U359" t="str">
        <f t="shared" si="27"/>
        <v/>
      </c>
      <c r="V359" t="str">
        <f t="shared" ca="1" si="28"/>
        <v/>
      </c>
      <c r="W359" t="str">
        <f t="shared" ca="1" si="29"/>
        <v/>
      </c>
    </row>
    <row r="360" spans="17:23" x14ac:dyDescent="0.25">
      <c r="Q360">
        <f>IF(E360="USD",CONFIG!$B$5,1)</f>
        <v>1</v>
      </c>
      <c r="R360" t="str">
        <f t="shared" si="25"/>
        <v>✗ ERROR: Revisa datos</v>
      </c>
      <c r="S360" t="str">
        <f t="shared" ca="1" si="26"/>
        <v/>
      </c>
      <c r="T360" t="str">
        <f>IF(E360="USD",F360,IF(E360="CRC",F360/CONFIG!$B$5,""))</f>
        <v/>
      </c>
      <c r="U360" t="str">
        <f t="shared" si="27"/>
        <v/>
      </c>
      <c r="V360" t="str">
        <f t="shared" ca="1" si="28"/>
        <v/>
      </c>
      <c r="W360" t="str">
        <f t="shared" ca="1" si="29"/>
        <v/>
      </c>
    </row>
    <row r="361" spans="17:23" x14ac:dyDescent="0.25">
      <c r="Q361">
        <f>IF(E361="USD",CONFIG!$B$5,1)</f>
        <v>1</v>
      </c>
      <c r="R361" t="str">
        <f t="shared" si="25"/>
        <v>✗ ERROR: Revisa datos</v>
      </c>
      <c r="S361" t="str">
        <f t="shared" ca="1" si="26"/>
        <v/>
      </c>
      <c r="T361" t="str">
        <f>IF(E361="USD",F361,IF(E361="CRC",F361/CONFIG!$B$5,""))</f>
        <v/>
      </c>
      <c r="U361" t="str">
        <f t="shared" si="27"/>
        <v/>
      </c>
      <c r="V361" t="str">
        <f t="shared" ca="1" si="28"/>
        <v/>
      </c>
      <c r="W361" t="str">
        <f t="shared" ca="1" si="29"/>
        <v/>
      </c>
    </row>
    <row r="362" spans="17:23" x14ac:dyDescent="0.25">
      <c r="Q362">
        <f>IF(E362="USD",CONFIG!$B$5,1)</f>
        <v>1</v>
      </c>
      <c r="R362" t="str">
        <f t="shared" si="25"/>
        <v>✗ ERROR: Revisa datos</v>
      </c>
      <c r="S362" t="str">
        <f t="shared" ca="1" si="26"/>
        <v/>
      </c>
      <c r="T362" t="str">
        <f>IF(E362="USD",F362,IF(E362="CRC",F362/CONFIG!$B$5,""))</f>
        <v/>
      </c>
      <c r="U362" t="str">
        <f t="shared" si="27"/>
        <v/>
      </c>
      <c r="V362" t="str">
        <f t="shared" ca="1" si="28"/>
        <v/>
      </c>
      <c r="W362" t="str">
        <f t="shared" ca="1" si="29"/>
        <v/>
      </c>
    </row>
    <row r="363" spans="17:23" x14ac:dyDescent="0.25">
      <c r="Q363">
        <f>IF(E363="USD",CONFIG!$B$5,1)</f>
        <v>1</v>
      </c>
      <c r="R363" t="str">
        <f t="shared" si="25"/>
        <v>✗ ERROR: Revisa datos</v>
      </c>
      <c r="S363" t="str">
        <f t="shared" ca="1" si="26"/>
        <v/>
      </c>
      <c r="T363" t="str">
        <f>IF(E363="USD",F363,IF(E363="CRC",F363/CONFIG!$B$5,""))</f>
        <v/>
      </c>
      <c r="U363" t="str">
        <f t="shared" si="27"/>
        <v/>
      </c>
      <c r="V363" t="str">
        <f t="shared" ca="1" si="28"/>
        <v/>
      </c>
      <c r="W363" t="str">
        <f t="shared" ca="1" si="29"/>
        <v/>
      </c>
    </row>
    <row r="364" spans="17:23" x14ac:dyDescent="0.25">
      <c r="Q364">
        <f>IF(E364="USD",CONFIG!$B$5,1)</f>
        <v>1</v>
      </c>
      <c r="R364" t="str">
        <f t="shared" si="25"/>
        <v>✗ ERROR: Revisa datos</v>
      </c>
      <c r="S364" t="str">
        <f t="shared" ca="1" si="26"/>
        <v/>
      </c>
      <c r="T364" t="str">
        <f>IF(E364="USD",F364,IF(E364="CRC",F364/CONFIG!$B$5,""))</f>
        <v/>
      </c>
      <c r="U364" t="str">
        <f t="shared" si="27"/>
        <v/>
      </c>
      <c r="V364" t="str">
        <f t="shared" ca="1" si="28"/>
        <v/>
      </c>
      <c r="W364" t="str">
        <f t="shared" ca="1" si="29"/>
        <v/>
      </c>
    </row>
    <row r="365" spans="17:23" x14ac:dyDescent="0.25">
      <c r="Q365">
        <f>IF(E365="USD",CONFIG!$B$5,1)</f>
        <v>1</v>
      </c>
      <c r="R365" t="str">
        <f t="shared" si="25"/>
        <v>✗ ERROR: Revisa datos</v>
      </c>
      <c r="S365" t="str">
        <f t="shared" ca="1" si="26"/>
        <v/>
      </c>
      <c r="T365" t="str">
        <f>IF(E365="USD",F365,IF(E365="CRC",F365/CONFIG!$B$5,""))</f>
        <v/>
      </c>
      <c r="U365" t="str">
        <f t="shared" si="27"/>
        <v/>
      </c>
      <c r="V365" t="str">
        <f t="shared" ca="1" si="28"/>
        <v/>
      </c>
      <c r="W365" t="str">
        <f t="shared" ca="1" si="29"/>
        <v/>
      </c>
    </row>
    <row r="366" spans="17:23" x14ac:dyDescent="0.25">
      <c r="Q366">
        <f>IF(E366="USD",CONFIG!$B$5,1)</f>
        <v>1</v>
      </c>
      <c r="R366" t="str">
        <f t="shared" si="25"/>
        <v>✗ ERROR: Revisa datos</v>
      </c>
      <c r="S366" t="str">
        <f t="shared" ca="1" si="26"/>
        <v/>
      </c>
      <c r="T366" t="str">
        <f>IF(E366="USD",F366,IF(E366="CRC",F366/CONFIG!$B$5,""))</f>
        <v/>
      </c>
      <c r="U366" t="str">
        <f t="shared" si="27"/>
        <v/>
      </c>
      <c r="V366" t="str">
        <f t="shared" ca="1" si="28"/>
        <v/>
      </c>
      <c r="W366" t="str">
        <f t="shared" ca="1" si="29"/>
        <v/>
      </c>
    </row>
    <row r="367" spans="17:23" x14ac:dyDescent="0.25">
      <c r="Q367">
        <f>IF(E367="USD",CONFIG!$B$5,1)</f>
        <v>1</v>
      </c>
      <c r="R367" t="str">
        <f t="shared" si="25"/>
        <v>✗ ERROR: Revisa datos</v>
      </c>
      <c r="S367" t="str">
        <f t="shared" ca="1" si="26"/>
        <v/>
      </c>
      <c r="T367" t="str">
        <f>IF(E367="USD",F367,IF(E367="CRC",F367/CONFIG!$B$5,""))</f>
        <v/>
      </c>
      <c r="U367" t="str">
        <f t="shared" si="27"/>
        <v/>
      </c>
      <c r="V367" t="str">
        <f t="shared" ca="1" si="28"/>
        <v/>
      </c>
      <c r="W367" t="str">
        <f t="shared" ca="1" si="29"/>
        <v/>
      </c>
    </row>
    <row r="368" spans="17:23" x14ac:dyDescent="0.25">
      <c r="Q368">
        <f>IF(E368="USD",CONFIG!$B$5,1)</f>
        <v>1</v>
      </c>
      <c r="R368" t="str">
        <f t="shared" si="25"/>
        <v>✗ ERROR: Revisa datos</v>
      </c>
      <c r="S368" t="str">
        <f t="shared" ca="1" si="26"/>
        <v/>
      </c>
      <c r="T368" t="str">
        <f>IF(E368="USD",F368,IF(E368="CRC",F368/CONFIG!$B$5,""))</f>
        <v/>
      </c>
      <c r="U368" t="str">
        <f t="shared" si="27"/>
        <v/>
      </c>
      <c r="V368" t="str">
        <f t="shared" ca="1" si="28"/>
        <v/>
      </c>
      <c r="W368" t="str">
        <f t="shared" ca="1" si="29"/>
        <v/>
      </c>
    </row>
    <row r="369" spans="17:23" x14ac:dyDescent="0.25">
      <c r="Q369">
        <f>IF(E369="USD",CONFIG!$B$5,1)</f>
        <v>1</v>
      </c>
      <c r="R369" t="str">
        <f t="shared" si="25"/>
        <v>✗ ERROR: Revisa datos</v>
      </c>
      <c r="S369" t="str">
        <f t="shared" ca="1" si="26"/>
        <v/>
      </c>
      <c r="T369" t="str">
        <f>IF(E369="USD",F369,IF(E369="CRC",F369/CONFIG!$B$5,""))</f>
        <v/>
      </c>
      <c r="U369" t="str">
        <f t="shared" si="27"/>
        <v/>
      </c>
      <c r="V369" t="str">
        <f t="shared" ca="1" si="28"/>
        <v/>
      </c>
      <c r="W369" t="str">
        <f t="shared" ca="1" si="29"/>
        <v/>
      </c>
    </row>
    <row r="370" spans="17:23" x14ac:dyDescent="0.25">
      <c r="Q370">
        <f>IF(E370="USD",CONFIG!$B$5,1)</f>
        <v>1</v>
      </c>
      <c r="R370" t="str">
        <f t="shared" si="25"/>
        <v>✗ ERROR: Revisa datos</v>
      </c>
      <c r="S370" t="str">
        <f t="shared" ca="1" si="26"/>
        <v/>
      </c>
      <c r="T370" t="str">
        <f>IF(E370="USD",F370,IF(E370="CRC",F370/CONFIG!$B$5,""))</f>
        <v/>
      </c>
      <c r="U370" t="str">
        <f t="shared" si="27"/>
        <v/>
      </c>
      <c r="V370" t="str">
        <f t="shared" ca="1" si="28"/>
        <v/>
      </c>
      <c r="W370" t="str">
        <f t="shared" ca="1" si="29"/>
        <v/>
      </c>
    </row>
    <row r="371" spans="17:23" x14ac:dyDescent="0.25">
      <c r="Q371">
        <f>IF(E371="USD",CONFIG!$B$5,1)</f>
        <v>1</v>
      </c>
      <c r="R371" t="str">
        <f t="shared" si="25"/>
        <v>✗ ERROR: Revisa datos</v>
      </c>
      <c r="S371" t="str">
        <f t="shared" ca="1" si="26"/>
        <v/>
      </c>
      <c r="T371" t="str">
        <f>IF(E371="USD",F371,IF(E371="CRC",F371/CONFIG!$B$5,""))</f>
        <v/>
      </c>
      <c r="U371" t="str">
        <f t="shared" si="27"/>
        <v/>
      </c>
      <c r="V371" t="str">
        <f t="shared" ca="1" si="28"/>
        <v/>
      </c>
      <c r="W371" t="str">
        <f t="shared" ca="1" si="29"/>
        <v/>
      </c>
    </row>
    <row r="372" spans="17:23" x14ac:dyDescent="0.25">
      <c r="Q372">
        <f>IF(E372="USD",CONFIG!$B$5,1)</f>
        <v>1</v>
      </c>
      <c r="R372" t="str">
        <f t="shared" si="25"/>
        <v>✗ ERROR: Revisa datos</v>
      </c>
      <c r="S372" t="str">
        <f t="shared" ca="1" si="26"/>
        <v/>
      </c>
      <c r="T372" t="str">
        <f>IF(E372="USD",F372,IF(E372="CRC",F372/CONFIG!$B$5,""))</f>
        <v/>
      </c>
      <c r="U372" t="str">
        <f t="shared" si="27"/>
        <v/>
      </c>
      <c r="V372" t="str">
        <f t="shared" ca="1" si="28"/>
        <v/>
      </c>
      <c r="W372" t="str">
        <f t="shared" ca="1" si="29"/>
        <v/>
      </c>
    </row>
    <row r="373" spans="17:23" x14ac:dyDescent="0.25">
      <c r="Q373">
        <f>IF(E373="USD",CONFIG!$B$5,1)</f>
        <v>1</v>
      </c>
      <c r="R373" t="str">
        <f t="shared" si="25"/>
        <v>✗ ERROR: Revisa datos</v>
      </c>
      <c r="S373" t="str">
        <f t="shared" ca="1" si="26"/>
        <v/>
      </c>
      <c r="T373" t="str">
        <f>IF(E373="USD",F373,IF(E373="CRC",F373/CONFIG!$B$5,""))</f>
        <v/>
      </c>
      <c r="U373" t="str">
        <f t="shared" si="27"/>
        <v/>
      </c>
      <c r="V373" t="str">
        <f t="shared" ca="1" si="28"/>
        <v/>
      </c>
      <c r="W373" t="str">
        <f t="shared" ca="1" si="29"/>
        <v/>
      </c>
    </row>
    <row r="374" spans="17:23" x14ac:dyDescent="0.25">
      <c r="Q374">
        <f>IF(E374="USD",CONFIG!$B$5,1)</f>
        <v>1</v>
      </c>
      <c r="R374" t="str">
        <f t="shared" si="25"/>
        <v>✗ ERROR: Revisa datos</v>
      </c>
      <c r="S374" t="str">
        <f t="shared" ca="1" si="26"/>
        <v/>
      </c>
      <c r="T374" t="str">
        <f>IF(E374="USD",F374,IF(E374="CRC",F374/CONFIG!$B$5,""))</f>
        <v/>
      </c>
      <c r="U374" t="str">
        <f t="shared" si="27"/>
        <v/>
      </c>
      <c r="V374" t="str">
        <f t="shared" ca="1" si="28"/>
        <v/>
      </c>
      <c r="W374" t="str">
        <f t="shared" ca="1" si="29"/>
        <v/>
      </c>
    </row>
    <row r="375" spans="17:23" x14ac:dyDescent="0.25">
      <c r="Q375">
        <f>IF(E375="USD",CONFIG!$B$5,1)</f>
        <v>1</v>
      </c>
      <c r="R375" t="str">
        <f t="shared" si="25"/>
        <v>✗ ERROR: Revisa datos</v>
      </c>
      <c r="S375" t="str">
        <f t="shared" ca="1" si="26"/>
        <v/>
      </c>
      <c r="T375" t="str">
        <f>IF(E375="USD",F375,IF(E375="CRC",F375/CONFIG!$B$5,""))</f>
        <v/>
      </c>
      <c r="U375" t="str">
        <f t="shared" si="27"/>
        <v/>
      </c>
      <c r="V375" t="str">
        <f t="shared" ca="1" si="28"/>
        <v/>
      </c>
      <c r="W375" t="str">
        <f t="shared" ca="1" si="29"/>
        <v/>
      </c>
    </row>
    <row r="376" spans="17:23" x14ac:dyDescent="0.25">
      <c r="Q376">
        <f>IF(E376="USD",CONFIG!$B$5,1)</f>
        <v>1</v>
      </c>
      <c r="R376" t="str">
        <f t="shared" si="25"/>
        <v>✗ ERROR: Revisa datos</v>
      </c>
      <c r="S376" t="str">
        <f t="shared" ca="1" si="26"/>
        <v/>
      </c>
      <c r="T376" t="str">
        <f>IF(E376="USD",F376,IF(E376="CRC",F376/CONFIG!$B$5,""))</f>
        <v/>
      </c>
      <c r="U376" t="str">
        <f t="shared" si="27"/>
        <v/>
      </c>
      <c r="V376" t="str">
        <f t="shared" ca="1" si="28"/>
        <v/>
      </c>
      <c r="W376" t="str">
        <f t="shared" ca="1" si="29"/>
        <v/>
      </c>
    </row>
    <row r="377" spans="17:23" x14ac:dyDescent="0.25">
      <c r="Q377">
        <f>IF(E377="USD",CONFIG!$B$5,1)</f>
        <v>1</v>
      </c>
      <c r="R377" t="str">
        <f t="shared" si="25"/>
        <v>✗ ERROR: Revisa datos</v>
      </c>
      <c r="S377" t="str">
        <f t="shared" ca="1" si="26"/>
        <v/>
      </c>
      <c r="T377" t="str">
        <f>IF(E377="USD",F377,IF(E377="CRC",F377/CONFIG!$B$5,""))</f>
        <v/>
      </c>
      <c r="U377" t="str">
        <f t="shared" si="27"/>
        <v/>
      </c>
      <c r="V377" t="str">
        <f t="shared" ca="1" si="28"/>
        <v/>
      </c>
      <c r="W377" t="str">
        <f t="shared" ca="1" si="29"/>
        <v/>
      </c>
    </row>
    <row r="378" spans="17:23" x14ac:dyDescent="0.25">
      <c r="Q378">
        <f>IF(E378="USD",CONFIG!$B$5,1)</f>
        <v>1</v>
      </c>
      <c r="R378" t="str">
        <f t="shared" si="25"/>
        <v>✗ ERROR: Revisa datos</v>
      </c>
      <c r="S378" t="str">
        <f t="shared" ca="1" si="26"/>
        <v/>
      </c>
      <c r="T378" t="str">
        <f>IF(E378="USD",F378,IF(E378="CRC",F378/CONFIG!$B$5,""))</f>
        <v/>
      </c>
      <c r="U378" t="str">
        <f t="shared" si="27"/>
        <v/>
      </c>
      <c r="V378" t="str">
        <f t="shared" ca="1" si="28"/>
        <v/>
      </c>
      <c r="W378" t="str">
        <f t="shared" ca="1" si="29"/>
        <v/>
      </c>
    </row>
    <row r="379" spans="17:23" x14ac:dyDescent="0.25">
      <c r="Q379">
        <f>IF(E379="USD",CONFIG!$B$5,1)</f>
        <v>1</v>
      </c>
      <c r="R379" t="str">
        <f t="shared" si="25"/>
        <v>✗ ERROR: Revisa datos</v>
      </c>
      <c r="S379" t="str">
        <f t="shared" ca="1" si="26"/>
        <v/>
      </c>
      <c r="T379" t="str">
        <f>IF(E379="USD",F379,IF(E379="CRC",F379/CONFIG!$B$5,""))</f>
        <v/>
      </c>
      <c r="U379" t="str">
        <f t="shared" si="27"/>
        <v/>
      </c>
      <c r="V379" t="str">
        <f t="shared" ca="1" si="28"/>
        <v/>
      </c>
      <c r="W379" t="str">
        <f t="shared" ca="1" si="29"/>
        <v/>
      </c>
    </row>
    <row r="380" spans="17:23" x14ac:dyDescent="0.25">
      <c r="Q380">
        <f>IF(E380="USD",CONFIG!$B$5,1)</f>
        <v>1</v>
      </c>
      <c r="R380" t="str">
        <f t="shared" si="25"/>
        <v>✗ ERROR: Revisa datos</v>
      </c>
      <c r="S380" t="str">
        <f t="shared" ca="1" si="26"/>
        <v/>
      </c>
      <c r="T380" t="str">
        <f>IF(E380="USD",F380,IF(E380="CRC",F380/CONFIG!$B$5,""))</f>
        <v/>
      </c>
      <c r="U380" t="str">
        <f t="shared" si="27"/>
        <v/>
      </c>
      <c r="V380" t="str">
        <f t="shared" ca="1" si="28"/>
        <v/>
      </c>
      <c r="W380" t="str">
        <f t="shared" ca="1" si="29"/>
        <v/>
      </c>
    </row>
    <row r="381" spans="17:23" x14ac:dyDescent="0.25">
      <c r="Q381">
        <f>IF(E381="USD",CONFIG!$B$5,1)</f>
        <v>1</v>
      </c>
      <c r="R381" t="str">
        <f t="shared" si="25"/>
        <v>✗ ERROR: Revisa datos</v>
      </c>
      <c r="S381" t="str">
        <f t="shared" ca="1" si="26"/>
        <v/>
      </c>
      <c r="T381" t="str">
        <f>IF(E381="USD",F381,IF(E381="CRC",F381/CONFIG!$B$5,""))</f>
        <v/>
      </c>
      <c r="U381" t="str">
        <f t="shared" si="27"/>
        <v/>
      </c>
      <c r="V381" t="str">
        <f t="shared" ca="1" si="28"/>
        <v/>
      </c>
      <c r="W381" t="str">
        <f t="shared" ca="1" si="29"/>
        <v/>
      </c>
    </row>
    <row r="382" spans="17:23" x14ac:dyDescent="0.25">
      <c r="Q382">
        <f>IF(E382="USD",CONFIG!$B$5,1)</f>
        <v>1</v>
      </c>
      <c r="R382" t="str">
        <f t="shared" si="25"/>
        <v>✗ ERROR: Revisa datos</v>
      </c>
      <c r="S382" t="str">
        <f t="shared" ca="1" si="26"/>
        <v/>
      </c>
      <c r="T382" t="str">
        <f>IF(E382="USD",F382,IF(E382="CRC",F382/CONFIG!$B$5,""))</f>
        <v/>
      </c>
      <c r="U382" t="str">
        <f t="shared" si="27"/>
        <v/>
      </c>
      <c r="V382" t="str">
        <f t="shared" ca="1" si="28"/>
        <v/>
      </c>
      <c r="W382" t="str">
        <f t="shared" ca="1" si="29"/>
        <v/>
      </c>
    </row>
    <row r="383" spans="17:23" x14ac:dyDescent="0.25">
      <c r="Q383">
        <f>IF(E383="USD",CONFIG!$B$5,1)</f>
        <v>1</v>
      </c>
      <c r="R383" t="str">
        <f t="shared" si="25"/>
        <v>✗ ERROR: Revisa datos</v>
      </c>
      <c r="S383" t="str">
        <f t="shared" ca="1" si="26"/>
        <v/>
      </c>
      <c r="T383" t="str">
        <f>IF(E383="USD",F383,IF(E383="CRC",F383/CONFIG!$B$5,""))</f>
        <v/>
      </c>
      <c r="U383" t="str">
        <f t="shared" si="27"/>
        <v/>
      </c>
      <c r="V383" t="str">
        <f t="shared" ca="1" si="28"/>
        <v/>
      </c>
      <c r="W383" t="str">
        <f t="shared" ca="1" si="29"/>
        <v/>
      </c>
    </row>
    <row r="384" spans="17:23" x14ac:dyDescent="0.25">
      <c r="Q384">
        <f>IF(E384="USD",CONFIG!$B$5,1)</f>
        <v>1</v>
      </c>
      <c r="R384" t="str">
        <f t="shared" si="25"/>
        <v>✗ ERROR: Revisa datos</v>
      </c>
      <c r="S384" t="str">
        <f t="shared" ca="1" si="26"/>
        <v/>
      </c>
      <c r="T384" t="str">
        <f>IF(E384="USD",F384,IF(E384="CRC",F384/CONFIG!$B$5,""))</f>
        <v/>
      </c>
      <c r="U384" t="str">
        <f t="shared" si="27"/>
        <v/>
      </c>
      <c r="V384" t="str">
        <f t="shared" ca="1" si="28"/>
        <v/>
      </c>
      <c r="W384" t="str">
        <f t="shared" ca="1" si="29"/>
        <v/>
      </c>
    </row>
    <row r="385" spans="17:23" x14ac:dyDescent="0.25">
      <c r="Q385">
        <f>IF(E385="USD",CONFIG!$B$5,1)</f>
        <v>1</v>
      </c>
      <c r="R385" t="str">
        <f t="shared" si="25"/>
        <v>✗ ERROR: Revisa datos</v>
      </c>
      <c r="S385" t="str">
        <f t="shared" ca="1" si="26"/>
        <v/>
      </c>
      <c r="T385" t="str">
        <f>IF(E385="USD",F385,IF(E385="CRC",F385/CONFIG!$B$5,""))</f>
        <v/>
      </c>
      <c r="U385" t="str">
        <f t="shared" si="27"/>
        <v/>
      </c>
      <c r="V385" t="str">
        <f t="shared" ca="1" si="28"/>
        <v/>
      </c>
      <c r="W385" t="str">
        <f t="shared" ca="1" si="29"/>
        <v/>
      </c>
    </row>
    <row r="386" spans="17:23" x14ac:dyDescent="0.25">
      <c r="Q386">
        <f>IF(E386="USD",CONFIG!$B$5,1)</f>
        <v>1</v>
      </c>
      <c r="R386" t="str">
        <f t="shared" si="25"/>
        <v>✗ ERROR: Revisa datos</v>
      </c>
      <c r="S386" t="str">
        <f t="shared" ca="1" si="26"/>
        <v/>
      </c>
      <c r="T386" t="str">
        <f>IF(E386="USD",F386,IF(E386="CRC",F386/CONFIG!$B$5,""))</f>
        <v/>
      </c>
      <c r="U386" t="str">
        <f t="shared" si="27"/>
        <v/>
      </c>
      <c r="V386" t="str">
        <f t="shared" ca="1" si="28"/>
        <v/>
      </c>
      <c r="W386" t="str">
        <f t="shared" ca="1" si="29"/>
        <v/>
      </c>
    </row>
    <row r="387" spans="17:23" x14ac:dyDescent="0.25">
      <c r="Q387">
        <f>IF(E387="USD",CONFIG!$B$5,1)</f>
        <v>1</v>
      </c>
      <c r="R387" t="str">
        <f t="shared" ref="R387:R450" si="30">IF(AND(A387&lt;&gt;"",ISNUMBER(A387),B387&lt;&gt;"",C387&lt;&gt;"",OR(E387="USD",E387="CRC"),F387&gt;0,ISNUMBER(Q387),Q387&gt;0),"✓ OK","✗ ERROR: Revisa datos")</f>
        <v>✗ ERROR: Revisa datos</v>
      </c>
      <c r="S387" t="str">
        <f t="shared" ca="1" si="26"/>
        <v/>
      </c>
      <c r="T387" t="str">
        <f>IF(E387="USD",F387,IF(E387="CRC",F387/CONFIG!$B$5,""))</f>
        <v/>
      </c>
      <c r="U387" t="str">
        <f t="shared" si="27"/>
        <v/>
      </c>
      <c r="V387" t="str">
        <f t="shared" ca="1" si="28"/>
        <v/>
      </c>
      <c r="W387" t="str">
        <f t="shared" ca="1" si="29"/>
        <v/>
      </c>
    </row>
    <row r="388" spans="17:23" x14ac:dyDescent="0.25">
      <c r="Q388">
        <f>IF(E388="USD",CONFIG!$B$5,1)</f>
        <v>1</v>
      </c>
      <c r="R388" t="str">
        <f t="shared" si="30"/>
        <v>✗ ERROR: Revisa datos</v>
      </c>
      <c r="S388" t="str">
        <f t="shared" ca="1" si="26"/>
        <v/>
      </c>
      <c r="T388" t="str">
        <f>IF(E388="USD",F388,IF(E388="CRC",F388/CONFIG!$B$5,""))</f>
        <v/>
      </c>
      <c r="U388" t="str">
        <f t="shared" si="27"/>
        <v/>
      </c>
      <c r="V388" t="str">
        <f t="shared" ca="1" si="28"/>
        <v/>
      </c>
      <c r="W388" t="str">
        <f t="shared" ca="1" si="29"/>
        <v/>
      </c>
    </row>
    <row r="389" spans="17:23" x14ac:dyDescent="0.25">
      <c r="Q389">
        <f>IF(E389="USD",CONFIG!$B$5,1)</f>
        <v>1</v>
      </c>
      <c r="R389" t="str">
        <f t="shared" si="30"/>
        <v>✗ ERROR: Revisa datos</v>
      </c>
      <c r="S389" t="str">
        <f t="shared" ca="1" si="26"/>
        <v/>
      </c>
      <c r="T389" t="str">
        <f>IF(E389="USD",F389,IF(E389="CRC",F389/CONFIG!$B$5,""))</f>
        <v/>
      </c>
      <c r="U389" t="str">
        <f t="shared" si="27"/>
        <v/>
      </c>
      <c r="V389" t="str">
        <f t="shared" ca="1" si="28"/>
        <v/>
      </c>
      <c r="W389" t="str">
        <f t="shared" ca="1" si="29"/>
        <v/>
      </c>
    </row>
    <row r="390" spans="17:23" x14ac:dyDescent="0.25">
      <c r="Q390">
        <f>IF(E390="USD",CONFIG!$B$5,1)</f>
        <v>1</v>
      </c>
      <c r="R390" t="str">
        <f t="shared" si="30"/>
        <v>✗ ERROR: Revisa datos</v>
      </c>
      <c r="S390" t="str">
        <f t="shared" ca="1" si="26"/>
        <v/>
      </c>
      <c r="T390" t="str">
        <f>IF(E390="USD",F390,IF(E390="CRC",F390/CONFIG!$B$5,""))</f>
        <v/>
      </c>
      <c r="U390" t="str">
        <f t="shared" si="27"/>
        <v/>
      </c>
      <c r="V390" t="str">
        <f t="shared" ca="1" si="28"/>
        <v/>
      </c>
      <c r="W390" t="str">
        <f t="shared" ca="1" si="29"/>
        <v/>
      </c>
    </row>
    <row r="391" spans="17:23" x14ac:dyDescent="0.25">
      <c r="Q391">
        <f>IF(E391="USD",CONFIG!$B$5,1)</f>
        <v>1</v>
      </c>
      <c r="R391" t="str">
        <f t="shared" si="30"/>
        <v>✗ ERROR: Revisa datos</v>
      </c>
      <c r="S391" t="str">
        <f t="shared" ref="S391:S454" ca="1" si="31">IF(A391&lt;&gt;"",TODAY()-A391,"")</f>
        <v/>
      </c>
      <c r="T391" t="str">
        <f>IF(E391="USD",F391,IF(E391="CRC",F391/CONFIG!$B$5,""))</f>
        <v/>
      </c>
      <c r="U391" t="str">
        <f t="shared" ref="U391:U454" si="32">IF(A391&lt;&gt;"",A391+30,"")</f>
        <v/>
      </c>
      <c r="V391" t="str">
        <f t="shared" ref="V391:V454" ca="1" si="33">IF(AND(C391="CxP",S391&gt;60),"Alta",IF(AND(C391="CxP",S391&gt;30),"Media",IF(C391="CxP","Baja","")))</f>
        <v/>
      </c>
      <c r="W391" t="str">
        <f t="shared" ref="W391:W454" ca="1" si="34">IF(AND(C391="CxC",S391&gt;90),"Alta",IF(AND(C391="CxC",S391&gt;60),"Media",IF(C391="CxC","Baja","")))</f>
        <v/>
      </c>
    </row>
    <row r="392" spans="17:23" x14ac:dyDescent="0.25">
      <c r="Q392">
        <f>IF(E392="USD",CONFIG!$B$5,1)</f>
        <v>1</v>
      </c>
      <c r="R392" t="str">
        <f t="shared" si="30"/>
        <v>✗ ERROR: Revisa datos</v>
      </c>
      <c r="S392" t="str">
        <f t="shared" ca="1" si="31"/>
        <v/>
      </c>
      <c r="T392" t="str">
        <f>IF(E392="USD",F392,IF(E392="CRC",F392/CONFIG!$B$5,""))</f>
        <v/>
      </c>
      <c r="U392" t="str">
        <f t="shared" si="32"/>
        <v/>
      </c>
      <c r="V392" t="str">
        <f t="shared" ca="1" si="33"/>
        <v/>
      </c>
      <c r="W392" t="str">
        <f t="shared" ca="1" si="34"/>
        <v/>
      </c>
    </row>
    <row r="393" spans="17:23" x14ac:dyDescent="0.25">
      <c r="Q393">
        <f>IF(E393="USD",CONFIG!$B$5,1)</f>
        <v>1</v>
      </c>
      <c r="R393" t="str">
        <f t="shared" si="30"/>
        <v>✗ ERROR: Revisa datos</v>
      </c>
      <c r="S393" t="str">
        <f t="shared" ca="1" si="31"/>
        <v/>
      </c>
      <c r="T393" t="str">
        <f>IF(E393="USD",F393,IF(E393="CRC",F393/CONFIG!$B$5,""))</f>
        <v/>
      </c>
      <c r="U393" t="str">
        <f t="shared" si="32"/>
        <v/>
      </c>
      <c r="V393" t="str">
        <f t="shared" ca="1" si="33"/>
        <v/>
      </c>
      <c r="W393" t="str">
        <f t="shared" ca="1" si="34"/>
        <v/>
      </c>
    </row>
    <row r="394" spans="17:23" x14ac:dyDescent="0.25">
      <c r="Q394">
        <f>IF(E394="USD",CONFIG!$B$5,1)</f>
        <v>1</v>
      </c>
      <c r="R394" t="str">
        <f t="shared" si="30"/>
        <v>✗ ERROR: Revisa datos</v>
      </c>
      <c r="S394" t="str">
        <f t="shared" ca="1" si="31"/>
        <v/>
      </c>
      <c r="T394" t="str">
        <f>IF(E394="USD",F394,IF(E394="CRC",F394/CONFIG!$B$5,""))</f>
        <v/>
      </c>
      <c r="U394" t="str">
        <f t="shared" si="32"/>
        <v/>
      </c>
      <c r="V394" t="str">
        <f t="shared" ca="1" si="33"/>
        <v/>
      </c>
      <c r="W394" t="str">
        <f t="shared" ca="1" si="34"/>
        <v/>
      </c>
    </row>
    <row r="395" spans="17:23" x14ac:dyDescent="0.25">
      <c r="Q395">
        <f>IF(E395="USD",CONFIG!$B$5,1)</f>
        <v>1</v>
      </c>
      <c r="R395" t="str">
        <f t="shared" si="30"/>
        <v>✗ ERROR: Revisa datos</v>
      </c>
      <c r="S395" t="str">
        <f t="shared" ca="1" si="31"/>
        <v/>
      </c>
      <c r="T395" t="str">
        <f>IF(E395="USD",F395,IF(E395="CRC",F395/CONFIG!$B$5,""))</f>
        <v/>
      </c>
      <c r="U395" t="str">
        <f t="shared" si="32"/>
        <v/>
      </c>
      <c r="V395" t="str">
        <f t="shared" ca="1" si="33"/>
        <v/>
      </c>
      <c r="W395" t="str">
        <f t="shared" ca="1" si="34"/>
        <v/>
      </c>
    </row>
    <row r="396" spans="17:23" x14ac:dyDescent="0.25">
      <c r="Q396">
        <f>IF(E396="USD",CONFIG!$B$5,1)</f>
        <v>1</v>
      </c>
      <c r="R396" t="str">
        <f t="shared" si="30"/>
        <v>✗ ERROR: Revisa datos</v>
      </c>
      <c r="S396" t="str">
        <f t="shared" ca="1" si="31"/>
        <v/>
      </c>
      <c r="T396" t="str">
        <f>IF(E396="USD",F396,IF(E396="CRC",F396/CONFIG!$B$5,""))</f>
        <v/>
      </c>
      <c r="U396" t="str">
        <f t="shared" si="32"/>
        <v/>
      </c>
      <c r="V396" t="str">
        <f t="shared" ca="1" si="33"/>
        <v/>
      </c>
      <c r="W396" t="str">
        <f t="shared" ca="1" si="34"/>
        <v/>
      </c>
    </row>
    <row r="397" spans="17:23" x14ac:dyDescent="0.25">
      <c r="Q397">
        <f>IF(E397="USD",CONFIG!$B$5,1)</f>
        <v>1</v>
      </c>
      <c r="R397" t="str">
        <f t="shared" si="30"/>
        <v>✗ ERROR: Revisa datos</v>
      </c>
      <c r="S397" t="str">
        <f t="shared" ca="1" si="31"/>
        <v/>
      </c>
      <c r="T397" t="str">
        <f>IF(E397="USD",F397,IF(E397="CRC",F397/CONFIG!$B$5,""))</f>
        <v/>
      </c>
      <c r="U397" t="str">
        <f t="shared" si="32"/>
        <v/>
      </c>
      <c r="V397" t="str">
        <f t="shared" ca="1" si="33"/>
        <v/>
      </c>
      <c r="W397" t="str">
        <f t="shared" ca="1" si="34"/>
        <v/>
      </c>
    </row>
    <row r="398" spans="17:23" x14ac:dyDescent="0.25">
      <c r="Q398">
        <f>IF(E398="USD",CONFIG!$B$5,1)</f>
        <v>1</v>
      </c>
      <c r="R398" t="str">
        <f t="shared" si="30"/>
        <v>✗ ERROR: Revisa datos</v>
      </c>
      <c r="S398" t="str">
        <f t="shared" ca="1" si="31"/>
        <v/>
      </c>
      <c r="T398" t="str">
        <f>IF(E398="USD",F398,IF(E398="CRC",F398/CONFIG!$B$5,""))</f>
        <v/>
      </c>
      <c r="U398" t="str">
        <f t="shared" si="32"/>
        <v/>
      </c>
      <c r="V398" t="str">
        <f t="shared" ca="1" si="33"/>
        <v/>
      </c>
      <c r="W398" t="str">
        <f t="shared" ca="1" si="34"/>
        <v/>
      </c>
    </row>
    <row r="399" spans="17:23" x14ac:dyDescent="0.25">
      <c r="Q399">
        <f>IF(E399="USD",CONFIG!$B$5,1)</f>
        <v>1</v>
      </c>
      <c r="R399" t="str">
        <f t="shared" si="30"/>
        <v>✗ ERROR: Revisa datos</v>
      </c>
      <c r="S399" t="str">
        <f t="shared" ca="1" si="31"/>
        <v/>
      </c>
      <c r="T399" t="str">
        <f>IF(E399="USD",F399,IF(E399="CRC",F399/CONFIG!$B$5,""))</f>
        <v/>
      </c>
      <c r="U399" t="str">
        <f t="shared" si="32"/>
        <v/>
      </c>
      <c r="V399" t="str">
        <f t="shared" ca="1" si="33"/>
        <v/>
      </c>
      <c r="W399" t="str">
        <f t="shared" ca="1" si="34"/>
        <v/>
      </c>
    </row>
    <row r="400" spans="17:23" x14ac:dyDescent="0.25">
      <c r="Q400">
        <f>IF(E400="USD",CONFIG!$B$5,1)</f>
        <v>1</v>
      </c>
      <c r="R400" t="str">
        <f t="shared" si="30"/>
        <v>✗ ERROR: Revisa datos</v>
      </c>
      <c r="S400" t="str">
        <f t="shared" ca="1" si="31"/>
        <v/>
      </c>
      <c r="T400" t="str">
        <f>IF(E400="USD",F400,IF(E400="CRC",F400/CONFIG!$B$5,""))</f>
        <v/>
      </c>
      <c r="U400" t="str">
        <f t="shared" si="32"/>
        <v/>
      </c>
      <c r="V400" t="str">
        <f t="shared" ca="1" si="33"/>
        <v/>
      </c>
      <c r="W400" t="str">
        <f t="shared" ca="1" si="34"/>
        <v/>
      </c>
    </row>
    <row r="401" spans="17:23" x14ac:dyDescent="0.25">
      <c r="Q401">
        <f>IF(E401="USD",CONFIG!$B$5,1)</f>
        <v>1</v>
      </c>
      <c r="R401" t="str">
        <f t="shared" si="30"/>
        <v>✗ ERROR: Revisa datos</v>
      </c>
      <c r="S401" t="str">
        <f t="shared" ca="1" si="31"/>
        <v/>
      </c>
      <c r="T401" t="str">
        <f>IF(E401="USD",F401,IF(E401="CRC",F401/CONFIG!$B$5,""))</f>
        <v/>
      </c>
      <c r="U401" t="str">
        <f t="shared" si="32"/>
        <v/>
      </c>
      <c r="V401" t="str">
        <f t="shared" ca="1" si="33"/>
        <v/>
      </c>
      <c r="W401" t="str">
        <f t="shared" ca="1" si="34"/>
        <v/>
      </c>
    </row>
    <row r="402" spans="17:23" x14ac:dyDescent="0.25">
      <c r="Q402">
        <f>IF(E402="USD",CONFIG!$B$5,1)</f>
        <v>1</v>
      </c>
      <c r="R402" t="str">
        <f t="shared" si="30"/>
        <v>✗ ERROR: Revisa datos</v>
      </c>
      <c r="S402" t="str">
        <f t="shared" ca="1" si="31"/>
        <v/>
      </c>
      <c r="T402" t="str">
        <f>IF(E402="USD",F402,IF(E402="CRC",F402/CONFIG!$B$5,""))</f>
        <v/>
      </c>
      <c r="U402" t="str">
        <f t="shared" si="32"/>
        <v/>
      </c>
      <c r="V402" t="str">
        <f t="shared" ca="1" si="33"/>
        <v/>
      </c>
      <c r="W402" t="str">
        <f t="shared" ca="1" si="34"/>
        <v/>
      </c>
    </row>
    <row r="403" spans="17:23" x14ac:dyDescent="0.25">
      <c r="Q403">
        <f>IF(E403="USD",CONFIG!$B$5,1)</f>
        <v>1</v>
      </c>
      <c r="R403" t="str">
        <f t="shared" si="30"/>
        <v>✗ ERROR: Revisa datos</v>
      </c>
      <c r="S403" t="str">
        <f t="shared" ca="1" si="31"/>
        <v/>
      </c>
      <c r="T403" t="str">
        <f>IF(E403="USD",F403,IF(E403="CRC",F403/CONFIG!$B$5,""))</f>
        <v/>
      </c>
      <c r="U403" t="str">
        <f t="shared" si="32"/>
        <v/>
      </c>
      <c r="V403" t="str">
        <f t="shared" ca="1" si="33"/>
        <v/>
      </c>
      <c r="W403" t="str">
        <f t="shared" ca="1" si="34"/>
        <v/>
      </c>
    </row>
    <row r="404" spans="17:23" x14ac:dyDescent="0.25">
      <c r="Q404">
        <f>IF(E404="USD",CONFIG!$B$5,1)</f>
        <v>1</v>
      </c>
      <c r="R404" t="str">
        <f t="shared" si="30"/>
        <v>✗ ERROR: Revisa datos</v>
      </c>
      <c r="S404" t="str">
        <f t="shared" ca="1" si="31"/>
        <v/>
      </c>
      <c r="T404" t="str">
        <f>IF(E404="USD",F404,IF(E404="CRC",F404/CONFIG!$B$5,""))</f>
        <v/>
      </c>
      <c r="U404" t="str">
        <f t="shared" si="32"/>
        <v/>
      </c>
      <c r="V404" t="str">
        <f t="shared" ca="1" si="33"/>
        <v/>
      </c>
      <c r="W404" t="str">
        <f t="shared" ca="1" si="34"/>
        <v/>
      </c>
    </row>
    <row r="405" spans="17:23" x14ac:dyDescent="0.25">
      <c r="Q405">
        <f>IF(E405="USD",CONFIG!$B$5,1)</f>
        <v>1</v>
      </c>
      <c r="R405" t="str">
        <f t="shared" si="30"/>
        <v>✗ ERROR: Revisa datos</v>
      </c>
      <c r="S405" t="str">
        <f t="shared" ca="1" si="31"/>
        <v/>
      </c>
      <c r="T405" t="str">
        <f>IF(E405="USD",F405,IF(E405="CRC",F405/CONFIG!$B$5,""))</f>
        <v/>
      </c>
      <c r="U405" t="str">
        <f t="shared" si="32"/>
        <v/>
      </c>
      <c r="V405" t="str">
        <f t="shared" ca="1" si="33"/>
        <v/>
      </c>
      <c r="W405" t="str">
        <f t="shared" ca="1" si="34"/>
        <v/>
      </c>
    </row>
    <row r="406" spans="17:23" x14ac:dyDescent="0.25">
      <c r="Q406">
        <f>IF(E406="USD",CONFIG!$B$5,1)</f>
        <v>1</v>
      </c>
      <c r="R406" t="str">
        <f t="shared" si="30"/>
        <v>✗ ERROR: Revisa datos</v>
      </c>
      <c r="S406" t="str">
        <f t="shared" ca="1" si="31"/>
        <v/>
      </c>
      <c r="T406" t="str">
        <f>IF(E406="USD",F406,IF(E406="CRC",F406/CONFIG!$B$5,""))</f>
        <v/>
      </c>
      <c r="U406" t="str">
        <f t="shared" si="32"/>
        <v/>
      </c>
      <c r="V406" t="str">
        <f t="shared" ca="1" si="33"/>
        <v/>
      </c>
      <c r="W406" t="str">
        <f t="shared" ca="1" si="34"/>
        <v/>
      </c>
    </row>
    <row r="407" spans="17:23" x14ac:dyDescent="0.25">
      <c r="Q407">
        <f>IF(E407="USD",CONFIG!$B$5,1)</f>
        <v>1</v>
      </c>
      <c r="R407" t="str">
        <f t="shared" si="30"/>
        <v>✗ ERROR: Revisa datos</v>
      </c>
      <c r="S407" t="str">
        <f t="shared" ca="1" si="31"/>
        <v/>
      </c>
      <c r="T407" t="str">
        <f>IF(E407="USD",F407,IF(E407="CRC",F407/CONFIG!$B$5,""))</f>
        <v/>
      </c>
      <c r="U407" t="str">
        <f t="shared" si="32"/>
        <v/>
      </c>
      <c r="V407" t="str">
        <f t="shared" ca="1" si="33"/>
        <v/>
      </c>
      <c r="W407" t="str">
        <f t="shared" ca="1" si="34"/>
        <v/>
      </c>
    </row>
    <row r="408" spans="17:23" x14ac:dyDescent="0.25">
      <c r="Q408">
        <f>IF(E408="USD",CONFIG!$B$5,1)</f>
        <v>1</v>
      </c>
      <c r="R408" t="str">
        <f t="shared" si="30"/>
        <v>✗ ERROR: Revisa datos</v>
      </c>
      <c r="S408" t="str">
        <f t="shared" ca="1" si="31"/>
        <v/>
      </c>
      <c r="T408" t="str">
        <f>IF(E408="USD",F408,IF(E408="CRC",F408/CONFIG!$B$5,""))</f>
        <v/>
      </c>
      <c r="U408" t="str">
        <f t="shared" si="32"/>
        <v/>
      </c>
      <c r="V408" t="str">
        <f t="shared" ca="1" si="33"/>
        <v/>
      </c>
      <c r="W408" t="str">
        <f t="shared" ca="1" si="34"/>
        <v/>
      </c>
    </row>
    <row r="409" spans="17:23" x14ac:dyDescent="0.25">
      <c r="Q409">
        <f>IF(E409="USD",CONFIG!$B$5,1)</f>
        <v>1</v>
      </c>
      <c r="R409" t="str">
        <f t="shared" si="30"/>
        <v>✗ ERROR: Revisa datos</v>
      </c>
      <c r="S409" t="str">
        <f t="shared" ca="1" si="31"/>
        <v/>
      </c>
      <c r="T409" t="str">
        <f>IF(E409="USD",F409,IF(E409="CRC",F409/CONFIG!$B$5,""))</f>
        <v/>
      </c>
      <c r="U409" t="str">
        <f t="shared" si="32"/>
        <v/>
      </c>
      <c r="V409" t="str">
        <f t="shared" ca="1" si="33"/>
        <v/>
      </c>
      <c r="W409" t="str">
        <f t="shared" ca="1" si="34"/>
        <v/>
      </c>
    </row>
    <row r="410" spans="17:23" x14ac:dyDescent="0.25">
      <c r="Q410">
        <f>IF(E410="USD",CONFIG!$B$5,1)</f>
        <v>1</v>
      </c>
      <c r="R410" t="str">
        <f t="shared" si="30"/>
        <v>✗ ERROR: Revisa datos</v>
      </c>
      <c r="S410" t="str">
        <f t="shared" ca="1" si="31"/>
        <v/>
      </c>
      <c r="T410" t="str">
        <f>IF(E410="USD",F410,IF(E410="CRC",F410/CONFIG!$B$5,""))</f>
        <v/>
      </c>
      <c r="U410" t="str">
        <f t="shared" si="32"/>
        <v/>
      </c>
      <c r="V410" t="str">
        <f t="shared" ca="1" si="33"/>
        <v/>
      </c>
      <c r="W410" t="str">
        <f t="shared" ca="1" si="34"/>
        <v/>
      </c>
    </row>
    <row r="411" spans="17:23" x14ac:dyDescent="0.25">
      <c r="Q411">
        <f>IF(E411="USD",CONFIG!$B$5,1)</f>
        <v>1</v>
      </c>
      <c r="R411" t="str">
        <f t="shared" si="30"/>
        <v>✗ ERROR: Revisa datos</v>
      </c>
      <c r="S411" t="str">
        <f t="shared" ca="1" si="31"/>
        <v/>
      </c>
      <c r="T411" t="str">
        <f>IF(E411="USD",F411,IF(E411="CRC",F411/CONFIG!$B$5,""))</f>
        <v/>
      </c>
      <c r="U411" t="str">
        <f t="shared" si="32"/>
        <v/>
      </c>
      <c r="V411" t="str">
        <f t="shared" ca="1" si="33"/>
        <v/>
      </c>
      <c r="W411" t="str">
        <f t="shared" ca="1" si="34"/>
        <v/>
      </c>
    </row>
    <row r="412" spans="17:23" x14ac:dyDescent="0.25">
      <c r="Q412">
        <f>IF(E412="USD",CONFIG!$B$5,1)</f>
        <v>1</v>
      </c>
      <c r="R412" t="str">
        <f t="shared" si="30"/>
        <v>✗ ERROR: Revisa datos</v>
      </c>
      <c r="S412" t="str">
        <f t="shared" ca="1" si="31"/>
        <v/>
      </c>
      <c r="T412" t="str">
        <f>IF(E412="USD",F412,IF(E412="CRC",F412/CONFIG!$B$5,""))</f>
        <v/>
      </c>
      <c r="U412" t="str">
        <f t="shared" si="32"/>
        <v/>
      </c>
      <c r="V412" t="str">
        <f t="shared" ca="1" si="33"/>
        <v/>
      </c>
      <c r="W412" t="str">
        <f t="shared" ca="1" si="34"/>
        <v/>
      </c>
    </row>
    <row r="413" spans="17:23" x14ac:dyDescent="0.25">
      <c r="Q413">
        <f>IF(E413="USD",CONFIG!$B$5,1)</f>
        <v>1</v>
      </c>
      <c r="R413" t="str">
        <f t="shared" si="30"/>
        <v>✗ ERROR: Revisa datos</v>
      </c>
      <c r="S413" t="str">
        <f t="shared" ca="1" si="31"/>
        <v/>
      </c>
      <c r="T413" t="str">
        <f>IF(E413="USD",F413,IF(E413="CRC",F413/CONFIG!$B$5,""))</f>
        <v/>
      </c>
      <c r="U413" t="str">
        <f t="shared" si="32"/>
        <v/>
      </c>
      <c r="V413" t="str">
        <f t="shared" ca="1" si="33"/>
        <v/>
      </c>
      <c r="W413" t="str">
        <f t="shared" ca="1" si="34"/>
        <v/>
      </c>
    </row>
    <row r="414" spans="17:23" x14ac:dyDescent="0.25">
      <c r="Q414">
        <f>IF(E414="USD",CONFIG!$B$5,1)</f>
        <v>1</v>
      </c>
      <c r="R414" t="str">
        <f t="shared" si="30"/>
        <v>✗ ERROR: Revisa datos</v>
      </c>
      <c r="S414" t="str">
        <f t="shared" ca="1" si="31"/>
        <v/>
      </c>
      <c r="T414" t="str">
        <f>IF(E414="USD",F414,IF(E414="CRC",F414/CONFIG!$B$5,""))</f>
        <v/>
      </c>
      <c r="U414" t="str">
        <f t="shared" si="32"/>
        <v/>
      </c>
      <c r="V414" t="str">
        <f t="shared" ca="1" si="33"/>
        <v/>
      </c>
      <c r="W414" t="str">
        <f t="shared" ca="1" si="34"/>
        <v/>
      </c>
    </row>
    <row r="415" spans="17:23" x14ac:dyDescent="0.25">
      <c r="Q415">
        <f>IF(E415="USD",CONFIG!$B$5,1)</f>
        <v>1</v>
      </c>
      <c r="R415" t="str">
        <f t="shared" si="30"/>
        <v>✗ ERROR: Revisa datos</v>
      </c>
      <c r="S415" t="str">
        <f t="shared" ca="1" si="31"/>
        <v/>
      </c>
      <c r="T415" t="str">
        <f>IF(E415="USD",F415,IF(E415="CRC",F415/CONFIG!$B$5,""))</f>
        <v/>
      </c>
      <c r="U415" t="str">
        <f t="shared" si="32"/>
        <v/>
      </c>
      <c r="V415" t="str">
        <f t="shared" ca="1" si="33"/>
        <v/>
      </c>
      <c r="W415" t="str">
        <f t="shared" ca="1" si="34"/>
        <v/>
      </c>
    </row>
    <row r="416" spans="17:23" x14ac:dyDescent="0.25">
      <c r="Q416">
        <f>IF(E416="USD",CONFIG!$B$5,1)</f>
        <v>1</v>
      </c>
      <c r="R416" t="str">
        <f t="shared" si="30"/>
        <v>✗ ERROR: Revisa datos</v>
      </c>
      <c r="S416" t="str">
        <f t="shared" ca="1" si="31"/>
        <v/>
      </c>
      <c r="T416" t="str">
        <f>IF(E416="USD",F416,IF(E416="CRC",F416/CONFIG!$B$5,""))</f>
        <v/>
      </c>
      <c r="U416" t="str">
        <f t="shared" si="32"/>
        <v/>
      </c>
      <c r="V416" t="str">
        <f t="shared" ca="1" si="33"/>
        <v/>
      </c>
      <c r="W416" t="str">
        <f t="shared" ca="1" si="34"/>
        <v/>
      </c>
    </row>
    <row r="417" spans="17:23" x14ac:dyDescent="0.25">
      <c r="Q417">
        <f>IF(E417="USD",CONFIG!$B$5,1)</f>
        <v>1</v>
      </c>
      <c r="R417" t="str">
        <f t="shared" si="30"/>
        <v>✗ ERROR: Revisa datos</v>
      </c>
      <c r="S417" t="str">
        <f t="shared" ca="1" si="31"/>
        <v/>
      </c>
      <c r="T417" t="str">
        <f>IF(E417="USD",F417,IF(E417="CRC",F417/CONFIG!$B$5,""))</f>
        <v/>
      </c>
      <c r="U417" t="str">
        <f t="shared" si="32"/>
        <v/>
      </c>
      <c r="V417" t="str">
        <f t="shared" ca="1" si="33"/>
        <v/>
      </c>
      <c r="W417" t="str">
        <f t="shared" ca="1" si="34"/>
        <v/>
      </c>
    </row>
    <row r="418" spans="17:23" x14ac:dyDescent="0.25">
      <c r="Q418">
        <f>IF(E418="USD",CONFIG!$B$5,1)</f>
        <v>1</v>
      </c>
      <c r="R418" t="str">
        <f t="shared" si="30"/>
        <v>✗ ERROR: Revisa datos</v>
      </c>
      <c r="S418" t="str">
        <f t="shared" ca="1" si="31"/>
        <v/>
      </c>
      <c r="T418" t="str">
        <f>IF(E418="USD",F418,IF(E418="CRC",F418/CONFIG!$B$5,""))</f>
        <v/>
      </c>
      <c r="U418" t="str">
        <f t="shared" si="32"/>
        <v/>
      </c>
      <c r="V418" t="str">
        <f t="shared" ca="1" si="33"/>
        <v/>
      </c>
      <c r="W418" t="str">
        <f t="shared" ca="1" si="34"/>
        <v/>
      </c>
    </row>
    <row r="419" spans="17:23" x14ac:dyDescent="0.25">
      <c r="Q419">
        <f>IF(E419="USD",CONFIG!$B$5,1)</f>
        <v>1</v>
      </c>
      <c r="R419" t="str">
        <f t="shared" si="30"/>
        <v>✗ ERROR: Revisa datos</v>
      </c>
      <c r="S419" t="str">
        <f t="shared" ca="1" si="31"/>
        <v/>
      </c>
      <c r="T419" t="str">
        <f>IF(E419="USD",F419,IF(E419="CRC",F419/CONFIG!$B$5,""))</f>
        <v/>
      </c>
      <c r="U419" t="str">
        <f t="shared" si="32"/>
        <v/>
      </c>
      <c r="V419" t="str">
        <f t="shared" ca="1" si="33"/>
        <v/>
      </c>
      <c r="W419" t="str">
        <f t="shared" ca="1" si="34"/>
        <v/>
      </c>
    </row>
    <row r="420" spans="17:23" x14ac:dyDescent="0.25">
      <c r="Q420">
        <f>IF(E420="USD",CONFIG!$B$5,1)</f>
        <v>1</v>
      </c>
      <c r="R420" t="str">
        <f t="shared" si="30"/>
        <v>✗ ERROR: Revisa datos</v>
      </c>
      <c r="S420" t="str">
        <f t="shared" ca="1" si="31"/>
        <v/>
      </c>
      <c r="T420" t="str">
        <f>IF(E420="USD",F420,IF(E420="CRC",F420/CONFIG!$B$5,""))</f>
        <v/>
      </c>
      <c r="U420" t="str">
        <f t="shared" si="32"/>
        <v/>
      </c>
      <c r="V420" t="str">
        <f t="shared" ca="1" si="33"/>
        <v/>
      </c>
      <c r="W420" t="str">
        <f t="shared" ca="1" si="34"/>
        <v/>
      </c>
    </row>
    <row r="421" spans="17:23" x14ac:dyDescent="0.25">
      <c r="Q421">
        <f>IF(E421="USD",CONFIG!$B$5,1)</f>
        <v>1</v>
      </c>
      <c r="R421" t="str">
        <f t="shared" si="30"/>
        <v>✗ ERROR: Revisa datos</v>
      </c>
      <c r="S421" t="str">
        <f t="shared" ca="1" si="31"/>
        <v/>
      </c>
      <c r="T421" t="str">
        <f>IF(E421="USD",F421,IF(E421="CRC",F421/CONFIG!$B$5,""))</f>
        <v/>
      </c>
      <c r="U421" t="str">
        <f t="shared" si="32"/>
        <v/>
      </c>
      <c r="V421" t="str">
        <f t="shared" ca="1" si="33"/>
        <v/>
      </c>
      <c r="W421" t="str">
        <f t="shared" ca="1" si="34"/>
        <v/>
      </c>
    </row>
    <row r="422" spans="17:23" x14ac:dyDescent="0.25">
      <c r="Q422">
        <f>IF(E422="USD",CONFIG!$B$5,1)</f>
        <v>1</v>
      </c>
      <c r="R422" t="str">
        <f t="shared" si="30"/>
        <v>✗ ERROR: Revisa datos</v>
      </c>
      <c r="S422" t="str">
        <f t="shared" ca="1" si="31"/>
        <v/>
      </c>
      <c r="T422" t="str">
        <f>IF(E422="USD",F422,IF(E422="CRC",F422/CONFIG!$B$5,""))</f>
        <v/>
      </c>
      <c r="U422" t="str">
        <f t="shared" si="32"/>
        <v/>
      </c>
      <c r="V422" t="str">
        <f t="shared" ca="1" si="33"/>
        <v/>
      </c>
      <c r="W422" t="str">
        <f t="shared" ca="1" si="34"/>
        <v/>
      </c>
    </row>
    <row r="423" spans="17:23" x14ac:dyDescent="0.25">
      <c r="Q423">
        <f>IF(E423="USD",CONFIG!$B$5,1)</f>
        <v>1</v>
      </c>
      <c r="R423" t="str">
        <f t="shared" si="30"/>
        <v>✗ ERROR: Revisa datos</v>
      </c>
      <c r="S423" t="str">
        <f t="shared" ca="1" si="31"/>
        <v/>
      </c>
      <c r="T423" t="str">
        <f>IF(E423="USD",F423,IF(E423="CRC",F423/CONFIG!$B$5,""))</f>
        <v/>
      </c>
      <c r="U423" t="str">
        <f t="shared" si="32"/>
        <v/>
      </c>
      <c r="V423" t="str">
        <f t="shared" ca="1" si="33"/>
        <v/>
      </c>
      <c r="W423" t="str">
        <f t="shared" ca="1" si="34"/>
        <v/>
      </c>
    </row>
    <row r="424" spans="17:23" x14ac:dyDescent="0.25">
      <c r="Q424">
        <f>IF(E424="USD",CONFIG!$B$5,1)</f>
        <v>1</v>
      </c>
      <c r="R424" t="str">
        <f t="shared" si="30"/>
        <v>✗ ERROR: Revisa datos</v>
      </c>
      <c r="S424" t="str">
        <f t="shared" ca="1" si="31"/>
        <v/>
      </c>
      <c r="T424" t="str">
        <f>IF(E424="USD",F424,IF(E424="CRC",F424/CONFIG!$B$5,""))</f>
        <v/>
      </c>
      <c r="U424" t="str">
        <f t="shared" si="32"/>
        <v/>
      </c>
      <c r="V424" t="str">
        <f t="shared" ca="1" si="33"/>
        <v/>
      </c>
      <c r="W424" t="str">
        <f t="shared" ca="1" si="34"/>
        <v/>
      </c>
    </row>
    <row r="425" spans="17:23" x14ac:dyDescent="0.25">
      <c r="Q425">
        <f>IF(E425="USD",CONFIG!$B$5,1)</f>
        <v>1</v>
      </c>
      <c r="R425" t="str">
        <f t="shared" si="30"/>
        <v>✗ ERROR: Revisa datos</v>
      </c>
      <c r="S425" t="str">
        <f t="shared" ca="1" si="31"/>
        <v/>
      </c>
      <c r="T425" t="str">
        <f>IF(E425="USD",F425,IF(E425="CRC",F425/CONFIG!$B$5,""))</f>
        <v/>
      </c>
      <c r="U425" t="str">
        <f t="shared" si="32"/>
        <v/>
      </c>
      <c r="V425" t="str">
        <f t="shared" ca="1" si="33"/>
        <v/>
      </c>
      <c r="W425" t="str">
        <f t="shared" ca="1" si="34"/>
        <v/>
      </c>
    </row>
    <row r="426" spans="17:23" x14ac:dyDescent="0.25">
      <c r="Q426">
        <f>IF(E426="USD",CONFIG!$B$5,1)</f>
        <v>1</v>
      </c>
      <c r="R426" t="str">
        <f t="shared" si="30"/>
        <v>✗ ERROR: Revisa datos</v>
      </c>
      <c r="S426" t="str">
        <f t="shared" ca="1" si="31"/>
        <v/>
      </c>
      <c r="T426" t="str">
        <f>IF(E426="USD",F426,IF(E426="CRC",F426/CONFIG!$B$5,""))</f>
        <v/>
      </c>
      <c r="U426" t="str">
        <f t="shared" si="32"/>
        <v/>
      </c>
      <c r="V426" t="str">
        <f t="shared" ca="1" si="33"/>
        <v/>
      </c>
      <c r="W426" t="str">
        <f t="shared" ca="1" si="34"/>
        <v/>
      </c>
    </row>
    <row r="427" spans="17:23" x14ac:dyDescent="0.25">
      <c r="Q427">
        <f>IF(E427="USD",CONFIG!$B$5,1)</f>
        <v>1</v>
      </c>
      <c r="R427" t="str">
        <f t="shared" si="30"/>
        <v>✗ ERROR: Revisa datos</v>
      </c>
      <c r="S427" t="str">
        <f t="shared" ca="1" si="31"/>
        <v/>
      </c>
      <c r="T427" t="str">
        <f>IF(E427="USD",F427,IF(E427="CRC",F427/CONFIG!$B$5,""))</f>
        <v/>
      </c>
      <c r="U427" t="str">
        <f t="shared" si="32"/>
        <v/>
      </c>
      <c r="V427" t="str">
        <f t="shared" ca="1" si="33"/>
        <v/>
      </c>
      <c r="W427" t="str">
        <f t="shared" ca="1" si="34"/>
        <v/>
      </c>
    </row>
    <row r="428" spans="17:23" x14ac:dyDescent="0.25">
      <c r="Q428">
        <f>IF(E428="USD",CONFIG!$B$5,1)</f>
        <v>1</v>
      </c>
      <c r="R428" t="str">
        <f t="shared" si="30"/>
        <v>✗ ERROR: Revisa datos</v>
      </c>
      <c r="S428" t="str">
        <f t="shared" ca="1" si="31"/>
        <v/>
      </c>
      <c r="T428" t="str">
        <f>IF(E428="USD",F428,IF(E428="CRC",F428/CONFIG!$B$5,""))</f>
        <v/>
      </c>
      <c r="U428" t="str">
        <f t="shared" si="32"/>
        <v/>
      </c>
      <c r="V428" t="str">
        <f t="shared" ca="1" si="33"/>
        <v/>
      </c>
      <c r="W428" t="str">
        <f t="shared" ca="1" si="34"/>
        <v/>
      </c>
    </row>
    <row r="429" spans="17:23" x14ac:dyDescent="0.25">
      <c r="Q429">
        <f>IF(E429="USD",CONFIG!$B$5,1)</f>
        <v>1</v>
      </c>
      <c r="R429" t="str">
        <f t="shared" si="30"/>
        <v>✗ ERROR: Revisa datos</v>
      </c>
      <c r="S429" t="str">
        <f t="shared" ca="1" si="31"/>
        <v/>
      </c>
      <c r="T429" t="str">
        <f>IF(E429="USD",F429,IF(E429="CRC",F429/CONFIG!$B$5,""))</f>
        <v/>
      </c>
      <c r="U429" t="str">
        <f t="shared" si="32"/>
        <v/>
      </c>
      <c r="V429" t="str">
        <f t="shared" ca="1" si="33"/>
        <v/>
      </c>
      <c r="W429" t="str">
        <f t="shared" ca="1" si="34"/>
        <v/>
      </c>
    </row>
    <row r="430" spans="17:23" x14ac:dyDescent="0.25">
      <c r="Q430">
        <f>IF(E430="USD",CONFIG!$B$5,1)</f>
        <v>1</v>
      </c>
      <c r="R430" t="str">
        <f t="shared" si="30"/>
        <v>✗ ERROR: Revisa datos</v>
      </c>
      <c r="S430" t="str">
        <f t="shared" ca="1" si="31"/>
        <v/>
      </c>
      <c r="T430" t="str">
        <f>IF(E430="USD",F430,IF(E430="CRC",F430/CONFIG!$B$5,""))</f>
        <v/>
      </c>
      <c r="U430" t="str">
        <f t="shared" si="32"/>
        <v/>
      </c>
      <c r="V430" t="str">
        <f t="shared" ca="1" si="33"/>
        <v/>
      </c>
      <c r="W430" t="str">
        <f t="shared" ca="1" si="34"/>
        <v/>
      </c>
    </row>
    <row r="431" spans="17:23" x14ac:dyDescent="0.25">
      <c r="Q431">
        <f>IF(E431="USD",CONFIG!$B$5,1)</f>
        <v>1</v>
      </c>
      <c r="R431" t="str">
        <f t="shared" si="30"/>
        <v>✗ ERROR: Revisa datos</v>
      </c>
      <c r="S431" t="str">
        <f t="shared" ca="1" si="31"/>
        <v/>
      </c>
      <c r="T431" t="str">
        <f>IF(E431="USD",F431,IF(E431="CRC",F431/CONFIG!$B$5,""))</f>
        <v/>
      </c>
      <c r="U431" t="str">
        <f t="shared" si="32"/>
        <v/>
      </c>
      <c r="V431" t="str">
        <f t="shared" ca="1" si="33"/>
        <v/>
      </c>
      <c r="W431" t="str">
        <f t="shared" ca="1" si="34"/>
        <v/>
      </c>
    </row>
    <row r="432" spans="17:23" x14ac:dyDescent="0.25">
      <c r="Q432">
        <f>IF(E432="USD",CONFIG!$B$5,1)</f>
        <v>1</v>
      </c>
      <c r="R432" t="str">
        <f t="shared" si="30"/>
        <v>✗ ERROR: Revisa datos</v>
      </c>
      <c r="S432" t="str">
        <f t="shared" ca="1" si="31"/>
        <v/>
      </c>
      <c r="T432" t="str">
        <f>IF(E432="USD",F432,IF(E432="CRC",F432/CONFIG!$B$5,""))</f>
        <v/>
      </c>
      <c r="U432" t="str">
        <f t="shared" si="32"/>
        <v/>
      </c>
      <c r="V432" t="str">
        <f t="shared" ca="1" si="33"/>
        <v/>
      </c>
      <c r="W432" t="str">
        <f t="shared" ca="1" si="34"/>
        <v/>
      </c>
    </row>
    <row r="433" spans="17:23" x14ac:dyDescent="0.25">
      <c r="Q433">
        <f>IF(E433="USD",CONFIG!$B$5,1)</f>
        <v>1</v>
      </c>
      <c r="R433" t="str">
        <f t="shared" si="30"/>
        <v>✗ ERROR: Revisa datos</v>
      </c>
      <c r="S433" t="str">
        <f t="shared" ca="1" si="31"/>
        <v/>
      </c>
      <c r="T433" t="str">
        <f>IF(E433="USD",F433,IF(E433="CRC",F433/CONFIG!$B$5,""))</f>
        <v/>
      </c>
      <c r="U433" t="str">
        <f t="shared" si="32"/>
        <v/>
      </c>
      <c r="V433" t="str">
        <f t="shared" ca="1" si="33"/>
        <v/>
      </c>
      <c r="W433" t="str">
        <f t="shared" ca="1" si="34"/>
        <v/>
      </c>
    </row>
    <row r="434" spans="17:23" x14ac:dyDescent="0.25">
      <c r="Q434">
        <f>IF(E434="USD",CONFIG!$B$5,1)</f>
        <v>1</v>
      </c>
      <c r="R434" t="str">
        <f t="shared" si="30"/>
        <v>✗ ERROR: Revisa datos</v>
      </c>
      <c r="S434" t="str">
        <f t="shared" ca="1" si="31"/>
        <v/>
      </c>
      <c r="T434" t="str">
        <f>IF(E434="USD",F434,IF(E434="CRC",F434/CONFIG!$B$5,""))</f>
        <v/>
      </c>
      <c r="U434" t="str">
        <f t="shared" si="32"/>
        <v/>
      </c>
      <c r="V434" t="str">
        <f t="shared" ca="1" si="33"/>
        <v/>
      </c>
      <c r="W434" t="str">
        <f t="shared" ca="1" si="34"/>
        <v/>
      </c>
    </row>
    <row r="435" spans="17:23" x14ac:dyDescent="0.25">
      <c r="Q435">
        <f>IF(E435="USD",CONFIG!$B$5,1)</f>
        <v>1</v>
      </c>
      <c r="R435" t="str">
        <f t="shared" si="30"/>
        <v>✗ ERROR: Revisa datos</v>
      </c>
      <c r="S435" t="str">
        <f t="shared" ca="1" si="31"/>
        <v/>
      </c>
      <c r="T435" t="str">
        <f>IF(E435="USD",F435,IF(E435="CRC",F435/CONFIG!$B$5,""))</f>
        <v/>
      </c>
      <c r="U435" t="str">
        <f t="shared" si="32"/>
        <v/>
      </c>
      <c r="V435" t="str">
        <f t="shared" ca="1" si="33"/>
        <v/>
      </c>
      <c r="W435" t="str">
        <f t="shared" ca="1" si="34"/>
        <v/>
      </c>
    </row>
    <row r="436" spans="17:23" x14ac:dyDescent="0.25">
      <c r="Q436">
        <f>IF(E436="USD",CONFIG!$B$5,1)</f>
        <v>1</v>
      </c>
      <c r="R436" t="str">
        <f t="shared" si="30"/>
        <v>✗ ERROR: Revisa datos</v>
      </c>
      <c r="S436" t="str">
        <f t="shared" ca="1" si="31"/>
        <v/>
      </c>
      <c r="T436" t="str">
        <f>IF(E436="USD",F436,IF(E436="CRC",F436/CONFIG!$B$5,""))</f>
        <v/>
      </c>
      <c r="U436" t="str">
        <f t="shared" si="32"/>
        <v/>
      </c>
      <c r="V436" t="str">
        <f t="shared" ca="1" si="33"/>
        <v/>
      </c>
      <c r="W436" t="str">
        <f t="shared" ca="1" si="34"/>
        <v/>
      </c>
    </row>
    <row r="437" spans="17:23" x14ac:dyDescent="0.25">
      <c r="Q437">
        <f>IF(E437="USD",CONFIG!$B$5,1)</f>
        <v>1</v>
      </c>
      <c r="R437" t="str">
        <f t="shared" si="30"/>
        <v>✗ ERROR: Revisa datos</v>
      </c>
      <c r="S437" t="str">
        <f t="shared" ca="1" si="31"/>
        <v/>
      </c>
      <c r="T437" t="str">
        <f>IF(E437="USD",F437,IF(E437="CRC",F437/CONFIG!$B$5,""))</f>
        <v/>
      </c>
      <c r="U437" t="str">
        <f t="shared" si="32"/>
        <v/>
      </c>
      <c r="V437" t="str">
        <f t="shared" ca="1" si="33"/>
        <v/>
      </c>
      <c r="W437" t="str">
        <f t="shared" ca="1" si="34"/>
        <v/>
      </c>
    </row>
    <row r="438" spans="17:23" x14ac:dyDescent="0.25">
      <c r="Q438">
        <f>IF(E438="USD",CONFIG!$B$5,1)</f>
        <v>1</v>
      </c>
      <c r="R438" t="str">
        <f t="shared" si="30"/>
        <v>✗ ERROR: Revisa datos</v>
      </c>
      <c r="S438" t="str">
        <f t="shared" ca="1" si="31"/>
        <v/>
      </c>
      <c r="T438" t="str">
        <f>IF(E438="USD",F438,IF(E438="CRC",F438/CONFIG!$B$5,""))</f>
        <v/>
      </c>
      <c r="U438" t="str">
        <f t="shared" si="32"/>
        <v/>
      </c>
      <c r="V438" t="str">
        <f t="shared" ca="1" si="33"/>
        <v/>
      </c>
      <c r="W438" t="str">
        <f t="shared" ca="1" si="34"/>
        <v/>
      </c>
    </row>
    <row r="439" spans="17:23" x14ac:dyDescent="0.25">
      <c r="Q439">
        <f>IF(E439="USD",CONFIG!$B$5,1)</f>
        <v>1</v>
      </c>
      <c r="R439" t="str">
        <f t="shared" si="30"/>
        <v>✗ ERROR: Revisa datos</v>
      </c>
      <c r="S439" t="str">
        <f t="shared" ca="1" si="31"/>
        <v/>
      </c>
      <c r="T439" t="str">
        <f>IF(E439="USD",F439,IF(E439="CRC",F439/CONFIG!$B$5,""))</f>
        <v/>
      </c>
      <c r="U439" t="str">
        <f t="shared" si="32"/>
        <v/>
      </c>
      <c r="V439" t="str">
        <f t="shared" ca="1" si="33"/>
        <v/>
      </c>
      <c r="W439" t="str">
        <f t="shared" ca="1" si="34"/>
        <v/>
      </c>
    </row>
    <row r="440" spans="17:23" x14ac:dyDescent="0.25">
      <c r="Q440">
        <f>IF(E440="USD",CONFIG!$B$5,1)</f>
        <v>1</v>
      </c>
      <c r="R440" t="str">
        <f t="shared" si="30"/>
        <v>✗ ERROR: Revisa datos</v>
      </c>
      <c r="S440" t="str">
        <f t="shared" ca="1" si="31"/>
        <v/>
      </c>
      <c r="T440" t="str">
        <f>IF(E440="USD",F440,IF(E440="CRC",F440/CONFIG!$B$5,""))</f>
        <v/>
      </c>
      <c r="U440" t="str">
        <f t="shared" si="32"/>
        <v/>
      </c>
      <c r="V440" t="str">
        <f t="shared" ca="1" si="33"/>
        <v/>
      </c>
      <c r="W440" t="str">
        <f t="shared" ca="1" si="34"/>
        <v/>
      </c>
    </row>
    <row r="441" spans="17:23" x14ac:dyDescent="0.25">
      <c r="Q441">
        <f>IF(E441="USD",CONFIG!$B$5,1)</f>
        <v>1</v>
      </c>
      <c r="R441" t="str">
        <f t="shared" si="30"/>
        <v>✗ ERROR: Revisa datos</v>
      </c>
      <c r="S441" t="str">
        <f t="shared" ca="1" si="31"/>
        <v/>
      </c>
      <c r="T441" t="str">
        <f>IF(E441="USD",F441,IF(E441="CRC",F441/CONFIG!$B$5,""))</f>
        <v/>
      </c>
      <c r="U441" t="str">
        <f t="shared" si="32"/>
        <v/>
      </c>
      <c r="V441" t="str">
        <f t="shared" ca="1" si="33"/>
        <v/>
      </c>
      <c r="W441" t="str">
        <f t="shared" ca="1" si="34"/>
        <v/>
      </c>
    </row>
    <row r="442" spans="17:23" x14ac:dyDescent="0.25">
      <c r="Q442">
        <f>IF(E442="USD",CONFIG!$B$5,1)</f>
        <v>1</v>
      </c>
      <c r="R442" t="str">
        <f t="shared" si="30"/>
        <v>✗ ERROR: Revisa datos</v>
      </c>
      <c r="S442" t="str">
        <f t="shared" ca="1" si="31"/>
        <v/>
      </c>
      <c r="T442" t="str">
        <f>IF(E442="USD",F442,IF(E442="CRC",F442/CONFIG!$B$5,""))</f>
        <v/>
      </c>
      <c r="U442" t="str">
        <f t="shared" si="32"/>
        <v/>
      </c>
      <c r="V442" t="str">
        <f t="shared" ca="1" si="33"/>
        <v/>
      </c>
      <c r="W442" t="str">
        <f t="shared" ca="1" si="34"/>
        <v/>
      </c>
    </row>
    <row r="443" spans="17:23" x14ac:dyDescent="0.25">
      <c r="Q443">
        <f>IF(E443="USD",CONFIG!$B$5,1)</f>
        <v>1</v>
      </c>
      <c r="R443" t="str">
        <f t="shared" si="30"/>
        <v>✗ ERROR: Revisa datos</v>
      </c>
      <c r="S443" t="str">
        <f t="shared" ca="1" si="31"/>
        <v/>
      </c>
      <c r="T443" t="str">
        <f>IF(E443="USD",F443,IF(E443="CRC",F443/CONFIG!$B$5,""))</f>
        <v/>
      </c>
      <c r="U443" t="str">
        <f t="shared" si="32"/>
        <v/>
      </c>
      <c r="V443" t="str">
        <f t="shared" ca="1" si="33"/>
        <v/>
      </c>
      <c r="W443" t="str">
        <f t="shared" ca="1" si="34"/>
        <v/>
      </c>
    </row>
    <row r="444" spans="17:23" x14ac:dyDescent="0.25">
      <c r="Q444">
        <f>IF(E444="USD",CONFIG!$B$5,1)</f>
        <v>1</v>
      </c>
      <c r="R444" t="str">
        <f t="shared" si="30"/>
        <v>✗ ERROR: Revisa datos</v>
      </c>
      <c r="S444" t="str">
        <f t="shared" ca="1" si="31"/>
        <v/>
      </c>
      <c r="T444" t="str">
        <f>IF(E444="USD",F444,IF(E444="CRC",F444/CONFIG!$B$5,""))</f>
        <v/>
      </c>
      <c r="U444" t="str">
        <f t="shared" si="32"/>
        <v/>
      </c>
      <c r="V444" t="str">
        <f t="shared" ca="1" si="33"/>
        <v/>
      </c>
      <c r="W444" t="str">
        <f t="shared" ca="1" si="34"/>
        <v/>
      </c>
    </row>
    <row r="445" spans="17:23" x14ac:dyDescent="0.25">
      <c r="Q445">
        <f>IF(E445="USD",CONFIG!$B$5,1)</f>
        <v>1</v>
      </c>
      <c r="R445" t="str">
        <f t="shared" si="30"/>
        <v>✗ ERROR: Revisa datos</v>
      </c>
      <c r="S445" t="str">
        <f t="shared" ca="1" si="31"/>
        <v/>
      </c>
      <c r="T445" t="str">
        <f>IF(E445="USD",F445,IF(E445="CRC",F445/CONFIG!$B$5,""))</f>
        <v/>
      </c>
      <c r="U445" t="str">
        <f t="shared" si="32"/>
        <v/>
      </c>
      <c r="V445" t="str">
        <f t="shared" ca="1" si="33"/>
        <v/>
      </c>
      <c r="W445" t="str">
        <f t="shared" ca="1" si="34"/>
        <v/>
      </c>
    </row>
    <row r="446" spans="17:23" x14ac:dyDescent="0.25">
      <c r="Q446">
        <f>IF(E446="USD",CONFIG!$B$5,1)</f>
        <v>1</v>
      </c>
      <c r="R446" t="str">
        <f t="shared" si="30"/>
        <v>✗ ERROR: Revisa datos</v>
      </c>
      <c r="S446" t="str">
        <f t="shared" ca="1" si="31"/>
        <v/>
      </c>
      <c r="T446" t="str">
        <f>IF(E446="USD",F446,IF(E446="CRC",F446/CONFIG!$B$5,""))</f>
        <v/>
      </c>
      <c r="U446" t="str">
        <f t="shared" si="32"/>
        <v/>
      </c>
      <c r="V446" t="str">
        <f t="shared" ca="1" si="33"/>
        <v/>
      </c>
      <c r="W446" t="str">
        <f t="shared" ca="1" si="34"/>
        <v/>
      </c>
    </row>
    <row r="447" spans="17:23" x14ac:dyDescent="0.25">
      <c r="Q447">
        <f>IF(E447="USD",CONFIG!$B$5,1)</f>
        <v>1</v>
      </c>
      <c r="R447" t="str">
        <f t="shared" si="30"/>
        <v>✗ ERROR: Revisa datos</v>
      </c>
      <c r="S447" t="str">
        <f t="shared" ca="1" si="31"/>
        <v/>
      </c>
      <c r="T447" t="str">
        <f>IF(E447="USD",F447,IF(E447="CRC",F447/CONFIG!$B$5,""))</f>
        <v/>
      </c>
      <c r="U447" t="str">
        <f t="shared" si="32"/>
        <v/>
      </c>
      <c r="V447" t="str">
        <f t="shared" ca="1" si="33"/>
        <v/>
      </c>
      <c r="W447" t="str">
        <f t="shared" ca="1" si="34"/>
        <v/>
      </c>
    </row>
    <row r="448" spans="17:23" x14ac:dyDescent="0.25">
      <c r="Q448">
        <f>IF(E448="USD",CONFIG!$B$5,1)</f>
        <v>1</v>
      </c>
      <c r="R448" t="str">
        <f t="shared" si="30"/>
        <v>✗ ERROR: Revisa datos</v>
      </c>
      <c r="S448" t="str">
        <f t="shared" ca="1" si="31"/>
        <v/>
      </c>
      <c r="T448" t="str">
        <f>IF(E448="USD",F448,IF(E448="CRC",F448/CONFIG!$B$5,""))</f>
        <v/>
      </c>
      <c r="U448" t="str">
        <f t="shared" si="32"/>
        <v/>
      </c>
      <c r="V448" t="str">
        <f t="shared" ca="1" si="33"/>
        <v/>
      </c>
      <c r="W448" t="str">
        <f t="shared" ca="1" si="34"/>
        <v/>
      </c>
    </row>
    <row r="449" spans="17:23" x14ac:dyDescent="0.25">
      <c r="Q449">
        <f>IF(E449="USD",CONFIG!$B$5,1)</f>
        <v>1</v>
      </c>
      <c r="R449" t="str">
        <f t="shared" si="30"/>
        <v>✗ ERROR: Revisa datos</v>
      </c>
      <c r="S449" t="str">
        <f t="shared" ca="1" si="31"/>
        <v/>
      </c>
      <c r="T449" t="str">
        <f>IF(E449="USD",F449,IF(E449="CRC",F449/CONFIG!$B$5,""))</f>
        <v/>
      </c>
      <c r="U449" t="str">
        <f t="shared" si="32"/>
        <v/>
      </c>
      <c r="V449" t="str">
        <f t="shared" ca="1" si="33"/>
        <v/>
      </c>
      <c r="W449" t="str">
        <f t="shared" ca="1" si="34"/>
        <v/>
      </c>
    </row>
    <row r="450" spans="17:23" x14ac:dyDescent="0.25">
      <c r="Q450">
        <f>IF(E450="USD",CONFIG!$B$5,1)</f>
        <v>1</v>
      </c>
      <c r="R450" t="str">
        <f t="shared" si="30"/>
        <v>✗ ERROR: Revisa datos</v>
      </c>
      <c r="S450" t="str">
        <f t="shared" ca="1" si="31"/>
        <v/>
      </c>
      <c r="T450" t="str">
        <f>IF(E450="USD",F450,IF(E450="CRC",F450/CONFIG!$B$5,""))</f>
        <v/>
      </c>
      <c r="U450" t="str">
        <f t="shared" si="32"/>
        <v/>
      </c>
      <c r="V450" t="str">
        <f t="shared" ca="1" si="33"/>
        <v/>
      </c>
      <c r="W450" t="str">
        <f t="shared" ca="1" si="34"/>
        <v/>
      </c>
    </row>
    <row r="451" spans="17:23" x14ac:dyDescent="0.25">
      <c r="Q451">
        <f>IF(E451="USD",CONFIG!$B$5,1)</f>
        <v>1</v>
      </c>
      <c r="R451" t="str">
        <f t="shared" ref="R451:R514" si="35">IF(AND(A451&lt;&gt;"",ISNUMBER(A451),B451&lt;&gt;"",C451&lt;&gt;"",OR(E451="USD",E451="CRC"),F451&gt;0,ISNUMBER(Q451),Q451&gt;0),"✓ OK","✗ ERROR: Revisa datos")</f>
        <v>✗ ERROR: Revisa datos</v>
      </c>
      <c r="S451" t="str">
        <f t="shared" ca="1" si="31"/>
        <v/>
      </c>
      <c r="T451" t="str">
        <f>IF(E451="USD",F451,IF(E451="CRC",F451/CONFIG!$B$5,""))</f>
        <v/>
      </c>
      <c r="U451" t="str">
        <f t="shared" si="32"/>
        <v/>
      </c>
      <c r="V451" t="str">
        <f t="shared" ca="1" si="33"/>
        <v/>
      </c>
      <c r="W451" t="str">
        <f t="shared" ca="1" si="34"/>
        <v/>
      </c>
    </row>
    <row r="452" spans="17:23" x14ac:dyDescent="0.25">
      <c r="Q452">
        <f>IF(E452="USD",CONFIG!$B$5,1)</f>
        <v>1</v>
      </c>
      <c r="R452" t="str">
        <f t="shared" si="35"/>
        <v>✗ ERROR: Revisa datos</v>
      </c>
      <c r="S452" t="str">
        <f t="shared" ca="1" si="31"/>
        <v/>
      </c>
      <c r="T452" t="str">
        <f>IF(E452="USD",F452,IF(E452="CRC",F452/CONFIG!$B$5,""))</f>
        <v/>
      </c>
      <c r="U452" t="str">
        <f t="shared" si="32"/>
        <v/>
      </c>
      <c r="V452" t="str">
        <f t="shared" ca="1" si="33"/>
        <v/>
      </c>
      <c r="W452" t="str">
        <f t="shared" ca="1" si="34"/>
        <v/>
      </c>
    </row>
    <row r="453" spans="17:23" x14ac:dyDescent="0.25">
      <c r="Q453">
        <f>IF(E453="USD",CONFIG!$B$5,1)</f>
        <v>1</v>
      </c>
      <c r="R453" t="str">
        <f t="shared" si="35"/>
        <v>✗ ERROR: Revisa datos</v>
      </c>
      <c r="S453" t="str">
        <f t="shared" ca="1" si="31"/>
        <v/>
      </c>
      <c r="T453" t="str">
        <f>IF(E453="USD",F453,IF(E453="CRC",F453/CONFIG!$B$5,""))</f>
        <v/>
      </c>
      <c r="U453" t="str">
        <f t="shared" si="32"/>
        <v/>
      </c>
      <c r="V453" t="str">
        <f t="shared" ca="1" si="33"/>
        <v/>
      </c>
      <c r="W453" t="str">
        <f t="shared" ca="1" si="34"/>
        <v/>
      </c>
    </row>
    <row r="454" spans="17:23" x14ac:dyDescent="0.25">
      <c r="Q454">
        <f>IF(E454="USD",CONFIG!$B$5,1)</f>
        <v>1</v>
      </c>
      <c r="R454" t="str">
        <f t="shared" si="35"/>
        <v>✗ ERROR: Revisa datos</v>
      </c>
      <c r="S454" t="str">
        <f t="shared" ca="1" si="31"/>
        <v/>
      </c>
      <c r="T454" t="str">
        <f>IF(E454="USD",F454,IF(E454="CRC",F454/CONFIG!$B$5,""))</f>
        <v/>
      </c>
      <c r="U454" t="str">
        <f t="shared" si="32"/>
        <v/>
      </c>
      <c r="V454" t="str">
        <f t="shared" ca="1" si="33"/>
        <v/>
      </c>
      <c r="W454" t="str">
        <f t="shared" ca="1" si="34"/>
        <v/>
      </c>
    </row>
    <row r="455" spans="17:23" x14ac:dyDescent="0.25">
      <c r="Q455">
        <f>IF(E455="USD",CONFIG!$B$5,1)</f>
        <v>1</v>
      </c>
      <c r="R455" t="str">
        <f t="shared" si="35"/>
        <v>✗ ERROR: Revisa datos</v>
      </c>
      <c r="S455" t="str">
        <f t="shared" ref="S455:S518" ca="1" si="36">IF(A455&lt;&gt;"",TODAY()-A455,"")</f>
        <v/>
      </c>
      <c r="T455" t="str">
        <f>IF(E455="USD",F455,IF(E455="CRC",F455/CONFIG!$B$5,""))</f>
        <v/>
      </c>
      <c r="U455" t="str">
        <f t="shared" ref="U455:U518" si="37">IF(A455&lt;&gt;"",A455+30,"")</f>
        <v/>
      </c>
      <c r="V455" t="str">
        <f t="shared" ref="V455:V518" ca="1" si="38">IF(AND(C455="CxP",S455&gt;60),"Alta",IF(AND(C455="CxP",S455&gt;30),"Media",IF(C455="CxP","Baja","")))</f>
        <v/>
      </c>
      <c r="W455" t="str">
        <f t="shared" ref="W455:W518" ca="1" si="39">IF(AND(C455="CxC",S455&gt;90),"Alta",IF(AND(C455="CxC",S455&gt;60),"Media",IF(C455="CxC","Baja","")))</f>
        <v/>
      </c>
    </row>
    <row r="456" spans="17:23" x14ac:dyDescent="0.25">
      <c r="Q456">
        <f>IF(E456="USD",CONFIG!$B$5,1)</f>
        <v>1</v>
      </c>
      <c r="R456" t="str">
        <f t="shared" si="35"/>
        <v>✗ ERROR: Revisa datos</v>
      </c>
      <c r="S456" t="str">
        <f t="shared" ca="1" si="36"/>
        <v/>
      </c>
      <c r="T456" t="str">
        <f>IF(E456="USD",F456,IF(E456="CRC",F456/CONFIG!$B$5,""))</f>
        <v/>
      </c>
      <c r="U456" t="str">
        <f t="shared" si="37"/>
        <v/>
      </c>
      <c r="V456" t="str">
        <f t="shared" ca="1" si="38"/>
        <v/>
      </c>
      <c r="W456" t="str">
        <f t="shared" ca="1" si="39"/>
        <v/>
      </c>
    </row>
    <row r="457" spans="17:23" x14ac:dyDescent="0.25">
      <c r="Q457">
        <f>IF(E457="USD",CONFIG!$B$5,1)</f>
        <v>1</v>
      </c>
      <c r="R457" t="str">
        <f t="shared" si="35"/>
        <v>✗ ERROR: Revisa datos</v>
      </c>
      <c r="S457" t="str">
        <f t="shared" ca="1" si="36"/>
        <v/>
      </c>
      <c r="T457" t="str">
        <f>IF(E457="USD",F457,IF(E457="CRC",F457/CONFIG!$B$5,""))</f>
        <v/>
      </c>
      <c r="U457" t="str">
        <f t="shared" si="37"/>
        <v/>
      </c>
      <c r="V457" t="str">
        <f t="shared" ca="1" si="38"/>
        <v/>
      </c>
      <c r="W457" t="str">
        <f t="shared" ca="1" si="39"/>
        <v/>
      </c>
    </row>
    <row r="458" spans="17:23" x14ac:dyDescent="0.25">
      <c r="Q458">
        <f>IF(E458="USD",CONFIG!$B$5,1)</f>
        <v>1</v>
      </c>
      <c r="R458" t="str">
        <f t="shared" si="35"/>
        <v>✗ ERROR: Revisa datos</v>
      </c>
      <c r="S458" t="str">
        <f t="shared" ca="1" si="36"/>
        <v/>
      </c>
      <c r="T458" t="str">
        <f>IF(E458="USD",F458,IF(E458="CRC",F458/CONFIG!$B$5,""))</f>
        <v/>
      </c>
      <c r="U458" t="str">
        <f t="shared" si="37"/>
        <v/>
      </c>
      <c r="V458" t="str">
        <f t="shared" ca="1" si="38"/>
        <v/>
      </c>
      <c r="W458" t="str">
        <f t="shared" ca="1" si="39"/>
        <v/>
      </c>
    </row>
    <row r="459" spans="17:23" x14ac:dyDescent="0.25">
      <c r="Q459">
        <f>IF(E459="USD",CONFIG!$B$5,1)</f>
        <v>1</v>
      </c>
      <c r="R459" t="str">
        <f t="shared" si="35"/>
        <v>✗ ERROR: Revisa datos</v>
      </c>
      <c r="S459" t="str">
        <f t="shared" ca="1" si="36"/>
        <v/>
      </c>
      <c r="T459" t="str">
        <f>IF(E459="USD",F459,IF(E459="CRC",F459/CONFIG!$B$5,""))</f>
        <v/>
      </c>
      <c r="U459" t="str">
        <f t="shared" si="37"/>
        <v/>
      </c>
      <c r="V459" t="str">
        <f t="shared" ca="1" si="38"/>
        <v/>
      </c>
      <c r="W459" t="str">
        <f t="shared" ca="1" si="39"/>
        <v/>
      </c>
    </row>
    <row r="460" spans="17:23" x14ac:dyDescent="0.25">
      <c r="Q460">
        <f>IF(E460="USD",CONFIG!$B$5,1)</f>
        <v>1</v>
      </c>
      <c r="R460" t="str">
        <f t="shared" si="35"/>
        <v>✗ ERROR: Revisa datos</v>
      </c>
      <c r="S460" t="str">
        <f t="shared" ca="1" si="36"/>
        <v/>
      </c>
      <c r="T460" t="str">
        <f>IF(E460="USD",F460,IF(E460="CRC",F460/CONFIG!$B$5,""))</f>
        <v/>
      </c>
      <c r="U460" t="str">
        <f t="shared" si="37"/>
        <v/>
      </c>
      <c r="V460" t="str">
        <f t="shared" ca="1" si="38"/>
        <v/>
      </c>
      <c r="W460" t="str">
        <f t="shared" ca="1" si="39"/>
        <v/>
      </c>
    </row>
    <row r="461" spans="17:23" x14ac:dyDescent="0.25">
      <c r="Q461">
        <f>IF(E461="USD",CONFIG!$B$5,1)</f>
        <v>1</v>
      </c>
      <c r="R461" t="str">
        <f t="shared" si="35"/>
        <v>✗ ERROR: Revisa datos</v>
      </c>
      <c r="S461" t="str">
        <f t="shared" ca="1" si="36"/>
        <v/>
      </c>
      <c r="T461" t="str">
        <f>IF(E461="USD",F461,IF(E461="CRC",F461/CONFIG!$B$5,""))</f>
        <v/>
      </c>
      <c r="U461" t="str">
        <f t="shared" si="37"/>
        <v/>
      </c>
      <c r="V461" t="str">
        <f t="shared" ca="1" si="38"/>
        <v/>
      </c>
      <c r="W461" t="str">
        <f t="shared" ca="1" si="39"/>
        <v/>
      </c>
    </row>
    <row r="462" spans="17:23" x14ac:dyDescent="0.25">
      <c r="Q462">
        <f>IF(E462="USD",CONFIG!$B$5,1)</f>
        <v>1</v>
      </c>
      <c r="R462" t="str">
        <f t="shared" si="35"/>
        <v>✗ ERROR: Revisa datos</v>
      </c>
      <c r="S462" t="str">
        <f t="shared" ca="1" si="36"/>
        <v/>
      </c>
      <c r="T462" t="str">
        <f>IF(E462="USD",F462,IF(E462="CRC",F462/CONFIG!$B$5,""))</f>
        <v/>
      </c>
      <c r="U462" t="str">
        <f t="shared" si="37"/>
        <v/>
      </c>
      <c r="V462" t="str">
        <f t="shared" ca="1" si="38"/>
        <v/>
      </c>
      <c r="W462" t="str">
        <f t="shared" ca="1" si="39"/>
        <v/>
      </c>
    </row>
    <row r="463" spans="17:23" x14ac:dyDescent="0.25">
      <c r="Q463">
        <f>IF(E463="USD",CONFIG!$B$5,1)</f>
        <v>1</v>
      </c>
      <c r="R463" t="str">
        <f t="shared" si="35"/>
        <v>✗ ERROR: Revisa datos</v>
      </c>
      <c r="S463" t="str">
        <f t="shared" ca="1" si="36"/>
        <v/>
      </c>
      <c r="T463" t="str">
        <f>IF(E463="USD",F463,IF(E463="CRC",F463/CONFIG!$B$5,""))</f>
        <v/>
      </c>
      <c r="U463" t="str">
        <f t="shared" si="37"/>
        <v/>
      </c>
      <c r="V463" t="str">
        <f t="shared" ca="1" si="38"/>
        <v/>
      </c>
      <c r="W463" t="str">
        <f t="shared" ca="1" si="39"/>
        <v/>
      </c>
    </row>
    <row r="464" spans="17:23" x14ac:dyDescent="0.25">
      <c r="Q464">
        <f>IF(E464="USD",CONFIG!$B$5,1)</f>
        <v>1</v>
      </c>
      <c r="R464" t="str">
        <f t="shared" si="35"/>
        <v>✗ ERROR: Revisa datos</v>
      </c>
      <c r="S464" t="str">
        <f t="shared" ca="1" si="36"/>
        <v/>
      </c>
      <c r="T464" t="str">
        <f>IF(E464="USD",F464,IF(E464="CRC",F464/CONFIG!$B$5,""))</f>
        <v/>
      </c>
      <c r="U464" t="str">
        <f t="shared" si="37"/>
        <v/>
      </c>
      <c r="V464" t="str">
        <f t="shared" ca="1" si="38"/>
        <v/>
      </c>
      <c r="W464" t="str">
        <f t="shared" ca="1" si="39"/>
        <v/>
      </c>
    </row>
    <row r="465" spans="17:23" x14ac:dyDescent="0.25">
      <c r="Q465">
        <f>IF(E465="USD",CONFIG!$B$5,1)</f>
        <v>1</v>
      </c>
      <c r="R465" t="str">
        <f t="shared" si="35"/>
        <v>✗ ERROR: Revisa datos</v>
      </c>
      <c r="S465" t="str">
        <f t="shared" ca="1" si="36"/>
        <v/>
      </c>
      <c r="T465" t="str">
        <f>IF(E465="USD",F465,IF(E465="CRC",F465/CONFIG!$B$5,""))</f>
        <v/>
      </c>
      <c r="U465" t="str">
        <f t="shared" si="37"/>
        <v/>
      </c>
      <c r="V465" t="str">
        <f t="shared" ca="1" si="38"/>
        <v/>
      </c>
      <c r="W465" t="str">
        <f t="shared" ca="1" si="39"/>
        <v/>
      </c>
    </row>
    <row r="466" spans="17:23" x14ac:dyDescent="0.25">
      <c r="Q466">
        <f>IF(E466="USD",CONFIG!$B$5,1)</f>
        <v>1</v>
      </c>
      <c r="R466" t="str">
        <f t="shared" si="35"/>
        <v>✗ ERROR: Revisa datos</v>
      </c>
      <c r="S466" t="str">
        <f t="shared" ca="1" si="36"/>
        <v/>
      </c>
      <c r="T466" t="str">
        <f>IF(E466="USD",F466,IF(E466="CRC",F466/CONFIG!$B$5,""))</f>
        <v/>
      </c>
      <c r="U466" t="str">
        <f t="shared" si="37"/>
        <v/>
      </c>
      <c r="V466" t="str">
        <f t="shared" ca="1" si="38"/>
        <v/>
      </c>
      <c r="W466" t="str">
        <f t="shared" ca="1" si="39"/>
        <v/>
      </c>
    </row>
    <row r="467" spans="17:23" x14ac:dyDescent="0.25">
      <c r="Q467">
        <f>IF(E467="USD",CONFIG!$B$5,1)</f>
        <v>1</v>
      </c>
      <c r="R467" t="str">
        <f t="shared" si="35"/>
        <v>✗ ERROR: Revisa datos</v>
      </c>
      <c r="S467" t="str">
        <f t="shared" ca="1" si="36"/>
        <v/>
      </c>
      <c r="T467" t="str">
        <f>IF(E467="USD",F467,IF(E467="CRC",F467/CONFIG!$B$5,""))</f>
        <v/>
      </c>
      <c r="U467" t="str">
        <f t="shared" si="37"/>
        <v/>
      </c>
      <c r="V467" t="str">
        <f t="shared" ca="1" si="38"/>
        <v/>
      </c>
      <c r="W467" t="str">
        <f t="shared" ca="1" si="39"/>
        <v/>
      </c>
    </row>
    <row r="468" spans="17:23" x14ac:dyDescent="0.25">
      <c r="Q468">
        <f>IF(E468="USD",CONFIG!$B$5,1)</f>
        <v>1</v>
      </c>
      <c r="R468" t="str">
        <f t="shared" si="35"/>
        <v>✗ ERROR: Revisa datos</v>
      </c>
      <c r="S468" t="str">
        <f t="shared" ca="1" si="36"/>
        <v/>
      </c>
      <c r="T468" t="str">
        <f>IF(E468="USD",F468,IF(E468="CRC",F468/CONFIG!$B$5,""))</f>
        <v/>
      </c>
      <c r="U468" t="str">
        <f t="shared" si="37"/>
        <v/>
      </c>
      <c r="V468" t="str">
        <f t="shared" ca="1" si="38"/>
        <v/>
      </c>
      <c r="W468" t="str">
        <f t="shared" ca="1" si="39"/>
        <v/>
      </c>
    </row>
    <row r="469" spans="17:23" x14ac:dyDescent="0.25">
      <c r="Q469">
        <f>IF(E469="USD",CONFIG!$B$5,1)</f>
        <v>1</v>
      </c>
      <c r="R469" t="str">
        <f t="shared" si="35"/>
        <v>✗ ERROR: Revisa datos</v>
      </c>
      <c r="S469" t="str">
        <f t="shared" ca="1" si="36"/>
        <v/>
      </c>
      <c r="T469" t="str">
        <f>IF(E469="USD",F469,IF(E469="CRC",F469/CONFIG!$B$5,""))</f>
        <v/>
      </c>
      <c r="U469" t="str">
        <f t="shared" si="37"/>
        <v/>
      </c>
      <c r="V469" t="str">
        <f t="shared" ca="1" si="38"/>
        <v/>
      </c>
      <c r="W469" t="str">
        <f t="shared" ca="1" si="39"/>
        <v/>
      </c>
    </row>
    <row r="470" spans="17:23" x14ac:dyDescent="0.25">
      <c r="Q470">
        <f>IF(E470="USD",CONFIG!$B$5,1)</f>
        <v>1</v>
      </c>
      <c r="R470" t="str">
        <f t="shared" si="35"/>
        <v>✗ ERROR: Revisa datos</v>
      </c>
      <c r="S470" t="str">
        <f t="shared" ca="1" si="36"/>
        <v/>
      </c>
      <c r="T470" t="str">
        <f>IF(E470="USD",F470,IF(E470="CRC",F470/CONFIG!$B$5,""))</f>
        <v/>
      </c>
      <c r="U470" t="str">
        <f t="shared" si="37"/>
        <v/>
      </c>
      <c r="V470" t="str">
        <f t="shared" ca="1" si="38"/>
        <v/>
      </c>
      <c r="W470" t="str">
        <f t="shared" ca="1" si="39"/>
        <v/>
      </c>
    </row>
    <row r="471" spans="17:23" x14ac:dyDescent="0.25">
      <c r="Q471">
        <f>IF(E471="USD",CONFIG!$B$5,1)</f>
        <v>1</v>
      </c>
      <c r="R471" t="str">
        <f t="shared" si="35"/>
        <v>✗ ERROR: Revisa datos</v>
      </c>
      <c r="S471" t="str">
        <f t="shared" ca="1" si="36"/>
        <v/>
      </c>
      <c r="T471" t="str">
        <f>IF(E471="USD",F471,IF(E471="CRC",F471/CONFIG!$B$5,""))</f>
        <v/>
      </c>
      <c r="U471" t="str">
        <f t="shared" si="37"/>
        <v/>
      </c>
      <c r="V471" t="str">
        <f t="shared" ca="1" si="38"/>
        <v/>
      </c>
      <c r="W471" t="str">
        <f t="shared" ca="1" si="39"/>
        <v/>
      </c>
    </row>
    <row r="472" spans="17:23" x14ac:dyDescent="0.25">
      <c r="Q472">
        <f>IF(E472="USD",CONFIG!$B$5,1)</f>
        <v>1</v>
      </c>
      <c r="R472" t="str">
        <f t="shared" si="35"/>
        <v>✗ ERROR: Revisa datos</v>
      </c>
      <c r="S472" t="str">
        <f t="shared" ca="1" si="36"/>
        <v/>
      </c>
      <c r="T472" t="str">
        <f>IF(E472="USD",F472,IF(E472="CRC",F472/CONFIG!$B$5,""))</f>
        <v/>
      </c>
      <c r="U472" t="str">
        <f t="shared" si="37"/>
        <v/>
      </c>
      <c r="V472" t="str">
        <f t="shared" ca="1" si="38"/>
        <v/>
      </c>
      <c r="W472" t="str">
        <f t="shared" ca="1" si="39"/>
        <v/>
      </c>
    </row>
    <row r="473" spans="17:23" x14ac:dyDescent="0.25">
      <c r="Q473">
        <f>IF(E473="USD",CONFIG!$B$5,1)</f>
        <v>1</v>
      </c>
      <c r="R473" t="str">
        <f t="shared" si="35"/>
        <v>✗ ERROR: Revisa datos</v>
      </c>
      <c r="S473" t="str">
        <f t="shared" ca="1" si="36"/>
        <v/>
      </c>
      <c r="T473" t="str">
        <f>IF(E473="USD",F473,IF(E473="CRC",F473/CONFIG!$B$5,""))</f>
        <v/>
      </c>
      <c r="U473" t="str">
        <f t="shared" si="37"/>
        <v/>
      </c>
      <c r="V473" t="str">
        <f t="shared" ca="1" si="38"/>
        <v/>
      </c>
      <c r="W473" t="str">
        <f t="shared" ca="1" si="39"/>
        <v/>
      </c>
    </row>
    <row r="474" spans="17:23" x14ac:dyDescent="0.25">
      <c r="Q474">
        <f>IF(E474="USD",CONFIG!$B$5,1)</f>
        <v>1</v>
      </c>
      <c r="R474" t="str">
        <f t="shared" si="35"/>
        <v>✗ ERROR: Revisa datos</v>
      </c>
      <c r="S474" t="str">
        <f t="shared" ca="1" si="36"/>
        <v/>
      </c>
      <c r="T474" t="str">
        <f>IF(E474="USD",F474,IF(E474="CRC",F474/CONFIG!$B$5,""))</f>
        <v/>
      </c>
      <c r="U474" t="str">
        <f t="shared" si="37"/>
        <v/>
      </c>
      <c r="V474" t="str">
        <f t="shared" ca="1" si="38"/>
        <v/>
      </c>
      <c r="W474" t="str">
        <f t="shared" ca="1" si="39"/>
        <v/>
      </c>
    </row>
    <row r="475" spans="17:23" x14ac:dyDescent="0.25">
      <c r="Q475">
        <f>IF(E475="USD",CONFIG!$B$5,1)</f>
        <v>1</v>
      </c>
      <c r="R475" t="str">
        <f t="shared" si="35"/>
        <v>✗ ERROR: Revisa datos</v>
      </c>
      <c r="S475" t="str">
        <f t="shared" ca="1" si="36"/>
        <v/>
      </c>
      <c r="T475" t="str">
        <f>IF(E475="USD",F475,IF(E475="CRC",F475/CONFIG!$B$5,""))</f>
        <v/>
      </c>
      <c r="U475" t="str">
        <f t="shared" si="37"/>
        <v/>
      </c>
      <c r="V475" t="str">
        <f t="shared" ca="1" si="38"/>
        <v/>
      </c>
      <c r="W475" t="str">
        <f t="shared" ca="1" si="39"/>
        <v/>
      </c>
    </row>
    <row r="476" spans="17:23" x14ac:dyDescent="0.25">
      <c r="Q476">
        <f>IF(E476="USD",CONFIG!$B$5,1)</f>
        <v>1</v>
      </c>
      <c r="R476" t="str">
        <f t="shared" si="35"/>
        <v>✗ ERROR: Revisa datos</v>
      </c>
      <c r="S476" t="str">
        <f t="shared" ca="1" si="36"/>
        <v/>
      </c>
      <c r="T476" t="str">
        <f>IF(E476="USD",F476,IF(E476="CRC",F476/CONFIG!$B$5,""))</f>
        <v/>
      </c>
      <c r="U476" t="str">
        <f t="shared" si="37"/>
        <v/>
      </c>
      <c r="V476" t="str">
        <f t="shared" ca="1" si="38"/>
        <v/>
      </c>
      <c r="W476" t="str">
        <f t="shared" ca="1" si="39"/>
        <v/>
      </c>
    </row>
    <row r="477" spans="17:23" x14ac:dyDescent="0.25">
      <c r="Q477">
        <f>IF(E477="USD",CONFIG!$B$5,1)</f>
        <v>1</v>
      </c>
      <c r="R477" t="str">
        <f t="shared" si="35"/>
        <v>✗ ERROR: Revisa datos</v>
      </c>
      <c r="S477" t="str">
        <f t="shared" ca="1" si="36"/>
        <v/>
      </c>
      <c r="T477" t="str">
        <f>IF(E477="USD",F477,IF(E477="CRC",F477/CONFIG!$B$5,""))</f>
        <v/>
      </c>
      <c r="U477" t="str">
        <f t="shared" si="37"/>
        <v/>
      </c>
      <c r="V477" t="str">
        <f t="shared" ca="1" si="38"/>
        <v/>
      </c>
      <c r="W477" t="str">
        <f t="shared" ca="1" si="39"/>
        <v/>
      </c>
    </row>
    <row r="478" spans="17:23" x14ac:dyDescent="0.25">
      <c r="Q478">
        <f>IF(E478="USD",CONFIG!$B$5,1)</f>
        <v>1</v>
      </c>
      <c r="R478" t="str">
        <f t="shared" si="35"/>
        <v>✗ ERROR: Revisa datos</v>
      </c>
      <c r="S478" t="str">
        <f t="shared" ca="1" si="36"/>
        <v/>
      </c>
      <c r="T478" t="str">
        <f>IF(E478="USD",F478,IF(E478="CRC",F478/CONFIG!$B$5,""))</f>
        <v/>
      </c>
      <c r="U478" t="str">
        <f t="shared" si="37"/>
        <v/>
      </c>
      <c r="V478" t="str">
        <f t="shared" ca="1" si="38"/>
        <v/>
      </c>
      <c r="W478" t="str">
        <f t="shared" ca="1" si="39"/>
        <v/>
      </c>
    </row>
    <row r="479" spans="17:23" x14ac:dyDescent="0.25">
      <c r="Q479">
        <f>IF(E479="USD",CONFIG!$B$5,1)</f>
        <v>1</v>
      </c>
      <c r="R479" t="str">
        <f t="shared" si="35"/>
        <v>✗ ERROR: Revisa datos</v>
      </c>
      <c r="S479" t="str">
        <f t="shared" ca="1" si="36"/>
        <v/>
      </c>
      <c r="T479" t="str">
        <f>IF(E479="USD",F479,IF(E479="CRC",F479/CONFIG!$B$5,""))</f>
        <v/>
      </c>
      <c r="U479" t="str">
        <f t="shared" si="37"/>
        <v/>
      </c>
      <c r="V479" t="str">
        <f t="shared" ca="1" si="38"/>
        <v/>
      </c>
      <c r="W479" t="str">
        <f t="shared" ca="1" si="39"/>
        <v/>
      </c>
    </row>
    <row r="480" spans="17:23" x14ac:dyDescent="0.25">
      <c r="Q480">
        <f>IF(E480="USD",CONFIG!$B$5,1)</f>
        <v>1</v>
      </c>
      <c r="R480" t="str">
        <f t="shared" si="35"/>
        <v>✗ ERROR: Revisa datos</v>
      </c>
      <c r="S480" t="str">
        <f t="shared" ca="1" si="36"/>
        <v/>
      </c>
      <c r="T480" t="str">
        <f>IF(E480="USD",F480,IF(E480="CRC",F480/CONFIG!$B$5,""))</f>
        <v/>
      </c>
      <c r="U480" t="str">
        <f t="shared" si="37"/>
        <v/>
      </c>
      <c r="V480" t="str">
        <f t="shared" ca="1" si="38"/>
        <v/>
      </c>
      <c r="W480" t="str">
        <f t="shared" ca="1" si="39"/>
        <v/>
      </c>
    </row>
    <row r="481" spans="17:23" x14ac:dyDescent="0.25">
      <c r="Q481">
        <f>IF(E481="USD",CONFIG!$B$5,1)</f>
        <v>1</v>
      </c>
      <c r="R481" t="str">
        <f t="shared" si="35"/>
        <v>✗ ERROR: Revisa datos</v>
      </c>
      <c r="S481" t="str">
        <f t="shared" ca="1" si="36"/>
        <v/>
      </c>
      <c r="T481" t="str">
        <f>IF(E481="USD",F481,IF(E481="CRC",F481/CONFIG!$B$5,""))</f>
        <v/>
      </c>
      <c r="U481" t="str">
        <f t="shared" si="37"/>
        <v/>
      </c>
      <c r="V481" t="str">
        <f t="shared" ca="1" si="38"/>
        <v/>
      </c>
      <c r="W481" t="str">
        <f t="shared" ca="1" si="39"/>
        <v/>
      </c>
    </row>
    <row r="482" spans="17:23" x14ac:dyDescent="0.25">
      <c r="Q482">
        <f>IF(E482="USD",CONFIG!$B$5,1)</f>
        <v>1</v>
      </c>
      <c r="R482" t="str">
        <f t="shared" si="35"/>
        <v>✗ ERROR: Revisa datos</v>
      </c>
      <c r="S482" t="str">
        <f t="shared" ca="1" si="36"/>
        <v/>
      </c>
      <c r="T482" t="str">
        <f>IF(E482="USD",F482,IF(E482="CRC",F482/CONFIG!$B$5,""))</f>
        <v/>
      </c>
      <c r="U482" t="str">
        <f t="shared" si="37"/>
        <v/>
      </c>
      <c r="V482" t="str">
        <f t="shared" ca="1" si="38"/>
        <v/>
      </c>
      <c r="W482" t="str">
        <f t="shared" ca="1" si="39"/>
        <v/>
      </c>
    </row>
    <row r="483" spans="17:23" x14ac:dyDescent="0.25">
      <c r="Q483">
        <f>IF(E483="USD",CONFIG!$B$5,1)</f>
        <v>1</v>
      </c>
      <c r="R483" t="str">
        <f t="shared" si="35"/>
        <v>✗ ERROR: Revisa datos</v>
      </c>
      <c r="S483" t="str">
        <f t="shared" ca="1" si="36"/>
        <v/>
      </c>
      <c r="T483" t="str">
        <f>IF(E483="USD",F483,IF(E483="CRC",F483/CONFIG!$B$5,""))</f>
        <v/>
      </c>
      <c r="U483" t="str">
        <f t="shared" si="37"/>
        <v/>
      </c>
      <c r="V483" t="str">
        <f t="shared" ca="1" si="38"/>
        <v/>
      </c>
      <c r="W483" t="str">
        <f t="shared" ca="1" si="39"/>
        <v/>
      </c>
    </row>
    <row r="484" spans="17:23" x14ac:dyDescent="0.25">
      <c r="Q484">
        <f>IF(E484="USD",CONFIG!$B$5,1)</f>
        <v>1</v>
      </c>
      <c r="R484" t="str">
        <f t="shared" si="35"/>
        <v>✗ ERROR: Revisa datos</v>
      </c>
      <c r="S484" t="str">
        <f t="shared" ca="1" si="36"/>
        <v/>
      </c>
      <c r="T484" t="str">
        <f>IF(E484="USD",F484,IF(E484="CRC",F484/CONFIG!$B$5,""))</f>
        <v/>
      </c>
      <c r="U484" t="str">
        <f t="shared" si="37"/>
        <v/>
      </c>
      <c r="V484" t="str">
        <f t="shared" ca="1" si="38"/>
        <v/>
      </c>
      <c r="W484" t="str">
        <f t="shared" ca="1" si="39"/>
        <v/>
      </c>
    </row>
    <row r="485" spans="17:23" x14ac:dyDescent="0.25">
      <c r="Q485">
        <f>IF(E485="USD",CONFIG!$B$5,1)</f>
        <v>1</v>
      </c>
      <c r="R485" t="str">
        <f t="shared" si="35"/>
        <v>✗ ERROR: Revisa datos</v>
      </c>
      <c r="S485" t="str">
        <f t="shared" ca="1" si="36"/>
        <v/>
      </c>
      <c r="T485" t="str">
        <f>IF(E485="USD",F485,IF(E485="CRC",F485/CONFIG!$B$5,""))</f>
        <v/>
      </c>
      <c r="U485" t="str">
        <f t="shared" si="37"/>
        <v/>
      </c>
      <c r="V485" t="str">
        <f t="shared" ca="1" si="38"/>
        <v/>
      </c>
      <c r="W485" t="str">
        <f t="shared" ca="1" si="39"/>
        <v/>
      </c>
    </row>
    <row r="486" spans="17:23" x14ac:dyDescent="0.25">
      <c r="Q486">
        <f>IF(E486="USD",CONFIG!$B$5,1)</f>
        <v>1</v>
      </c>
      <c r="R486" t="str">
        <f t="shared" si="35"/>
        <v>✗ ERROR: Revisa datos</v>
      </c>
      <c r="S486" t="str">
        <f t="shared" ca="1" si="36"/>
        <v/>
      </c>
      <c r="T486" t="str">
        <f>IF(E486="USD",F486,IF(E486="CRC",F486/CONFIG!$B$5,""))</f>
        <v/>
      </c>
      <c r="U486" t="str">
        <f t="shared" si="37"/>
        <v/>
      </c>
      <c r="V486" t="str">
        <f t="shared" ca="1" si="38"/>
        <v/>
      </c>
      <c r="W486" t="str">
        <f t="shared" ca="1" si="39"/>
        <v/>
      </c>
    </row>
    <row r="487" spans="17:23" x14ac:dyDescent="0.25">
      <c r="Q487">
        <f>IF(E487="USD",CONFIG!$B$5,1)</f>
        <v>1</v>
      </c>
      <c r="R487" t="str">
        <f t="shared" si="35"/>
        <v>✗ ERROR: Revisa datos</v>
      </c>
      <c r="S487" t="str">
        <f t="shared" ca="1" si="36"/>
        <v/>
      </c>
      <c r="T487" t="str">
        <f>IF(E487="USD",F487,IF(E487="CRC",F487/CONFIG!$B$5,""))</f>
        <v/>
      </c>
      <c r="U487" t="str">
        <f t="shared" si="37"/>
        <v/>
      </c>
      <c r="V487" t="str">
        <f t="shared" ca="1" si="38"/>
        <v/>
      </c>
      <c r="W487" t="str">
        <f t="shared" ca="1" si="39"/>
        <v/>
      </c>
    </row>
    <row r="488" spans="17:23" x14ac:dyDescent="0.25">
      <c r="Q488">
        <f>IF(E488="USD",CONFIG!$B$5,1)</f>
        <v>1</v>
      </c>
      <c r="R488" t="str">
        <f t="shared" si="35"/>
        <v>✗ ERROR: Revisa datos</v>
      </c>
      <c r="S488" t="str">
        <f t="shared" ca="1" si="36"/>
        <v/>
      </c>
      <c r="T488" t="str">
        <f>IF(E488="USD",F488,IF(E488="CRC",F488/CONFIG!$B$5,""))</f>
        <v/>
      </c>
      <c r="U488" t="str">
        <f t="shared" si="37"/>
        <v/>
      </c>
      <c r="V488" t="str">
        <f t="shared" ca="1" si="38"/>
        <v/>
      </c>
      <c r="W488" t="str">
        <f t="shared" ca="1" si="39"/>
        <v/>
      </c>
    </row>
    <row r="489" spans="17:23" x14ac:dyDescent="0.25">
      <c r="Q489">
        <f>IF(E489="USD",CONFIG!$B$5,1)</f>
        <v>1</v>
      </c>
      <c r="R489" t="str">
        <f t="shared" si="35"/>
        <v>✗ ERROR: Revisa datos</v>
      </c>
      <c r="S489" t="str">
        <f t="shared" ca="1" si="36"/>
        <v/>
      </c>
      <c r="T489" t="str">
        <f>IF(E489="USD",F489,IF(E489="CRC",F489/CONFIG!$B$5,""))</f>
        <v/>
      </c>
      <c r="U489" t="str">
        <f t="shared" si="37"/>
        <v/>
      </c>
      <c r="V489" t="str">
        <f t="shared" ca="1" si="38"/>
        <v/>
      </c>
      <c r="W489" t="str">
        <f t="shared" ca="1" si="39"/>
        <v/>
      </c>
    </row>
    <row r="490" spans="17:23" x14ac:dyDescent="0.25">
      <c r="Q490">
        <f>IF(E490="USD",CONFIG!$B$5,1)</f>
        <v>1</v>
      </c>
      <c r="R490" t="str">
        <f t="shared" si="35"/>
        <v>✗ ERROR: Revisa datos</v>
      </c>
      <c r="S490" t="str">
        <f t="shared" ca="1" si="36"/>
        <v/>
      </c>
      <c r="T490" t="str">
        <f>IF(E490="USD",F490,IF(E490="CRC",F490/CONFIG!$B$5,""))</f>
        <v/>
      </c>
      <c r="U490" t="str">
        <f t="shared" si="37"/>
        <v/>
      </c>
      <c r="V490" t="str">
        <f t="shared" ca="1" si="38"/>
        <v/>
      </c>
      <c r="W490" t="str">
        <f t="shared" ca="1" si="39"/>
        <v/>
      </c>
    </row>
    <row r="491" spans="17:23" x14ac:dyDescent="0.25">
      <c r="Q491">
        <f>IF(E491="USD",CONFIG!$B$5,1)</f>
        <v>1</v>
      </c>
      <c r="R491" t="str">
        <f t="shared" si="35"/>
        <v>✗ ERROR: Revisa datos</v>
      </c>
      <c r="S491" t="str">
        <f t="shared" ca="1" si="36"/>
        <v/>
      </c>
      <c r="T491" t="str">
        <f>IF(E491="USD",F491,IF(E491="CRC",F491/CONFIG!$B$5,""))</f>
        <v/>
      </c>
      <c r="U491" t="str">
        <f t="shared" si="37"/>
        <v/>
      </c>
      <c r="V491" t="str">
        <f t="shared" ca="1" si="38"/>
        <v/>
      </c>
      <c r="W491" t="str">
        <f t="shared" ca="1" si="39"/>
        <v/>
      </c>
    </row>
    <row r="492" spans="17:23" x14ac:dyDescent="0.25">
      <c r="Q492">
        <f>IF(E492="USD",CONFIG!$B$5,1)</f>
        <v>1</v>
      </c>
      <c r="R492" t="str">
        <f t="shared" si="35"/>
        <v>✗ ERROR: Revisa datos</v>
      </c>
      <c r="S492" t="str">
        <f t="shared" ca="1" si="36"/>
        <v/>
      </c>
      <c r="T492" t="str">
        <f>IF(E492="USD",F492,IF(E492="CRC",F492/CONFIG!$B$5,""))</f>
        <v/>
      </c>
      <c r="U492" t="str">
        <f t="shared" si="37"/>
        <v/>
      </c>
      <c r="V492" t="str">
        <f t="shared" ca="1" si="38"/>
        <v/>
      </c>
      <c r="W492" t="str">
        <f t="shared" ca="1" si="39"/>
        <v/>
      </c>
    </row>
    <row r="493" spans="17:23" x14ac:dyDescent="0.25">
      <c r="Q493">
        <f>IF(E493="USD",CONFIG!$B$5,1)</f>
        <v>1</v>
      </c>
      <c r="R493" t="str">
        <f t="shared" si="35"/>
        <v>✗ ERROR: Revisa datos</v>
      </c>
      <c r="S493" t="str">
        <f t="shared" ca="1" si="36"/>
        <v/>
      </c>
      <c r="T493" t="str">
        <f>IF(E493="USD",F493,IF(E493="CRC",F493/CONFIG!$B$5,""))</f>
        <v/>
      </c>
      <c r="U493" t="str">
        <f t="shared" si="37"/>
        <v/>
      </c>
      <c r="V493" t="str">
        <f t="shared" ca="1" si="38"/>
        <v/>
      </c>
      <c r="W493" t="str">
        <f t="shared" ca="1" si="39"/>
        <v/>
      </c>
    </row>
    <row r="494" spans="17:23" x14ac:dyDescent="0.25">
      <c r="Q494">
        <f>IF(E494="USD",CONFIG!$B$5,1)</f>
        <v>1</v>
      </c>
      <c r="R494" t="str">
        <f t="shared" si="35"/>
        <v>✗ ERROR: Revisa datos</v>
      </c>
      <c r="S494" t="str">
        <f t="shared" ca="1" si="36"/>
        <v/>
      </c>
      <c r="T494" t="str">
        <f>IF(E494="USD",F494,IF(E494="CRC",F494/CONFIG!$B$5,""))</f>
        <v/>
      </c>
      <c r="U494" t="str">
        <f t="shared" si="37"/>
        <v/>
      </c>
      <c r="V494" t="str">
        <f t="shared" ca="1" si="38"/>
        <v/>
      </c>
      <c r="W494" t="str">
        <f t="shared" ca="1" si="39"/>
        <v/>
      </c>
    </row>
    <row r="495" spans="17:23" x14ac:dyDescent="0.25">
      <c r="Q495">
        <f>IF(E495="USD",CONFIG!$B$5,1)</f>
        <v>1</v>
      </c>
      <c r="R495" t="str">
        <f t="shared" si="35"/>
        <v>✗ ERROR: Revisa datos</v>
      </c>
      <c r="S495" t="str">
        <f t="shared" ca="1" si="36"/>
        <v/>
      </c>
      <c r="T495" t="str">
        <f>IF(E495="USD",F495,IF(E495="CRC",F495/CONFIG!$B$5,""))</f>
        <v/>
      </c>
      <c r="U495" t="str">
        <f t="shared" si="37"/>
        <v/>
      </c>
      <c r="V495" t="str">
        <f t="shared" ca="1" si="38"/>
        <v/>
      </c>
      <c r="W495" t="str">
        <f t="shared" ca="1" si="39"/>
        <v/>
      </c>
    </row>
    <row r="496" spans="17:23" x14ac:dyDescent="0.25">
      <c r="Q496">
        <f>IF(E496="USD",CONFIG!$B$5,1)</f>
        <v>1</v>
      </c>
      <c r="R496" t="str">
        <f t="shared" si="35"/>
        <v>✗ ERROR: Revisa datos</v>
      </c>
      <c r="S496" t="str">
        <f t="shared" ca="1" si="36"/>
        <v/>
      </c>
      <c r="T496" t="str">
        <f>IF(E496="USD",F496,IF(E496="CRC",F496/CONFIG!$B$5,""))</f>
        <v/>
      </c>
      <c r="U496" t="str">
        <f t="shared" si="37"/>
        <v/>
      </c>
      <c r="V496" t="str">
        <f t="shared" ca="1" si="38"/>
        <v/>
      </c>
      <c r="W496" t="str">
        <f t="shared" ca="1" si="39"/>
        <v/>
      </c>
    </row>
    <row r="497" spans="17:23" x14ac:dyDescent="0.25">
      <c r="Q497">
        <f>IF(E497="USD",CONFIG!$B$5,1)</f>
        <v>1</v>
      </c>
      <c r="R497" t="str">
        <f t="shared" si="35"/>
        <v>✗ ERROR: Revisa datos</v>
      </c>
      <c r="S497" t="str">
        <f t="shared" ca="1" si="36"/>
        <v/>
      </c>
      <c r="T497" t="str">
        <f>IF(E497="USD",F497,IF(E497="CRC",F497/CONFIG!$B$5,""))</f>
        <v/>
      </c>
      <c r="U497" t="str">
        <f t="shared" si="37"/>
        <v/>
      </c>
      <c r="V497" t="str">
        <f t="shared" ca="1" si="38"/>
        <v/>
      </c>
      <c r="W497" t="str">
        <f t="shared" ca="1" si="39"/>
        <v/>
      </c>
    </row>
    <row r="498" spans="17:23" x14ac:dyDescent="0.25">
      <c r="Q498">
        <f>IF(E498="USD",CONFIG!$B$5,1)</f>
        <v>1</v>
      </c>
      <c r="R498" t="str">
        <f t="shared" si="35"/>
        <v>✗ ERROR: Revisa datos</v>
      </c>
      <c r="S498" t="str">
        <f t="shared" ca="1" si="36"/>
        <v/>
      </c>
      <c r="T498" t="str">
        <f>IF(E498="USD",F498,IF(E498="CRC",F498/CONFIG!$B$5,""))</f>
        <v/>
      </c>
      <c r="U498" t="str">
        <f t="shared" si="37"/>
        <v/>
      </c>
      <c r="V498" t="str">
        <f t="shared" ca="1" si="38"/>
        <v/>
      </c>
      <c r="W498" t="str">
        <f t="shared" ca="1" si="39"/>
        <v/>
      </c>
    </row>
    <row r="499" spans="17:23" x14ac:dyDescent="0.25">
      <c r="Q499">
        <f>IF(E499="USD",CONFIG!$B$5,1)</f>
        <v>1</v>
      </c>
      <c r="R499" t="str">
        <f t="shared" si="35"/>
        <v>✗ ERROR: Revisa datos</v>
      </c>
      <c r="S499" t="str">
        <f t="shared" ca="1" si="36"/>
        <v/>
      </c>
      <c r="T499" t="str">
        <f>IF(E499="USD",F499,IF(E499="CRC",F499/CONFIG!$B$5,""))</f>
        <v/>
      </c>
      <c r="U499" t="str">
        <f t="shared" si="37"/>
        <v/>
      </c>
      <c r="V499" t="str">
        <f t="shared" ca="1" si="38"/>
        <v/>
      </c>
      <c r="W499" t="str">
        <f t="shared" ca="1" si="39"/>
        <v/>
      </c>
    </row>
    <row r="500" spans="17:23" x14ac:dyDescent="0.25">
      <c r="Q500">
        <f>IF(E500="USD",CONFIG!$B$5,1)</f>
        <v>1</v>
      </c>
      <c r="R500" t="str">
        <f t="shared" si="35"/>
        <v>✗ ERROR: Revisa datos</v>
      </c>
      <c r="S500" t="str">
        <f t="shared" ca="1" si="36"/>
        <v/>
      </c>
      <c r="T500" t="str">
        <f>IF(E500="USD",F500,IF(E500="CRC",F500/CONFIG!$B$5,""))</f>
        <v/>
      </c>
      <c r="U500" t="str">
        <f t="shared" si="37"/>
        <v/>
      </c>
      <c r="V500" t="str">
        <f t="shared" ca="1" si="38"/>
        <v/>
      </c>
      <c r="W500" t="str">
        <f t="shared" ca="1" si="39"/>
        <v/>
      </c>
    </row>
    <row r="501" spans="17:23" x14ac:dyDescent="0.25">
      <c r="Q501">
        <f>IF(E501="USD",CONFIG!$B$5,1)</f>
        <v>1</v>
      </c>
      <c r="R501" t="str">
        <f t="shared" si="35"/>
        <v>✗ ERROR: Revisa datos</v>
      </c>
      <c r="S501" t="str">
        <f t="shared" ca="1" si="36"/>
        <v/>
      </c>
      <c r="T501" t="str">
        <f>IF(E501="USD",F501,IF(E501="CRC",F501/CONFIG!$B$5,""))</f>
        <v/>
      </c>
      <c r="U501" t="str">
        <f t="shared" si="37"/>
        <v/>
      </c>
      <c r="V501" t="str">
        <f t="shared" ca="1" si="38"/>
        <v/>
      </c>
      <c r="W501" t="str">
        <f t="shared" ca="1" si="39"/>
        <v/>
      </c>
    </row>
    <row r="502" spans="17:23" x14ac:dyDescent="0.25">
      <c r="Q502">
        <f>IF(E502="USD",CONFIG!$B$5,1)</f>
        <v>1</v>
      </c>
      <c r="R502" t="str">
        <f t="shared" si="35"/>
        <v>✗ ERROR: Revisa datos</v>
      </c>
      <c r="S502" t="str">
        <f t="shared" ca="1" si="36"/>
        <v/>
      </c>
      <c r="T502" t="str">
        <f>IF(E502="USD",F502,IF(E502="CRC",F502/CONFIG!$B$5,""))</f>
        <v/>
      </c>
      <c r="U502" t="str">
        <f t="shared" si="37"/>
        <v/>
      </c>
      <c r="V502" t="str">
        <f t="shared" ca="1" si="38"/>
        <v/>
      </c>
      <c r="W502" t="str">
        <f t="shared" ca="1" si="39"/>
        <v/>
      </c>
    </row>
    <row r="503" spans="17:23" x14ac:dyDescent="0.25">
      <c r="Q503">
        <f>IF(E503="USD",CONFIG!$B$5,1)</f>
        <v>1</v>
      </c>
      <c r="R503" t="str">
        <f t="shared" si="35"/>
        <v>✗ ERROR: Revisa datos</v>
      </c>
      <c r="S503" t="str">
        <f t="shared" ca="1" si="36"/>
        <v/>
      </c>
      <c r="T503" t="str">
        <f>IF(E503="USD",F503,IF(E503="CRC",F503/CONFIG!$B$5,""))</f>
        <v/>
      </c>
      <c r="U503" t="str">
        <f t="shared" si="37"/>
        <v/>
      </c>
      <c r="V503" t="str">
        <f t="shared" ca="1" si="38"/>
        <v/>
      </c>
      <c r="W503" t="str">
        <f t="shared" ca="1" si="39"/>
        <v/>
      </c>
    </row>
    <row r="504" spans="17:23" x14ac:dyDescent="0.25">
      <c r="Q504">
        <f>IF(E504="USD",CONFIG!$B$5,1)</f>
        <v>1</v>
      </c>
      <c r="R504" t="str">
        <f t="shared" si="35"/>
        <v>✗ ERROR: Revisa datos</v>
      </c>
      <c r="S504" t="str">
        <f t="shared" ca="1" si="36"/>
        <v/>
      </c>
      <c r="T504" t="str">
        <f>IF(E504="USD",F504,IF(E504="CRC",F504/CONFIG!$B$5,""))</f>
        <v/>
      </c>
      <c r="U504" t="str">
        <f t="shared" si="37"/>
        <v/>
      </c>
      <c r="V504" t="str">
        <f t="shared" ca="1" si="38"/>
        <v/>
      </c>
      <c r="W504" t="str">
        <f t="shared" ca="1" si="39"/>
        <v/>
      </c>
    </row>
    <row r="505" spans="17:23" x14ac:dyDescent="0.25">
      <c r="Q505">
        <f>IF(E505="USD",CONFIG!$B$5,1)</f>
        <v>1</v>
      </c>
      <c r="R505" t="str">
        <f t="shared" si="35"/>
        <v>✗ ERROR: Revisa datos</v>
      </c>
      <c r="S505" t="str">
        <f t="shared" ca="1" si="36"/>
        <v/>
      </c>
      <c r="T505" t="str">
        <f>IF(E505="USD",F505,IF(E505="CRC",F505/CONFIG!$B$5,""))</f>
        <v/>
      </c>
      <c r="U505" t="str">
        <f t="shared" si="37"/>
        <v/>
      </c>
      <c r="V505" t="str">
        <f t="shared" ca="1" si="38"/>
        <v/>
      </c>
      <c r="W505" t="str">
        <f t="shared" ca="1" si="39"/>
        <v/>
      </c>
    </row>
    <row r="506" spans="17:23" x14ac:dyDescent="0.25">
      <c r="Q506">
        <f>IF(E506="USD",CONFIG!$B$5,1)</f>
        <v>1</v>
      </c>
      <c r="R506" t="str">
        <f t="shared" si="35"/>
        <v>✗ ERROR: Revisa datos</v>
      </c>
      <c r="S506" t="str">
        <f t="shared" ca="1" si="36"/>
        <v/>
      </c>
      <c r="T506" t="str">
        <f>IF(E506="USD",F506,IF(E506="CRC",F506/CONFIG!$B$5,""))</f>
        <v/>
      </c>
      <c r="U506" t="str">
        <f t="shared" si="37"/>
        <v/>
      </c>
      <c r="V506" t="str">
        <f t="shared" ca="1" si="38"/>
        <v/>
      </c>
      <c r="W506" t="str">
        <f t="shared" ca="1" si="39"/>
        <v/>
      </c>
    </row>
    <row r="507" spans="17:23" x14ac:dyDescent="0.25">
      <c r="Q507">
        <f>IF(E507="USD",CONFIG!$B$5,1)</f>
        <v>1</v>
      </c>
      <c r="R507" t="str">
        <f t="shared" si="35"/>
        <v>✗ ERROR: Revisa datos</v>
      </c>
      <c r="S507" t="str">
        <f t="shared" ca="1" si="36"/>
        <v/>
      </c>
      <c r="T507" t="str">
        <f>IF(E507="USD",F507,IF(E507="CRC",F507/CONFIG!$B$5,""))</f>
        <v/>
      </c>
      <c r="U507" t="str">
        <f t="shared" si="37"/>
        <v/>
      </c>
      <c r="V507" t="str">
        <f t="shared" ca="1" si="38"/>
        <v/>
      </c>
      <c r="W507" t="str">
        <f t="shared" ca="1" si="39"/>
        <v/>
      </c>
    </row>
    <row r="508" spans="17:23" x14ac:dyDescent="0.25">
      <c r="Q508">
        <f>IF(E508="USD",CONFIG!$B$5,1)</f>
        <v>1</v>
      </c>
      <c r="R508" t="str">
        <f t="shared" si="35"/>
        <v>✗ ERROR: Revisa datos</v>
      </c>
      <c r="S508" t="str">
        <f t="shared" ca="1" si="36"/>
        <v/>
      </c>
      <c r="T508" t="str">
        <f>IF(E508="USD",F508,IF(E508="CRC",F508/CONFIG!$B$5,""))</f>
        <v/>
      </c>
      <c r="U508" t="str">
        <f t="shared" si="37"/>
        <v/>
      </c>
      <c r="V508" t="str">
        <f t="shared" ca="1" si="38"/>
        <v/>
      </c>
      <c r="W508" t="str">
        <f t="shared" ca="1" si="39"/>
        <v/>
      </c>
    </row>
    <row r="509" spans="17:23" x14ac:dyDescent="0.25">
      <c r="Q509">
        <f>IF(E509="USD",CONFIG!$B$5,1)</f>
        <v>1</v>
      </c>
      <c r="R509" t="str">
        <f t="shared" si="35"/>
        <v>✗ ERROR: Revisa datos</v>
      </c>
      <c r="S509" t="str">
        <f t="shared" ca="1" si="36"/>
        <v/>
      </c>
      <c r="T509" t="str">
        <f>IF(E509="USD",F509,IF(E509="CRC",F509/CONFIG!$B$5,""))</f>
        <v/>
      </c>
      <c r="U509" t="str">
        <f t="shared" si="37"/>
        <v/>
      </c>
      <c r="V509" t="str">
        <f t="shared" ca="1" si="38"/>
        <v/>
      </c>
      <c r="W509" t="str">
        <f t="shared" ca="1" si="39"/>
        <v/>
      </c>
    </row>
    <row r="510" spans="17:23" x14ac:dyDescent="0.25">
      <c r="Q510">
        <f>IF(E510="USD",CONFIG!$B$5,1)</f>
        <v>1</v>
      </c>
      <c r="R510" t="str">
        <f t="shared" si="35"/>
        <v>✗ ERROR: Revisa datos</v>
      </c>
      <c r="S510" t="str">
        <f t="shared" ca="1" si="36"/>
        <v/>
      </c>
      <c r="T510" t="str">
        <f>IF(E510="USD",F510,IF(E510="CRC",F510/CONFIG!$B$5,""))</f>
        <v/>
      </c>
      <c r="U510" t="str">
        <f t="shared" si="37"/>
        <v/>
      </c>
      <c r="V510" t="str">
        <f t="shared" ca="1" si="38"/>
        <v/>
      </c>
      <c r="W510" t="str">
        <f t="shared" ca="1" si="39"/>
        <v/>
      </c>
    </row>
    <row r="511" spans="17:23" x14ac:dyDescent="0.25">
      <c r="Q511">
        <f>IF(E511="USD",CONFIG!$B$5,1)</f>
        <v>1</v>
      </c>
      <c r="R511" t="str">
        <f t="shared" si="35"/>
        <v>✗ ERROR: Revisa datos</v>
      </c>
      <c r="S511" t="str">
        <f t="shared" ca="1" si="36"/>
        <v/>
      </c>
      <c r="T511" t="str">
        <f>IF(E511="USD",F511,IF(E511="CRC",F511/CONFIG!$B$5,""))</f>
        <v/>
      </c>
      <c r="U511" t="str">
        <f t="shared" si="37"/>
        <v/>
      </c>
      <c r="V511" t="str">
        <f t="shared" ca="1" si="38"/>
        <v/>
      </c>
      <c r="W511" t="str">
        <f t="shared" ca="1" si="39"/>
        <v/>
      </c>
    </row>
    <row r="512" spans="17:23" x14ac:dyDescent="0.25">
      <c r="Q512">
        <f>IF(E512="USD",CONFIG!$B$5,1)</f>
        <v>1</v>
      </c>
      <c r="R512" t="str">
        <f t="shared" si="35"/>
        <v>✗ ERROR: Revisa datos</v>
      </c>
      <c r="S512" t="str">
        <f t="shared" ca="1" si="36"/>
        <v/>
      </c>
      <c r="T512" t="str">
        <f>IF(E512="USD",F512,IF(E512="CRC",F512/CONFIG!$B$5,""))</f>
        <v/>
      </c>
      <c r="U512" t="str">
        <f t="shared" si="37"/>
        <v/>
      </c>
      <c r="V512" t="str">
        <f t="shared" ca="1" si="38"/>
        <v/>
      </c>
      <c r="W512" t="str">
        <f t="shared" ca="1" si="39"/>
        <v/>
      </c>
    </row>
    <row r="513" spans="17:23" x14ac:dyDescent="0.25">
      <c r="Q513">
        <f>IF(E513="USD",CONFIG!$B$5,1)</f>
        <v>1</v>
      </c>
      <c r="R513" t="str">
        <f t="shared" si="35"/>
        <v>✗ ERROR: Revisa datos</v>
      </c>
      <c r="S513" t="str">
        <f t="shared" ca="1" si="36"/>
        <v/>
      </c>
      <c r="T513" t="str">
        <f>IF(E513="USD",F513,IF(E513="CRC",F513/CONFIG!$B$5,""))</f>
        <v/>
      </c>
      <c r="U513" t="str">
        <f t="shared" si="37"/>
        <v/>
      </c>
      <c r="V513" t="str">
        <f t="shared" ca="1" si="38"/>
        <v/>
      </c>
      <c r="W513" t="str">
        <f t="shared" ca="1" si="39"/>
        <v/>
      </c>
    </row>
    <row r="514" spans="17:23" x14ac:dyDescent="0.25">
      <c r="Q514">
        <f>IF(E514="USD",CONFIG!$B$5,1)</f>
        <v>1</v>
      </c>
      <c r="R514" t="str">
        <f t="shared" si="35"/>
        <v>✗ ERROR: Revisa datos</v>
      </c>
      <c r="S514" t="str">
        <f t="shared" ca="1" si="36"/>
        <v/>
      </c>
      <c r="T514" t="str">
        <f>IF(E514="USD",F514,IF(E514="CRC",F514/CONFIG!$B$5,""))</f>
        <v/>
      </c>
      <c r="U514" t="str">
        <f t="shared" si="37"/>
        <v/>
      </c>
      <c r="V514" t="str">
        <f t="shared" ca="1" si="38"/>
        <v/>
      </c>
      <c r="W514" t="str">
        <f t="shared" ca="1" si="39"/>
        <v/>
      </c>
    </row>
    <row r="515" spans="17:23" x14ac:dyDescent="0.25">
      <c r="Q515">
        <f>IF(E515="USD",CONFIG!$B$5,1)</f>
        <v>1</v>
      </c>
      <c r="R515" t="str">
        <f t="shared" ref="R515:R578" si="40">IF(AND(A515&lt;&gt;"",ISNUMBER(A515),B515&lt;&gt;"",C515&lt;&gt;"",OR(E515="USD",E515="CRC"),F515&gt;0,ISNUMBER(Q515),Q515&gt;0),"✓ OK","✗ ERROR: Revisa datos")</f>
        <v>✗ ERROR: Revisa datos</v>
      </c>
      <c r="S515" t="str">
        <f t="shared" ca="1" si="36"/>
        <v/>
      </c>
      <c r="T515" t="str">
        <f>IF(E515="USD",F515,IF(E515="CRC",F515/CONFIG!$B$5,""))</f>
        <v/>
      </c>
      <c r="U515" t="str">
        <f t="shared" si="37"/>
        <v/>
      </c>
      <c r="V515" t="str">
        <f t="shared" ca="1" si="38"/>
        <v/>
      </c>
      <c r="W515" t="str">
        <f t="shared" ca="1" si="39"/>
        <v/>
      </c>
    </row>
    <row r="516" spans="17:23" x14ac:dyDescent="0.25">
      <c r="Q516">
        <f>IF(E516="USD",CONFIG!$B$5,1)</f>
        <v>1</v>
      </c>
      <c r="R516" t="str">
        <f t="shared" si="40"/>
        <v>✗ ERROR: Revisa datos</v>
      </c>
      <c r="S516" t="str">
        <f t="shared" ca="1" si="36"/>
        <v/>
      </c>
      <c r="T516" t="str">
        <f>IF(E516="USD",F516,IF(E516="CRC",F516/CONFIG!$B$5,""))</f>
        <v/>
      </c>
      <c r="U516" t="str">
        <f t="shared" si="37"/>
        <v/>
      </c>
      <c r="V516" t="str">
        <f t="shared" ca="1" si="38"/>
        <v/>
      </c>
      <c r="W516" t="str">
        <f t="shared" ca="1" si="39"/>
        <v/>
      </c>
    </row>
    <row r="517" spans="17:23" x14ac:dyDescent="0.25">
      <c r="Q517">
        <f>IF(E517="USD",CONFIG!$B$5,1)</f>
        <v>1</v>
      </c>
      <c r="R517" t="str">
        <f t="shared" si="40"/>
        <v>✗ ERROR: Revisa datos</v>
      </c>
      <c r="S517" t="str">
        <f t="shared" ca="1" si="36"/>
        <v/>
      </c>
      <c r="T517" t="str">
        <f>IF(E517="USD",F517,IF(E517="CRC",F517/CONFIG!$B$5,""))</f>
        <v/>
      </c>
      <c r="U517" t="str">
        <f t="shared" si="37"/>
        <v/>
      </c>
      <c r="V517" t="str">
        <f t="shared" ca="1" si="38"/>
        <v/>
      </c>
      <c r="W517" t="str">
        <f t="shared" ca="1" si="39"/>
        <v/>
      </c>
    </row>
    <row r="518" spans="17:23" x14ac:dyDescent="0.25">
      <c r="Q518">
        <f>IF(E518="USD",CONFIG!$B$5,1)</f>
        <v>1</v>
      </c>
      <c r="R518" t="str">
        <f t="shared" si="40"/>
        <v>✗ ERROR: Revisa datos</v>
      </c>
      <c r="S518" t="str">
        <f t="shared" ca="1" si="36"/>
        <v/>
      </c>
      <c r="T518" t="str">
        <f>IF(E518="USD",F518,IF(E518="CRC",F518/CONFIG!$B$5,""))</f>
        <v/>
      </c>
      <c r="U518" t="str">
        <f t="shared" si="37"/>
        <v/>
      </c>
      <c r="V518" t="str">
        <f t="shared" ca="1" si="38"/>
        <v/>
      </c>
      <c r="W518" t="str">
        <f t="shared" ca="1" si="39"/>
        <v/>
      </c>
    </row>
    <row r="519" spans="17:23" x14ac:dyDescent="0.25">
      <c r="Q519">
        <f>IF(E519="USD",CONFIG!$B$5,1)</f>
        <v>1</v>
      </c>
      <c r="R519" t="str">
        <f t="shared" si="40"/>
        <v>✗ ERROR: Revisa datos</v>
      </c>
      <c r="S519" t="str">
        <f t="shared" ref="S519:S582" ca="1" si="41">IF(A519&lt;&gt;"",TODAY()-A519,"")</f>
        <v/>
      </c>
      <c r="T519" t="str">
        <f>IF(E519="USD",F519,IF(E519="CRC",F519/CONFIG!$B$5,""))</f>
        <v/>
      </c>
      <c r="U519" t="str">
        <f t="shared" ref="U519:U582" si="42">IF(A519&lt;&gt;"",A519+30,"")</f>
        <v/>
      </c>
      <c r="V519" t="str">
        <f t="shared" ref="V519:V582" ca="1" si="43">IF(AND(C519="CxP",S519&gt;60),"Alta",IF(AND(C519="CxP",S519&gt;30),"Media",IF(C519="CxP","Baja","")))</f>
        <v/>
      </c>
      <c r="W519" t="str">
        <f t="shared" ref="W519:W582" ca="1" si="44">IF(AND(C519="CxC",S519&gt;90),"Alta",IF(AND(C519="CxC",S519&gt;60),"Media",IF(C519="CxC","Baja","")))</f>
        <v/>
      </c>
    </row>
    <row r="520" spans="17:23" x14ac:dyDescent="0.25">
      <c r="Q520">
        <f>IF(E520="USD",CONFIG!$B$5,1)</f>
        <v>1</v>
      </c>
      <c r="R520" t="str">
        <f t="shared" si="40"/>
        <v>✗ ERROR: Revisa datos</v>
      </c>
      <c r="S520" t="str">
        <f t="shared" ca="1" si="41"/>
        <v/>
      </c>
      <c r="T520" t="str">
        <f>IF(E520="USD",F520,IF(E520="CRC",F520/CONFIG!$B$5,""))</f>
        <v/>
      </c>
      <c r="U520" t="str">
        <f t="shared" si="42"/>
        <v/>
      </c>
      <c r="V520" t="str">
        <f t="shared" ca="1" si="43"/>
        <v/>
      </c>
      <c r="W520" t="str">
        <f t="shared" ca="1" si="44"/>
        <v/>
      </c>
    </row>
    <row r="521" spans="17:23" x14ac:dyDescent="0.25">
      <c r="Q521">
        <f>IF(E521="USD",CONFIG!$B$5,1)</f>
        <v>1</v>
      </c>
      <c r="R521" t="str">
        <f t="shared" si="40"/>
        <v>✗ ERROR: Revisa datos</v>
      </c>
      <c r="S521" t="str">
        <f t="shared" ca="1" si="41"/>
        <v/>
      </c>
      <c r="T521" t="str">
        <f>IF(E521="USD",F521,IF(E521="CRC",F521/CONFIG!$B$5,""))</f>
        <v/>
      </c>
      <c r="U521" t="str">
        <f t="shared" si="42"/>
        <v/>
      </c>
      <c r="V521" t="str">
        <f t="shared" ca="1" si="43"/>
        <v/>
      </c>
      <c r="W521" t="str">
        <f t="shared" ca="1" si="44"/>
        <v/>
      </c>
    </row>
    <row r="522" spans="17:23" x14ac:dyDescent="0.25">
      <c r="Q522">
        <f>IF(E522="USD",CONFIG!$B$5,1)</f>
        <v>1</v>
      </c>
      <c r="R522" t="str">
        <f t="shared" si="40"/>
        <v>✗ ERROR: Revisa datos</v>
      </c>
      <c r="S522" t="str">
        <f t="shared" ca="1" si="41"/>
        <v/>
      </c>
      <c r="T522" t="str">
        <f>IF(E522="USD",F522,IF(E522="CRC",F522/CONFIG!$B$5,""))</f>
        <v/>
      </c>
      <c r="U522" t="str">
        <f t="shared" si="42"/>
        <v/>
      </c>
      <c r="V522" t="str">
        <f t="shared" ca="1" si="43"/>
        <v/>
      </c>
      <c r="W522" t="str">
        <f t="shared" ca="1" si="44"/>
        <v/>
      </c>
    </row>
    <row r="523" spans="17:23" x14ac:dyDescent="0.25">
      <c r="Q523">
        <f>IF(E523="USD",CONFIG!$B$5,1)</f>
        <v>1</v>
      </c>
      <c r="R523" t="str">
        <f t="shared" si="40"/>
        <v>✗ ERROR: Revisa datos</v>
      </c>
      <c r="S523" t="str">
        <f t="shared" ca="1" si="41"/>
        <v/>
      </c>
      <c r="T523" t="str">
        <f>IF(E523="USD",F523,IF(E523="CRC",F523/CONFIG!$B$5,""))</f>
        <v/>
      </c>
      <c r="U523" t="str">
        <f t="shared" si="42"/>
        <v/>
      </c>
      <c r="V523" t="str">
        <f t="shared" ca="1" si="43"/>
        <v/>
      </c>
      <c r="W523" t="str">
        <f t="shared" ca="1" si="44"/>
        <v/>
      </c>
    </row>
    <row r="524" spans="17:23" x14ac:dyDescent="0.25">
      <c r="Q524">
        <f>IF(E524="USD",CONFIG!$B$5,1)</f>
        <v>1</v>
      </c>
      <c r="R524" t="str">
        <f t="shared" si="40"/>
        <v>✗ ERROR: Revisa datos</v>
      </c>
      <c r="S524" t="str">
        <f t="shared" ca="1" si="41"/>
        <v/>
      </c>
      <c r="T524" t="str">
        <f>IF(E524="USD",F524,IF(E524="CRC",F524/CONFIG!$B$5,""))</f>
        <v/>
      </c>
      <c r="U524" t="str">
        <f t="shared" si="42"/>
        <v/>
      </c>
      <c r="V524" t="str">
        <f t="shared" ca="1" si="43"/>
        <v/>
      </c>
      <c r="W524" t="str">
        <f t="shared" ca="1" si="44"/>
        <v/>
      </c>
    </row>
    <row r="525" spans="17:23" x14ac:dyDescent="0.25">
      <c r="Q525">
        <f>IF(E525="USD",CONFIG!$B$5,1)</f>
        <v>1</v>
      </c>
      <c r="R525" t="str">
        <f t="shared" si="40"/>
        <v>✗ ERROR: Revisa datos</v>
      </c>
      <c r="S525" t="str">
        <f t="shared" ca="1" si="41"/>
        <v/>
      </c>
      <c r="T525" t="str">
        <f>IF(E525="USD",F525,IF(E525="CRC",F525/CONFIG!$B$5,""))</f>
        <v/>
      </c>
      <c r="U525" t="str">
        <f t="shared" si="42"/>
        <v/>
      </c>
      <c r="V525" t="str">
        <f t="shared" ca="1" si="43"/>
        <v/>
      </c>
      <c r="W525" t="str">
        <f t="shared" ca="1" si="44"/>
        <v/>
      </c>
    </row>
    <row r="526" spans="17:23" x14ac:dyDescent="0.25">
      <c r="Q526">
        <f>IF(E526="USD",CONFIG!$B$5,1)</f>
        <v>1</v>
      </c>
      <c r="R526" t="str">
        <f t="shared" si="40"/>
        <v>✗ ERROR: Revisa datos</v>
      </c>
      <c r="S526" t="str">
        <f t="shared" ca="1" si="41"/>
        <v/>
      </c>
      <c r="T526" t="str">
        <f>IF(E526="USD",F526,IF(E526="CRC",F526/CONFIG!$B$5,""))</f>
        <v/>
      </c>
      <c r="U526" t="str">
        <f t="shared" si="42"/>
        <v/>
      </c>
      <c r="V526" t="str">
        <f t="shared" ca="1" si="43"/>
        <v/>
      </c>
      <c r="W526" t="str">
        <f t="shared" ca="1" si="44"/>
        <v/>
      </c>
    </row>
    <row r="527" spans="17:23" x14ac:dyDescent="0.25">
      <c r="Q527">
        <f>IF(E527="USD",CONFIG!$B$5,1)</f>
        <v>1</v>
      </c>
      <c r="R527" t="str">
        <f t="shared" si="40"/>
        <v>✗ ERROR: Revisa datos</v>
      </c>
      <c r="S527" t="str">
        <f t="shared" ca="1" si="41"/>
        <v/>
      </c>
      <c r="T527" t="str">
        <f>IF(E527="USD",F527,IF(E527="CRC",F527/CONFIG!$B$5,""))</f>
        <v/>
      </c>
      <c r="U527" t="str">
        <f t="shared" si="42"/>
        <v/>
      </c>
      <c r="V527" t="str">
        <f t="shared" ca="1" si="43"/>
        <v/>
      </c>
      <c r="W527" t="str">
        <f t="shared" ca="1" si="44"/>
        <v/>
      </c>
    </row>
    <row r="528" spans="17:23" x14ac:dyDescent="0.25">
      <c r="Q528">
        <f>IF(E528="USD",CONFIG!$B$5,1)</f>
        <v>1</v>
      </c>
      <c r="R528" t="str">
        <f t="shared" si="40"/>
        <v>✗ ERROR: Revisa datos</v>
      </c>
      <c r="S528" t="str">
        <f t="shared" ca="1" si="41"/>
        <v/>
      </c>
      <c r="T528" t="str">
        <f>IF(E528="USD",F528,IF(E528="CRC",F528/CONFIG!$B$5,""))</f>
        <v/>
      </c>
      <c r="U528" t="str">
        <f t="shared" si="42"/>
        <v/>
      </c>
      <c r="V528" t="str">
        <f t="shared" ca="1" si="43"/>
        <v/>
      </c>
      <c r="W528" t="str">
        <f t="shared" ca="1" si="44"/>
        <v/>
      </c>
    </row>
    <row r="529" spans="17:23" x14ac:dyDescent="0.25">
      <c r="Q529">
        <f>IF(E529="USD",CONFIG!$B$5,1)</f>
        <v>1</v>
      </c>
      <c r="R529" t="str">
        <f t="shared" si="40"/>
        <v>✗ ERROR: Revisa datos</v>
      </c>
      <c r="S529" t="str">
        <f t="shared" ca="1" si="41"/>
        <v/>
      </c>
      <c r="T529" t="str">
        <f>IF(E529="USD",F529,IF(E529="CRC",F529/CONFIG!$B$5,""))</f>
        <v/>
      </c>
      <c r="U529" t="str">
        <f t="shared" si="42"/>
        <v/>
      </c>
      <c r="V529" t="str">
        <f t="shared" ca="1" si="43"/>
        <v/>
      </c>
      <c r="W529" t="str">
        <f t="shared" ca="1" si="44"/>
        <v/>
      </c>
    </row>
    <row r="530" spans="17:23" x14ac:dyDescent="0.25">
      <c r="Q530">
        <f>IF(E530="USD",CONFIG!$B$5,1)</f>
        <v>1</v>
      </c>
      <c r="R530" t="str">
        <f t="shared" si="40"/>
        <v>✗ ERROR: Revisa datos</v>
      </c>
      <c r="S530" t="str">
        <f t="shared" ca="1" si="41"/>
        <v/>
      </c>
      <c r="T530" t="str">
        <f>IF(E530="USD",F530,IF(E530="CRC",F530/CONFIG!$B$5,""))</f>
        <v/>
      </c>
      <c r="U530" t="str">
        <f t="shared" si="42"/>
        <v/>
      </c>
      <c r="V530" t="str">
        <f t="shared" ca="1" si="43"/>
        <v/>
      </c>
      <c r="W530" t="str">
        <f t="shared" ca="1" si="44"/>
        <v/>
      </c>
    </row>
    <row r="531" spans="17:23" x14ac:dyDescent="0.25">
      <c r="Q531">
        <f>IF(E531="USD",CONFIG!$B$5,1)</f>
        <v>1</v>
      </c>
      <c r="R531" t="str">
        <f t="shared" si="40"/>
        <v>✗ ERROR: Revisa datos</v>
      </c>
      <c r="S531" t="str">
        <f t="shared" ca="1" si="41"/>
        <v/>
      </c>
      <c r="T531" t="str">
        <f>IF(E531="USD",F531,IF(E531="CRC",F531/CONFIG!$B$5,""))</f>
        <v/>
      </c>
      <c r="U531" t="str">
        <f t="shared" si="42"/>
        <v/>
      </c>
      <c r="V531" t="str">
        <f t="shared" ca="1" si="43"/>
        <v/>
      </c>
      <c r="W531" t="str">
        <f t="shared" ca="1" si="44"/>
        <v/>
      </c>
    </row>
    <row r="532" spans="17:23" x14ac:dyDescent="0.25">
      <c r="Q532">
        <f>IF(E532="USD",CONFIG!$B$5,1)</f>
        <v>1</v>
      </c>
      <c r="R532" t="str">
        <f t="shared" si="40"/>
        <v>✗ ERROR: Revisa datos</v>
      </c>
      <c r="S532" t="str">
        <f t="shared" ca="1" si="41"/>
        <v/>
      </c>
      <c r="T532" t="str">
        <f>IF(E532="USD",F532,IF(E532="CRC",F532/CONFIG!$B$5,""))</f>
        <v/>
      </c>
      <c r="U532" t="str">
        <f t="shared" si="42"/>
        <v/>
      </c>
      <c r="V532" t="str">
        <f t="shared" ca="1" si="43"/>
        <v/>
      </c>
      <c r="W532" t="str">
        <f t="shared" ca="1" si="44"/>
        <v/>
      </c>
    </row>
    <row r="533" spans="17:23" x14ac:dyDescent="0.25">
      <c r="Q533">
        <f>IF(E533="USD",CONFIG!$B$5,1)</f>
        <v>1</v>
      </c>
      <c r="R533" t="str">
        <f t="shared" si="40"/>
        <v>✗ ERROR: Revisa datos</v>
      </c>
      <c r="S533" t="str">
        <f t="shared" ca="1" si="41"/>
        <v/>
      </c>
      <c r="T533" t="str">
        <f>IF(E533="USD",F533,IF(E533="CRC",F533/CONFIG!$B$5,""))</f>
        <v/>
      </c>
      <c r="U533" t="str">
        <f t="shared" si="42"/>
        <v/>
      </c>
      <c r="V533" t="str">
        <f t="shared" ca="1" si="43"/>
        <v/>
      </c>
      <c r="W533" t="str">
        <f t="shared" ca="1" si="44"/>
        <v/>
      </c>
    </row>
    <row r="534" spans="17:23" x14ac:dyDescent="0.25">
      <c r="Q534">
        <f>IF(E534="USD",CONFIG!$B$5,1)</f>
        <v>1</v>
      </c>
      <c r="R534" t="str">
        <f t="shared" si="40"/>
        <v>✗ ERROR: Revisa datos</v>
      </c>
      <c r="S534" t="str">
        <f t="shared" ca="1" si="41"/>
        <v/>
      </c>
      <c r="T534" t="str">
        <f>IF(E534="USD",F534,IF(E534="CRC",F534/CONFIG!$B$5,""))</f>
        <v/>
      </c>
      <c r="U534" t="str">
        <f t="shared" si="42"/>
        <v/>
      </c>
      <c r="V534" t="str">
        <f t="shared" ca="1" si="43"/>
        <v/>
      </c>
      <c r="W534" t="str">
        <f t="shared" ca="1" si="44"/>
        <v/>
      </c>
    </row>
    <row r="535" spans="17:23" x14ac:dyDescent="0.25">
      <c r="Q535">
        <f>IF(E535="USD",CONFIG!$B$5,1)</f>
        <v>1</v>
      </c>
      <c r="R535" t="str">
        <f t="shared" si="40"/>
        <v>✗ ERROR: Revisa datos</v>
      </c>
      <c r="S535" t="str">
        <f t="shared" ca="1" si="41"/>
        <v/>
      </c>
      <c r="T535" t="str">
        <f>IF(E535="USD",F535,IF(E535="CRC",F535/CONFIG!$B$5,""))</f>
        <v/>
      </c>
      <c r="U535" t="str">
        <f t="shared" si="42"/>
        <v/>
      </c>
      <c r="V535" t="str">
        <f t="shared" ca="1" si="43"/>
        <v/>
      </c>
      <c r="W535" t="str">
        <f t="shared" ca="1" si="44"/>
        <v/>
      </c>
    </row>
    <row r="536" spans="17:23" x14ac:dyDescent="0.25">
      <c r="Q536">
        <f>IF(E536="USD",CONFIG!$B$5,1)</f>
        <v>1</v>
      </c>
      <c r="R536" t="str">
        <f t="shared" si="40"/>
        <v>✗ ERROR: Revisa datos</v>
      </c>
      <c r="S536" t="str">
        <f t="shared" ca="1" si="41"/>
        <v/>
      </c>
      <c r="T536" t="str">
        <f>IF(E536="USD",F536,IF(E536="CRC",F536/CONFIG!$B$5,""))</f>
        <v/>
      </c>
      <c r="U536" t="str">
        <f t="shared" si="42"/>
        <v/>
      </c>
      <c r="V536" t="str">
        <f t="shared" ca="1" si="43"/>
        <v/>
      </c>
      <c r="W536" t="str">
        <f t="shared" ca="1" si="44"/>
        <v/>
      </c>
    </row>
    <row r="537" spans="17:23" x14ac:dyDescent="0.25">
      <c r="Q537">
        <f>IF(E537="USD",CONFIG!$B$5,1)</f>
        <v>1</v>
      </c>
      <c r="R537" t="str">
        <f t="shared" si="40"/>
        <v>✗ ERROR: Revisa datos</v>
      </c>
      <c r="S537" t="str">
        <f t="shared" ca="1" si="41"/>
        <v/>
      </c>
      <c r="T537" t="str">
        <f>IF(E537="USD",F537,IF(E537="CRC",F537/CONFIG!$B$5,""))</f>
        <v/>
      </c>
      <c r="U537" t="str">
        <f t="shared" si="42"/>
        <v/>
      </c>
      <c r="V537" t="str">
        <f t="shared" ca="1" si="43"/>
        <v/>
      </c>
      <c r="W537" t="str">
        <f t="shared" ca="1" si="44"/>
        <v/>
      </c>
    </row>
    <row r="538" spans="17:23" x14ac:dyDescent="0.25">
      <c r="Q538">
        <f>IF(E538="USD",CONFIG!$B$5,1)</f>
        <v>1</v>
      </c>
      <c r="R538" t="str">
        <f t="shared" si="40"/>
        <v>✗ ERROR: Revisa datos</v>
      </c>
      <c r="S538" t="str">
        <f t="shared" ca="1" si="41"/>
        <v/>
      </c>
      <c r="T538" t="str">
        <f>IF(E538="USD",F538,IF(E538="CRC",F538/CONFIG!$B$5,""))</f>
        <v/>
      </c>
      <c r="U538" t="str">
        <f t="shared" si="42"/>
        <v/>
      </c>
      <c r="V538" t="str">
        <f t="shared" ca="1" si="43"/>
        <v/>
      </c>
      <c r="W538" t="str">
        <f t="shared" ca="1" si="44"/>
        <v/>
      </c>
    </row>
    <row r="539" spans="17:23" x14ac:dyDescent="0.25">
      <c r="Q539">
        <f>IF(E539="USD",CONFIG!$B$5,1)</f>
        <v>1</v>
      </c>
      <c r="R539" t="str">
        <f t="shared" si="40"/>
        <v>✗ ERROR: Revisa datos</v>
      </c>
      <c r="S539" t="str">
        <f t="shared" ca="1" si="41"/>
        <v/>
      </c>
      <c r="T539" t="str">
        <f>IF(E539="USD",F539,IF(E539="CRC",F539/CONFIG!$B$5,""))</f>
        <v/>
      </c>
      <c r="U539" t="str">
        <f t="shared" si="42"/>
        <v/>
      </c>
      <c r="V539" t="str">
        <f t="shared" ca="1" si="43"/>
        <v/>
      </c>
      <c r="W539" t="str">
        <f t="shared" ca="1" si="44"/>
        <v/>
      </c>
    </row>
    <row r="540" spans="17:23" x14ac:dyDescent="0.25">
      <c r="Q540">
        <f>IF(E540="USD",CONFIG!$B$5,1)</f>
        <v>1</v>
      </c>
      <c r="R540" t="str">
        <f t="shared" si="40"/>
        <v>✗ ERROR: Revisa datos</v>
      </c>
      <c r="S540" t="str">
        <f t="shared" ca="1" si="41"/>
        <v/>
      </c>
      <c r="T540" t="str">
        <f>IF(E540="USD",F540,IF(E540="CRC",F540/CONFIG!$B$5,""))</f>
        <v/>
      </c>
      <c r="U540" t="str">
        <f t="shared" si="42"/>
        <v/>
      </c>
      <c r="V540" t="str">
        <f t="shared" ca="1" si="43"/>
        <v/>
      </c>
      <c r="W540" t="str">
        <f t="shared" ca="1" si="44"/>
        <v/>
      </c>
    </row>
    <row r="541" spans="17:23" x14ac:dyDescent="0.25">
      <c r="Q541">
        <f>IF(E541="USD",CONFIG!$B$5,1)</f>
        <v>1</v>
      </c>
      <c r="R541" t="str">
        <f t="shared" si="40"/>
        <v>✗ ERROR: Revisa datos</v>
      </c>
      <c r="S541" t="str">
        <f t="shared" ca="1" si="41"/>
        <v/>
      </c>
      <c r="T541" t="str">
        <f>IF(E541="USD",F541,IF(E541="CRC",F541/CONFIG!$B$5,""))</f>
        <v/>
      </c>
      <c r="U541" t="str">
        <f t="shared" si="42"/>
        <v/>
      </c>
      <c r="V541" t="str">
        <f t="shared" ca="1" si="43"/>
        <v/>
      </c>
      <c r="W541" t="str">
        <f t="shared" ca="1" si="44"/>
        <v/>
      </c>
    </row>
    <row r="542" spans="17:23" x14ac:dyDescent="0.25">
      <c r="Q542">
        <f>IF(E542="USD",CONFIG!$B$5,1)</f>
        <v>1</v>
      </c>
      <c r="R542" t="str">
        <f t="shared" si="40"/>
        <v>✗ ERROR: Revisa datos</v>
      </c>
      <c r="S542" t="str">
        <f t="shared" ca="1" si="41"/>
        <v/>
      </c>
      <c r="T542" t="str">
        <f>IF(E542="USD",F542,IF(E542="CRC",F542/CONFIG!$B$5,""))</f>
        <v/>
      </c>
      <c r="U542" t="str">
        <f t="shared" si="42"/>
        <v/>
      </c>
      <c r="V542" t="str">
        <f t="shared" ca="1" si="43"/>
        <v/>
      </c>
      <c r="W542" t="str">
        <f t="shared" ca="1" si="44"/>
        <v/>
      </c>
    </row>
    <row r="543" spans="17:23" x14ac:dyDescent="0.25">
      <c r="Q543">
        <f>IF(E543="USD",CONFIG!$B$5,1)</f>
        <v>1</v>
      </c>
      <c r="R543" t="str">
        <f t="shared" si="40"/>
        <v>✗ ERROR: Revisa datos</v>
      </c>
      <c r="S543" t="str">
        <f t="shared" ca="1" si="41"/>
        <v/>
      </c>
      <c r="T543" t="str">
        <f>IF(E543="USD",F543,IF(E543="CRC",F543/CONFIG!$B$5,""))</f>
        <v/>
      </c>
      <c r="U543" t="str">
        <f t="shared" si="42"/>
        <v/>
      </c>
      <c r="V543" t="str">
        <f t="shared" ca="1" si="43"/>
        <v/>
      </c>
      <c r="W543" t="str">
        <f t="shared" ca="1" si="44"/>
        <v/>
      </c>
    </row>
    <row r="544" spans="17:23" x14ac:dyDescent="0.25">
      <c r="Q544">
        <f>IF(E544="USD",CONFIG!$B$5,1)</f>
        <v>1</v>
      </c>
      <c r="R544" t="str">
        <f t="shared" si="40"/>
        <v>✗ ERROR: Revisa datos</v>
      </c>
      <c r="S544" t="str">
        <f t="shared" ca="1" si="41"/>
        <v/>
      </c>
      <c r="T544" t="str">
        <f>IF(E544="USD",F544,IF(E544="CRC",F544/CONFIG!$B$5,""))</f>
        <v/>
      </c>
      <c r="U544" t="str">
        <f t="shared" si="42"/>
        <v/>
      </c>
      <c r="V544" t="str">
        <f t="shared" ca="1" si="43"/>
        <v/>
      </c>
      <c r="W544" t="str">
        <f t="shared" ca="1" si="44"/>
        <v/>
      </c>
    </row>
    <row r="545" spans="17:23" x14ac:dyDescent="0.25">
      <c r="Q545">
        <f>IF(E545="USD",CONFIG!$B$5,1)</f>
        <v>1</v>
      </c>
      <c r="R545" t="str">
        <f t="shared" si="40"/>
        <v>✗ ERROR: Revisa datos</v>
      </c>
      <c r="S545" t="str">
        <f t="shared" ca="1" si="41"/>
        <v/>
      </c>
      <c r="T545" t="str">
        <f>IF(E545="USD",F545,IF(E545="CRC",F545/CONFIG!$B$5,""))</f>
        <v/>
      </c>
      <c r="U545" t="str">
        <f t="shared" si="42"/>
        <v/>
      </c>
      <c r="V545" t="str">
        <f t="shared" ca="1" si="43"/>
        <v/>
      </c>
      <c r="W545" t="str">
        <f t="shared" ca="1" si="44"/>
        <v/>
      </c>
    </row>
    <row r="546" spans="17:23" x14ac:dyDescent="0.25">
      <c r="Q546">
        <f>IF(E546="USD",CONFIG!$B$5,1)</f>
        <v>1</v>
      </c>
      <c r="R546" t="str">
        <f t="shared" si="40"/>
        <v>✗ ERROR: Revisa datos</v>
      </c>
      <c r="S546" t="str">
        <f t="shared" ca="1" si="41"/>
        <v/>
      </c>
      <c r="T546" t="str">
        <f>IF(E546="USD",F546,IF(E546="CRC",F546/CONFIG!$B$5,""))</f>
        <v/>
      </c>
      <c r="U546" t="str">
        <f t="shared" si="42"/>
        <v/>
      </c>
      <c r="V546" t="str">
        <f t="shared" ca="1" si="43"/>
        <v/>
      </c>
      <c r="W546" t="str">
        <f t="shared" ca="1" si="44"/>
        <v/>
      </c>
    </row>
    <row r="547" spans="17:23" x14ac:dyDescent="0.25">
      <c r="Q547">
        <f>IF(E547="USD",CONFIG!$B$5,1)</f>
        <v>1</v>
      </c>
      <c r="R547" t="str">
        <f t="shared" si="40"/>
        <v>✗ ERROR: Revisa datos</v>
      </c>
      <c r="S547" t="str">
        <f t="shared" ca="1" si="41"/>
        <v/>
      </c>
      <c r="T547" t="str">
        <f>IF(E547="USD",F547,IF(E547="CRC",F547/CONFIG!$B$5,""))</f>
        <v/>
      </c>
      <c r="U547" t="str">
        <f t="shared" si="42"/>
        <v/>
      </c>
      <c r="V547" t="str">
        <f t="shared" ca="1" si="43"/>
        <v/>
      </c>
      <c r="W547" t="str">
        <f t="shared" ca="1" si="44"/>
        <v/>
      </c>
    </row>
    <row r="548" spans="17:23" x14ac:dyDescent="0.25">
      <c r="Q548">
        <f>IF(E548="USD",CONFIG!$B$5,1)</f>
        <v>1</v>
      </c>
      <c r="R548" t="str">
        <f t="shared" si="40"/>
        <v>✗ ERROR: Revisa datos</v>
      </c>
      <c r="S548" t="str">
        <f t="shared" ca="1" si="41"/>
        <v/>
      </c>
      <c r="T548" t="str">
        <f>IF(E548="USD",F548,IF(E548="CRC",F548/CONFIG!$B$5,""))</f>
        <v/>
      </c>
      <c r="U548" t="str">
        <f t="shared" si="42"/>
        <v/>
      </c>
      <c r="V548" t="str">
        <f t="shared" ca="1" si="43"/>
        <v/>
      </c>
      <c r="W548" t="str">
        <f t="shared" ca="1" si="44"/>
        <v/>
      </c>
    </row>
    <row r="549" spans="17:23" x14ac:dyDescent="0.25">
      <c r="Q549">
        <f>IF(E549="USD",CONFIG!$B$5,1)</f>
        <v>1</v>
      </c>
      <c r="R549" t="str">
        <f t="shared" si="40"/>
        <v>✗ ERROR: Revisa datos</v>
      </c>
      <c r="S549" t="str">
        <f t="shared" ca="1" si="41"/>
        <v/>
      </c>
      <c r="T549" t="str">
        <f>IF(E549="USD",F549,IF(E549="CRC",F549/CONFIG!$B$5,""))</f>
        <v/>
      </c>
      <c r="U549" t="str">
        <f t="shared" si="42"/>
        <v/>
      </c>
      <c r="V549" t="str">
        <f t="shared" ca="1" si="43"/>
        <v/>
      </c>
      <c r="W549" t="str">
        <f t="shared" ca="1" si="44"/>
        <v/>
      </c>
    </row>
    <row r="550" spans="17:23" x14ac:dyDescent="0.25">
      <c r="Q550">
        <f>IF(E550="USD",CONFIG!$B$5,1)</f>
        <v>1</v>
      </c>
      <c r="R550" t="str">
        <f t="shared" si="40"/>
        <v>✗ ERROR: Revisa datos</v>
      </c>
      <c r="S550" t="str">
        <f t="shared" ca="1" si="41"/>
        <v/>
      </c>
      <c r="T550" t="str">
        <f>IF(E550="USD",F550,IF(E550="CRC",F550/CONFIG!$B$5,""))</f>
        <v/>
      </c>
      <c r="U550" t="str">
        <f t="shared" si="42"/>
        <v/>
      </c>
      <c r="V550" t="str">
        <f t="shared" ca="1" si="43"/>
        <v/>
      </c>
      <c r="W550" t="str">
        <f t="shared" ca="1" si="44"/>
        <v/>
      </c>
    </row>
    <row r="551" spans="17:23" x14ac:dyDescent="0.25">
      <c r="Q551">
        <f>IF(E551="USD",CONFIG!$B$5,1)</f>
        <v>1</v>
      </c>
      <c r="R551" t="str">
        <f t="shared" si="40"/>
        <v>✗ ERROR: Revisa datos</v>
      </c>
      <c r="S551" t="str">
        <f t="shared" ca="1" si="41"/>
        <v/>
      </c>
      <c r="T551" t="str">
        <f>IF(E551="USD",F551,IF(E551="CRC",F551/CONFIG!$B$5,""))</f>
        <v/>
      </c>
      <c r="U551" t="str">
        <f t="shared" si="42"/>
        <v/>
      </c>
      <c r="V551" t="str">
        <f t="shared" ca="1" si="43"/>
        <v/>
      </c>
      <c r="W551" t="str">
        <f t="shared" ca="1" si="44"/>
        <v/>
      </c>
    </row>
    <row r="552" spans="17:23" x14ac:dyDescent="0.25">
      <c r="Q552">
        <f>IF(E552="USD",CONFIG!$B$5,1)</f>
        <v>1</v>
      </c>
      <c r="R552" t="str">
        <f t="shared" si="40"/>
        <v>✗ ERROR: Revisa datos</v>
      </c>
      <c r="S552" t="str">
        <f t="shared" ca="1" si="41"/>
        <v/>
      </c>
      <c r="T552" t="str">
        <f>IF(E552="USD",F552,IF(E552="CRC",F552/CONFIG!$B$5,""))</f>
        <v/>
      </c>
      <c r="U552" t="str">
        <f t="shared" si="42"/>
        <v/>
      </c>
      <c r="V552" t="str">
        <f t="shared" ca="1" si="43"/>
        <v/>
      </c>
      <c r="W552" t="str">
        <f t="shared" ca="1" si="44"/>
        <v/>
      </c>
    </row>
    <row r="553" spans="17:23" x14ac:dyDescent="0.25">
      <c r="Q553">
        <f>IF(E553="USD",CONFIG!$B$5,1)</f>
        <v>1</v>
      </c>
      <c r="R553" t="str">
        <f t="shared" si="40"/>
        <v>✗ ERROR: Revisa datos</v>
      </c>
      <c r="S553" t="str">
        <f t="shared" ca="1" si="41"/>
        <v/>
      </c>
      <c r="T553" t="str">
        <f>IF(E553="USD",F553,IF(E553="CRC",F553/CONFIG!$B$5,""))</f>
        <v/>
      </c>
      <c r="U553" t="str">
        <f t="shared" si="42"/>
        <v/>
      </c>
      <c r="V553" t="str">
        <f t="shared" ca="1" si="43"/>
        <v/>
      </c>
      <c r="W553" t="str">
        <f t="shared" ca="1" si="44"/>
        <v/>
      </c>
    </row>
    <row r="554" spans="17:23" x14ac:dyDescent="0.25">
      <c r="Q554">
        <f>IF(E554="USD",CONFIG!$B$5,1)</f>
        <v>1</v>
      </c>
      <c r="R554" t="str">
        <f t="shared" si="40"/>
        <v>✗ ERROR: Revisa datos</v>
      </c>
      <c r="S554" t="str">
        <f t="shared" ca="1" si="41"/>
        <v/>
      </c>
      <c r="T554" t="str">
        <f>IF(E554="USD",F554,IF(E554="CRC",F554/CONFIG!$B$5,""))</f>
        <v/>
      </c>
      <c r="U554" t="str">
        <f t="shared" si="42"/>
        <v/>
      </c>
      <c r="V554" t="str">
        <f t="shared" ca="1" si="43"/>
        <v/>
      </c>
      <c r="W554" t="str">
        <f t="shared" ca="1" si="44"/>
        <v/>
      </c>
    </row>
    <row r="555" spans="17:23" x14ac:dyDescent="0.25">
      <c r="Q555">
        <f>IF(E555="USD",CONFIG!$B$5,1)</f>
        <v>1</v>
      </c>
      <c r="R555" t="str">
        <f t="shared" si="40"/>
        <v>✗ ERROR: Revisa datos</v>
      </c>
      <c r="S555" t="str">
        <f t="shared" ca="1" si="41"/>
        <v/>
      </c>
      <c r="T555" t="str">
        <f>IF(E555="USD",F555,IF(E555="CRC",F555/CONFIG!$B$5,""))</f>
        <v/>
      </c>
      <c r="U555" t="str">
        <f t="shared" si="42"/>
        <v/>
      </c>
      <c r="V555" t="str">
        <f t="shared" ca="1" si="43"/>
        <v/>
      </c>
      <c r="W555" t="str">
        <f t="shared" ca="1" si="44"/>
        <v/>
      </c>
    </row>
    <row r="556" spans="17:23" x14ac:dyDescent="0.25">
      <c r="Q556">
        <f>IF(E556="USD",CONFIG!$B$5,1)</f>
        <v>1</v>
      </c>
      <c r="R556" t="str">
        <f t="shared" si="40"/>
        <v>✗ ERROR: Revisa datos</v>
      </c>
      <c r="S556" t="str">
        <f t="shared" ca="1" si="41"/>
        <v/>
      </c>
      <c r="T556" t="str">
        <f>IF(E556="USD",F556,IF(E556="CRC",F556/CONFIG!$B$5,""))</f>
        <v/>
      </c>
      <c r="U556" t="str">
        <f t="shared" si="42"/>
        <v/>
      </c>
      <c r="V556" t="str">
        <f t="shared" ca="1" si="43"/>
        <v/>
      </c>
      <c r="W556" t="str">
        <f t="shared" ca="1" si="44"/>
        <v/>
      </c>
    </row>
    <row r="557" spans="17:23" x14ac:dyDescent="0.25">
      <c r="Q557">
        <f>IF(E557="USD",CONFIG!$B$5,1)</f>
        <v>1</v>
      </c>
      <c r="R557" t="str">
        <f t="shared" si="40"/>
        <v>✗ ERROR: Revisa datos</v>
      </c>
      <c r="S557" t="str">
        <f t="shared" ca="1" si="41"/>
        <v/>
      </c>
      <c r="T557" t="str">
        <f>IF(E557="USD",F557,IF(E557="CRC",F557/CONFIG!$B$5,""))</f>
        <v/>
      </c>
      <c r="U557" t="str">
        <f t="shared" si="42"/>
        <v/>
      </c>
      <c r="V557" t="str">
        <f t="shared" ca="1" si="43"/>
        <v/>
      </c>
      <c r="W557" t="str">
        <f t="shared" ca="1" si="44"/>
        <v/>
      </c>
    </row>
    <row r="558" spans="17:23" x14ac:dyDescent="0.25">
      <c r="Q558">
        <f>IF(E558="USD",CONFIG!$B$5,1)</f>
        <v>1</v>
      </c>
      <c r="R558" t="str">
        <f t="shared" si="40"/>
        <v>✗ ERROR: Revisa datos</v>
      </c>
      <c r="S558" t="str">
        <f t="shared" ca="1" si="41"/>
        <v/>
      </c>
      <c r="T558" t="str">
        <f>IF(E558="USD",F558,IF(E558="CRC",F558/CONFIG!$B$5,""))</f>
        <v/>
      </c>
      <c r="U558" t="str">
        <f t="shared" si="42"/>
        <v/>
      </c>
      <c r="V558" t="str">
        <f t="shared" ca="1" si="43"/>
        <v/>
      </c>
      <c r="W558" t="str">
        <f t="shared" ca="1" si="44"/>
        <v/>
      </c>
    </row>
    <row r="559" spans="17:23" x14ac:dyDescent="0.25">
      <c r="Q559">
        <f>IF(E559="USD",CONFIG!$B$5,1)</f>
        <v>1</v>
      </c>
      <c r="R559" t="str">
        <f t="shared" si="40"/>
        <v>✗ ERROR: Revisa datos</v>
      </c>
      <c r="S559" t="str">
        <f t="shared" ca="1" si="41"/>
        <v/>
      </c>
      <c r="T559" t="str">
        <f>IF(E559="USD",F559,IF(E559="CRC",F559/CONFIG!$B$5,""))</f>
        <v/>
      </c>
      <c r="U559" t="str">
        <f t="shared" si="42"/>
        <v/>
      </c>
      <c r="V559" t="str">
        <f t="shared" ca="1" si="43"/>
        <v/>
      </c>
      <c r="W559" t="str">
        <f t="shared" ca="1" si="44"/>
        <v/>
      </c>
    </row>
    <row r="560" spans="17:23" x14ac:dyDescent="0.25">
      <c r="Q560">
        <f>IF(E560="USD",CONFIG!$B$5,1)</f>
        <v>1</v>
      </c>
      <c r="R560" t="str">
        <f t="shared" si="40"/>
        <v>✗ ERROR: Revisa datos</v>
      </c>
      <c r="S560" t="str">
        <f t="shared" ca="1" si="41"/>
        <v/>
      </c>
      <c r="T560" t="str">
        <f>IF(E560="USD",F560,IF(E560="CRC",F560/CONFIG!$B$5,""))</f>
        <v/>
      </c>
      <c r="U560" t="str">
        <f t="shared" si="42"/>
        <v/>
      </c>
      <c r="V560" t="str">
        <f t="shared" ca="1" si="43"/>
        <v/>
      </c>
      <c r="W560" t="str">
        <f t="shared" ca="1" si="44"/>
        <v/>
      </c>
    </row>
    <row r="561" spans="17:23" x14ac:dyDescent="0.25">
      <c r="Q561">
        <f>IF(E561="USD",CONFIG!$B$5,1)</f>
        <v>1</v>
      </c>
      <c r="R561" t="str">
        <f t="shared" si="40"/>
        <v>✗ ERROR: Revisa datos</v>
      </c>
      <c r="S561" t="str">
        <f t="shared" ca="1" si="41"/>
        <v/>
      </c>
      <c r="T561" t="str">
        <f>IF(E561="USD",F561,IF(E561="CRC",F561/CONFIG!$B$5,""))</f>
        <v/>
      </c>
      <c r="U561" t="str">
        <f t="shared" si="42"/>
        <v/>
      </c>
      <c r="V561" t="str">
        <f t="shared" ca="1" si="43"/>
        <v/>
      </c>
      <c r="W561" t="str">
        <f t="shared" ca="1" si="44"/>
        <v/>
      </c>
    </row>
    <row r="562" spans="17:23" x14ac:dyDescent="0.25">
      <c r="Q562">
        <f>IF(E562="USD",CONFIG!$B$5,1)</f>
        <v>1</v>
      </c>
      <c r="R562" t="str">
        <f t="shared" si="40"/>
        <v>✗ ERROR: Revisa datos</v>
      </c>
      <c r="S562" t="str">
        <f t="shared" ca="1" si="41"/>
        <v/>
      </c>
      <c r="T562" t="str">
        <f>IF(E562="USD",F562,IF(E562="CRC",F562/CONFIG!$B$5,""))</f>
        <v/>
      </c>
      <c r="U562" t="str">
        <f t="shared" si="42"/>
        <v/>
      </c>
      <c r="V562" t="str">
        <f t="shared" ca="1" si="43"/>
        <v/>
      </c>
      <c r="W562" t="str">
        <f t="shared" ca="1" si="44"/>
        <v/>
      </c>
    </row>
    <row r="563" spans="17:23" x14ac:dyDescent="0.25">
      <c r="Q563">
        <f>IF(E563="USD",CONFIG!$B$5,1)</f>
        <v>1</v>
      </c>
      <c r="R563" t="str">
        <f t="shared" si="40"/>
        <v>✗ ERROR: Revisa datos</v>
      </c>
      <c r="S563" t="str">
        <f t="shared" ca="1" si="41"/>
        <v/>
      </c>
      <c r="T563" t="str">
        <f>IF(E563="USD",F563,IF(E563="CRC",F563/CONFIG!$B$5,""))</f>
        <v/>
      </c>
      <c r="U563" t="str">
        <f t="shared" si="42"/>
        <v/>
      </c>
      <c r="V563" t="str">
        <f t="shared" ca="1" si="43"/>
        <v/>
      </c>
      <c r="W563" t="str">
        <f t="shared" ca="1" si="44"/>
        <v/>
      </c>
    </row>
    <row r="564" spans="17:23" x14ac:dyDescent="0.25">
      <c r="Q564">
        <f>IF(E564="USD",CONFIG!$B$5,1)</f>
        <v>1</v>
      </c>
      <c r="R564" t="str">
        <f t="shared" si="40"/>
        <v>✗ ERROR: Revisa datos</v>
      </c>
      <c r="S564" t="str">
        <f t="shared" ca="1" si="41"/>
        <v/>
      </c>
      <c r="T564" t="str">
        <f>IF(E564="USD",F564,IF(E564="CRC",F564/CONFIG!$B$5,""))</f>
        <v/>
      </c>
      <c r="U564" t="str">
        <f t="shared" si="42"/>
        <v/>
      </c>
      <c r="V564" t="str">
        <f t="shared" ca="1" si="43"/>
        <v/>
      </c>
      <c r="W564" t="str">
        <f t="shared" ca="1" si="44"/>
        <v/>
      </c>
    </row>
    <row r="565" spans="17:23" x14ac:dyDescent="0.25">
      <c r="Q565">
        <f>IF(E565="USD",CONFIG!$B$5,1)</f>
        <v>1</v>
      </c>
      <c r="R565" t="str">
        <f t="shared" si="40"/>
        <v>✗ ERROR: Revisa datos</v>
      </c>
      <c r="S565" t="str">
        <f t="shared" ca="1" si="41"/>
        <v/>
      </c>
      <c r="T565" t="str">
        <f>IF(E565="USD",F565,IF(E565="CRC",F565/CONFIG!$B$5,""))</f>
        <v/>
      </c>
      <c r="U565" t="str">
        <f t="shared" si="42"/>
        <v/>
      </c>
      <c r="V565" t="str">
        <f t="shared" ca="1" si="43"/>
        <v/>
      </c>
      <c r="W565" t="str">
        <f t="shared" ca="1" si="44"/>
        <v/>
      </c>
    </row>
    <row r="566" spans="17:23" x14ac:dyDescent="0.25">
      <c r="Q566">
        <f>IF(E566="USD",CONFIG!$B$5,1)</f>
        <v>1</v>
      </c>
      <c r="R566" t="str">
        <f t="shared" si="40"/>
        <v>✗ ERROR: Revisa datos</v>
      </c>
      <c r="S566" t="str">
        <f t="shared" ca="1" si="41"/>
        <v/>
      </c>
      <c r="T566" t="str">
        <f>IF(E566="USD",F566,IF(E566="CRC",F566/CONFIG!$B$5,""))</f>
        <v/>
      </c>
      <c r="U566" t="str">
        <f t="shared" si="42"/>
        <v/>
      </c>
      <c r="V566" t="str">
        <f t="shared" ca="1" si="43"/>
        <v/>
      </c>
      <c r="W566" t="str">
        <f t="shared" ca="1" si="44"/>
        <v/>
      </c>
    </row>
    <row r="567" spans="17:23" x14ac:dyDescent="0.25">
      <c r="Q567">
        <f>IF(E567="USD",CONFIG!$B$5,1)</f>
        <v>1</v>
      </c>
      <c r="R567" t="str">
        <f t="shared" si="40"/>
        <v>✗ ERROR: Revisa datos</v>
      </c>
      <c r="S567" t="str">
        <f t="shared" ca="1" si="41"/>
        <v/>
      </c>
      <c r="T567" t="str">
        <f>IF(E567="USD",F567,IF(E567="CRC",F567/CONFIG!$B$5,""))</f>
        <v/>
      </c>
      <c r="U567" t="str">
        <f t="shared" si="42"/>
        <v/>
      </c>
      <c r="V567" t="str">
        <f t="shared" ca="1" si="43"/>
        <v/>
      </c>
      <c r="W567" t="str">
        <f t="shared" ca="1" si="44"/>
        <v/>
      </c>
    </row>
    <row r="568" spans="17:23" x14ac:dyDescent="0.25">
      <c r="Q568">
        <f>IF(E568="USD",CONFIG!$B$5,1)</f>
        <v>1</v>
      </c>
      <c r="R568" t="str">
        <f t="shared" si="40"/>
        <v>✗ ERROR: Revisa datos</v>
      </c>
      <c r="S568" t="str">
        <f t="shared" ca="1" si="41"/>
        <v/>
      </c>
      <c r="T568" t="str">
        <f>IF(E568="USD",F568,IF(E568="CRC",F568/CONFIG!$B$5,""))</f>
        <v/>
      </c>
      <c r="U568" t="str">
        <f t="shared" si="42"/>
        <v/>
      </c>
      <c r="V568" t="str">
        <f t="shared" ca="1" si="43"/>
        <v/>
      </c>
      <c r="W568" t="str">
        <f t="shared" ca="1" si="44"/>
        <v/>
      </c>
    </row>
    <row r="569" spans="17:23" x14ac:dyDescent="0.25">
      <c r="Q569">
        <f>IF(E569="USD",CONFIG!$B$5,1)</f>
        <v>1</v>
      </c>
      <c r="R569" t="str">
        <f t="shared" si="40"/>
        <v>✗ ERROR: Revisa datos</v>
      </c>
      <c r="S569" t="str">
        <f t="shared" ca="1" si="41"/>
        <v/>
      </c>
      <c r="T569" t="str">
        <f>IF(E569="USD",F569,IF(E569="CRC",F569/CONFIG!$B$5,""))</f>
        <v/>
      </c>
      <c r="U569" t="str">
        <f t="shared" si="42"/>
        <v/>
      </c>
      <c r="V569" t="str">
        <f t="shared" ca="1" si="43"/>
        <v/>
      </c>
      <c r="W569" t="str">
        <f t="shared" ca="1" si="44"/>
        <v/>
      </c>
    </row>
    <row r="570" spans="17:23" x14ac:dyDescent="0.25">
      <c r="Q570">
        <f>IF(E570="USD",CONFIG!$B$5,1)</f>
        <v>1</v>
      </c>
      <c r="R570" t="str">
        <f t="shared" si="40"/>
        <v>✗ ERROR: Revisa datos</v>
      </c>
      <c r="S570" t="str">
        <f t="shared" ca="1" si="41"/>
        <v/>
      </c>
      <c r="T570" t="str">
        <f>IF(E570="USD",F570,IF(E570="CRC",F570/CONFIG!$B$5,""))</f>
        <v/>
      </c>
      <c r="U570" t="str">
        <f t="shared" si="42"/>
        <v/>
      </c>
      <c r="V570" t="str">
        <f t="shared" ca="1" si="43"/>
        <v/>
      </c>
      <c r="W570" t="str">
        <f t="shared" ca="1" si="44"/>
        <v/>
      </c>
    </row>
    <row r="571" spans="17:23" x14ac:dyDescent="0.25">
      <c r="Q571">
        <f>IF(E571="USD",CONFIG!$B$5,1)</f>
        <v>1</v>
      </c>
      <c r="R571" t="str">
        <f t="shared" si="40"/>
        <v>✗ ERROR: Revisa datos</v>
      </c>
      <c r="S571" t="str">
        <f t="shared" ca="1" si="41"/>
        <v/>
      </c>
      <c r="T571" t="str">
        <f>IF(E571="USD",F571,IF(E571="CRC",F571/CONFIG!$B$5,""))</f>
        <v/>
      </c>
      <c r="U571" t="str">
        <f t="shared" si="42"/>
        <v/>
      </c>
      <c r="V571" t="str">
        <f t="shared" ca="1" si="43"/>
        <v/>
      </c>
      <c r="W571" t="str">
        <f t="shared" ca="1" si="44"/>
        <v/>
      </c>
    </row>
    <row r="572" spans="17:23" x14ac:dyDescent="0.25">
      <c r="Q572">
        <f>IF(E572="USD",CONFIG!$B$5,1)</f>
        <v>1</v>
      </c>
      <c r="R572" t="str">
        <f t="shared" si="40"/>
        <v>✗ ERROR: Revisa datos</v>
      </c>
      <c r="S572" t="str">
        <f t="shared" ca="1" si="41"/>
        <v/>
      </c>
      <c r="T572" t="str">
        <f>IF(E572="USD",F572,IF(E572="CRC",F572/CONFIG!$B$5,""))</f>
        <v/>
      </c>
      <c r="U572" t="str">
        <f t="shared" si="42"/>
        <v/>
      </c>
      <c r="V572" t="str">
        <f t="shared" ca="1" si="43"/>
        <v/>
      </c>
      <c r="W572" t="str">
        <f t="shared" ca="1" si="44"/>
        <v/>
      </c>
    </row>
    <row r="573" spans="17:23" x14ac:dyDescent="0.25">
      <c r="Q573">
        <f>IF(E573="USD",CONFIG!$B$5,1)</f>
        <v>1</v>
      </c>
      <c r="R573" t="str">
        <f t="shared" si="40"/>
        <v>✗ ERROR: Revisa datos</v>
      </c>
      <c r="S573" t="str">
        <f t="shared" ca="1" si="41"/>
        <v/>
      </c>
      <c r="T573" t="str">
        <f>IF(E573="USD",F573,IF(E573="CRC",F573/CONFIG!$B$5,""))</f>
        <v/>
      </c>
      <c r="U573" t="str">
        <f t="shared" si="42"/>
        <v/>
      </c>
      <c r="V573" t="str">
        <f t="shared" ca="1" si="43"/>
        <v/>
      </c>
      <c r="W573" t="str">
        <f t="shared" ca="1" si="44"/>
        <v/>
      </c>
    </row>
    <row r="574" spans="17:23" x14ac:dyDescent="0.25">
      <c r="Q574">
        <f>IF(E574="USD",CONFIG!$B$5,1)</f>
        <v>1</v>
      </c>
      <c r="R574" t="str">
        <f t="shared" si="40"/>
        <v>✗ ERROR: Revisa datos</v>
      </c>
      <c r="S574" t="str">
        <f t="shared" ca="1" si="41"/>
        <v/>
      </c>
      <c r="T574" t="str">
        <f>IF(E574="USD",F574,IF(E574="CRC",F574/CONFIG!$B$5,""))</f>
        <v/>
      </c>
      <c r="U574" t="str">
        <f t="shared" si="42"/>
        <v/>
      </c>
      <c r="V574" t="str">
        <f t="shared" ca="1" si="43"/>
        <v/>
      </c>
      <c r="W574" t="str">
        <f t="shared" ca="1" si="44"/>
        <v/>
      </c>
    </row>
    <row r="575" spans="17:23" x14ac:dyDescent="0.25">
      <c r="Q575">
        <f>IF(E575="USD",CONFIG!$B$5,1)</f>
        <v>1</v>
      </c>
      <c r="R575" t="str">
        <f t="shared" si="40"/>
        <v>✗ ERROR: Revisa datos</v>
      </c>
      <c r="S575" t="str">
        <f t="shared" ca="1" si="41"/>
        <v/>
      </c>
      <c r="T575" t="str">
        <f>IF(E575="USD",F575,IF(E575="CRC",F575/CONFIG!$B$5,""))</f>
        <v/>
      </c>
      <c r="U575" t="str">
        <f t="shared" si="42"/>
        <v/>
      </c>
      <c r="V575" t="str">
        <f t="shared" ca="1" si="43"/>
        <v/>
      </c>
      <c r="W575" t="str">
        <f t="shared" ca="1" si="44"/>
        <v/>
      </c>
    </row>
    <row r="576" spans="17:23" x14ac:dyDescent="0.25">
      <c r="Q576">
        <f>IF(E576="USD",CONFIG!$B$5,1)</f>
        <v>1</v>
      </c>
      <c r="R576" t="str">
        <f t="shared" si="40"/>
        <v>✗ ERROR: Revisa datos</v>
      </c>
      <c r="S576" t="str">
        <f t="shared" ca="1" si="41"/>
        <v/>
      </c>
      <c r="T576" t="str">
        <f>IF(E576="USD",F576,IF(E576="CRC",F576/CONFIG!$B$5,""))</f>
        <v/>
      </c>
      <c r="U576" t="str">
        <f t="shared" si="42"/>
        <v/>
      </c>
      <c r="V576" t="str">
        <f t="shared" ca="1" si="43"/>
        <v/>
      </c>
      <c r="W576" t="str">
        <f t="shared" ca="1" si="44"/>
        <v/>
      </c>
    </row>
    <row r="577" spans="17:23" x14ac:dyDescent="0.25">
      <c r="Q577">
        <f>IF(E577="USD",CONFIG!$B$5,1)</f>
        <v>1</v>
      </c>
      <c r="R577" t="str">
        <f t="shared" si="40"/>
        <v>✗ ERROR: Revisa datos</v>
      </c>
      <c r="S577" t="str">
        <f t="shared" ca="1" si="41"/>
        <v/>
      </c>
      <c r="T577" t="str">
        <f>IF(E577="USD",F577,IF(E577="CRC",F577/CONFIG!$B$5,""))</f>
        <v/>
      </c>
      <c r="U577" t="str">
        <f t="shared" si="42"/>
        <v/>
      </c>
      <c r="V577" t="str">
        <f t="shared" ca="1" si="43"/>
        <v/>
      </c>
      <c r="W577" t="str">
        <f t="shared" ca="1" si="44"/>
        <v/>
      </c>
    </row>
    <row r="578" spans="17:23" x14ac:dyDescent="0.25">
      <c r="Q578">
        <f>IF(E578="USD",CONFIG!$B$5,1)</f>
        <v>1</v>
      </c>
      <c r="R578" t="str">
        <f t="shared" si="40"/>
        <v>✗ ERROR: Revisa datos</v>
      </c>
      <c r="S578" t="str">
        <f t="shared" ca="1" si="41"/>
        <v/>
      </c>
      <c r="T578" t="str">
        <f>IF(E578="USD",F578,IF(E578="CRC",F578/CONFIG!$B$5,""))</f>
        <v/>
      </c>
      <c r="U578" t="str">
        <f t="shared" si="42"/>
        <v/>
      </c>
      <c r="V578" t="str">
        <f t="shared" ca="1" si="43"/>
        <v/>
      </c>
      <c r="W578" t="str">
        <f t="shared" ca="1" si="44"/>
        <v/>
      </c>
    </row>
    <row r="579" spans="17:23" x14ac:dyDescent="0.25">
      <c r="Q579">
        <f>IF(E579="USD",CONFIG!$B$5,1)</f>
        <v>1</v>
      </c>
      <c r="R579" t="str">
        <f t="shared" ref="R579:R642" si="45">IF(AND(A579&lt;&gt;"",ISNUMBER(A579),B579&lt;&gt;"",C579&lt;&gt;"",OR(E579="USD",E579="CRC"),F579&gt;0,ISNUMBER(Q579),Q579&gt;0),"✓ OK","✗ ERROR: Revisa datos")</f>
        <v>✗ ERROR: Revisa datos</v>
      </c>
      <c r="S579" t="str">
        <f t="shared" ca="1" si="41"/>
        <v/>
      </c>
      <c r="T579" t="str">
        <f>IF(E579="USD",F579,IF(E579="CRC",F579/CONFIG!$B$5,""))</f>
        <v/>
      </c>
      <c r="U579" t="str">
        <f t="shared" si="42"/>
        <v/>
      </c>
      <c r="V579" t="str">
        <f t="shared" ca="1" si="43"/>
        <v/>
      </c>
      <c r="W579" t="str">
        <f t="shared" ca="1" si="44"/>
        <v/>
      </c>
    </row>
    <row r="580" spans="17:23" x14ac:dyDescent="0.25">
      <c r="Q580">
        <f>IF(E580="USD",CONFIG!$B$5,1)</f>
        <v>1</v>
      </c>
      <c r="R580" t="str">
        <f t="shared" si="45"/>
        <v>✗ ERROR: Revisa datos</v>
      </c>
      <c r="S580" t="str">
        <f t="shared" ca="1" si="41"/>
        <v/>
      </c>
      <c r="T580" t="str">
        <f>IF(E580="USD",F580,IF(E580="CRC",F580/CONFIG!$B$5,""))</f>
        <v/>
      </c>
      <c r="U580" t="str">
        <f t="shared" si="42"/>
        <v/>
      </c>
      <c r="V580" t="str">
        <f t="shared" ca="1" si="43"/>
        <v/>
      </c>
      <c r="W580" t="str">
        <f t="shared" ca="1" si="44"/>
        <v/>
      </c>
    </row>
    <row r="581" spans="17:23" x14ac:dyDescent="0.25">
      <c r="Q581">
        <f>IF(E581="USD",CONFIG!$B$5,1)</f>
        <v>1</v>
      </c>
      <c r="R581" t="str">
        <f t="shared" si="45"/>
        <v>✗ ERROR: Revisa datos</v>
      </c>
      <c r="S581" t="str">
        <f t="shared" ca="1" si="41"/>
        <v/>
      </c>
      <c r="T581" t="str">
        <f>IF(E581="USD",F581,IF(E581="CRC",F581/CONFIG!$B$5,""))</f>
        <v/>
      </c>
      <c r="U581" t="str">
        <f t="shared" si="42"/>
        <v/>
      </c>
      <c r="V581" t="str">
        <f t="shared" ca="1" si="43"/>
        <v/>
      </c>
      <c r="W581" t="str">
        <f t="shared" ca="1" si="44"/>
        <v/>
      </c>
    </row>
    <row r="582" spans="17:23" x14ac:dyDescent="0.25">
      <c r="Q582">
        <f>IF(E582="USD",CONFIG!$B$5,1)</f>
        <v>1</v>
      </c>
      <c r="R582" t="str">
        <f t="shared" si="45"/>
        <v>✗ ERROR: Revisa datos</v>
      </c>
      <c r="S582" t="str">
        <f t="shared" ca="1" si="41"/>
        <v/>
      </c>
      <c r="T582" t="str">
        <f>IF(E582="USD",F582,IF(E582="CRC",F582/CONFIG!$B$5,""))</f>
        <v/>
      </c>
      <c r="U582" t="str">
        <f t="shared" si="42"/>
        <v/>
      </c>
      <c r="V582" t="str">
        <f t="shared" ca="1" si="43"/>
        <v/>
      </c>
      <c r="W582" t="str">
        <f t="shared" ca="1" si="44"/>
        <v/>
      </c>
    </row>
    <row r="583" spans="17:23" x14ac:dyDescent="0.25">
      <c r="Q583">
        <f>IF(E583="USD",CONFIG!$B$5,1)</f>
        <v>1</v>
      </c>
      <c r="R583" t="str">
        <f t="shared" si="45"/>
        <v>✗ ERROR: Revisa datos</v>
      </c>
      <c r="S583" t="str">
        <f t="shared" ref="S583:S646" ca="1" si="46">IF(A583&lt;&gt;"",TODAY()-A583,"")</f>
        <v/>
      </c>
      <c r="T583" t="str">
        <f>IF(E583="USD",F583,IF(E583="CRC",F583/CONFIG!$B$5,""))</f>
        <v/>
      </c>
      <c r="U583" t="str">
        <f t="shared" ref="U583:U646" si="47">IF(A583&lt;&gt;"",A583+30,"")</f>
        <v/>
      </c>
      <c r="V583" t="str">
        <f t="shared" ref="V583:V646" ca="1" si="48">IF(AND(C583="CxP",S583&gt;60),"Alta",IF(AND(C583="CxP",S583&gt;30),"Media",IF(C583="CxP","Baja","")))</f>
        <v/>
      </c>
      <c r="W583" t="str">
        <f t="shared" ref="W583:W646" ca="1" si="49">IF(AND(C583="CxC",S583&gt;90),"Alta",IF(AND(C583="CxC",S583&gt;60),"Media",IF(C583="CxC","Baja","")))</f>
        <v/>
      </c>
    </row>
    <row r="584" spans="17:23" x14ac:dyDescent="0.25">
      <c r="Q584">
        <f>IF(E584="USD",CONFIG!$B$5,1)</f>
        <v>1</v>
      </c>
      <c r="R584" t="str">
        <f t="shared" si="45"/>
        <v>✗ ERROR: Revisa datos</v>
      </c>
      <c r="S584" t="str">
        <f t="shared" ca="1" si="46"/>
        <v/>
      </c>
      <c r="T584" t="str">
        <f>IF(E584="USD",F584,IF(E584="CRC",F584/CONFIG!$B$5,""))</f>
        <v/>
      </c>
      <c r="U584" t="str">
        <f t="shared" si="47"/>
        <v/>
      </c>
      <c r="V584" t="str">
        <f t="shared" ca="1" si="48"/>
        <v/>
      </c>
      <c r="W584" t="str">
        <f t="shared" ca="1" si="49"/>
        <v/>
      </c>
    </row>
    <row r="585" spans="17:23" x14ac:dyDescent="0.25">
      <c r="Q585">
        <f>IF(E585="USD",CONFIG!$B$5,1)</f>
        <v>1</v>
      </c>
      <c r="R585" t="str">
        <f t="shared" si="45"/>
        <v>✗ ERROR: Revisa datos</v>
      </c>
      <c r="S585" t="str">
        <f t="shared" ca="1" si="46"/>
        <v/>
      </c>
      <c r="T585" t="str">
        <f>IF(E585="USD",F585,IF(E585="CRC",F585/CONFIG!$B$5,""))</f>
        <v/>
      </c>
      <c r="U585" t="str">
        <f t="shared" si="47"/>
        <v/>
      </c>
      <c r="V585" t="str">
        <f t="shared" ca="1" si="48"/>
        <v/>
      </c>
      <c r="W585" t="str">
        <f t="shared" ca="1" si="49"/>
        <v/>
      </c>
    </row>
    <row r="586" spans="17:23" x14ac:dyDescent="0.25">
      <c r="Q586">
        <f>IF(E586="USD",CONFIG!$B$5,1)</f>
        <v>1</v>
      </c>
      <c r="R586" t="str">
        <f t="shared" si="45"/>
        <v>✗ ERROR: Revisa datos</v>
      </c>
      <c r="S586" t="str">
        <f t="shared" ca="1" si="46"/>
        <v/>
      </c>
      <c r="T586" t="str">
        <f>IF(E586="USD",F586,IF(E586="CRC",F586/CONFIG!$B$5,""))</f>
        <v/>
      </c>
      <c r="U586" t="str">
        <f t="shared" si="47"/>
        <v/>
      </c>
      <c r="V586" t="str">
        <f t="shared" ca="1" si="48"/>
        <v/>
      </c>
      <c r="W586" t="str">
        <f t="shared" ca="1" si="49"/>
        <v/>
      </c>
    </row>
    <row r="587" spans="17:23" x14ac:dyDescent="0.25">
      <c r="Q587">
        <f>IF(E587="USD",CONFIG!$B$5,1)</f>
        <v>1</v>
      </c>
      <c r="R587" t="str">
        <f t="shared" si="45"/>
        <v>✗ ERROR: Revisa datos</v>
      </c>
      <c r="S587" t="str">
        <f t="shared" ca="1" si="46"/>
        <v/>
      </c>
      <c r="T587" t="str">
        <f>IF(E587="USD",F587,IF(E587="CRC",F587/CONFIG!$B$5,""))</f>
        <v/>
      </c>
      <c r="U587" t="str">
        <f t="shared" si="47"/>
        <v/>
      </c>
      <c r="V587" t="str">
        <f t="shared" ca="1" si="48"/>
        <v/>
      </c>
      <c r="W587" t="str">
        <f t="shared" ca="1" si="49"/>
        <v/>
      </c>
    </row>
    <row r="588" spans="17:23" x14ac:dyDescent="0.25">
      <c r="Q588">
        <f>IF(E588="USD",CONFIG!$B$5,1)</f>
        <v>1</v>
      </c>
      <c r="R588" t="str">
        <f t="shared" si="45"/>
        <v>✗ ERROR: Revisa datos</v>
      </c>
      <c r="S588" t="str">
        <f t="shared" ca="1" si="46"/>
        <v/>
      </c>
      <c r="T588" t="str">
        <f>IF(E588="USD",F588,IF(E588="CRC",F588/CONFIG!$B$5,""))</f>
        <v/>
      </c>
      <c r="U588" t="str">
        <f t="shared" si="47"/>
        <v/>
      </c>
      <c r="V588" t="str">
        <f t="shared" ca="1" si="48"/>
        <v/>
      </c>
      <c r="W588" t="str">
        <f t="shared" ca="1" si="49"/>
        <v/>
      </c>
    </row>
    <row r="589" spans="17:23" x14ac:dyDescent="0.25">
      <c r="Q589">
        <f>IF(E589="USD",CONFIG!$B$5,1)</f>
        <v>1</v>
      </c>
      <c r="R589" t="str">
        <f t="shared" si="45"/>
        <v>✗ ERROR: Revisa datos</v>
      </c>
      <c r="S589" t="str">
        <f t="shared" ca="1" si="46"/>
        <v/>
      </c>
      <c r="T589" t="str">
        <f>IF(E589="USD",F589,IF(E589="CRC",F589/CONFIG!$B$5,""))</f>
        <v/>
      </c>
      <c r="U589" t="str">
        <f t="shared" si="47"/>
        <v/>
      </c>
      <c r="V589" t="str">
        <f t="shared" ca="1" si="48"/>
        <v/>
      </c>
      <c r="W589" t="str">
        <f t="shared" ca="1" si="49"/>
        <v/>
      </c>
    </row>
    <row r="590" spans="17:23" x14ac:dyDescent="0.25">
      <c r="Q590">
        <f>IF(E590="USD",CONFIG!$B$5,1)</f>
        <v>1</v>
      </c>
      <c r="R590" t="str">
        <f t="shared" si="45"/>
        <v>✗ ERROR: Revisa datos</v>
      </c>
      <c r="S590" t="str">
        <f t="shared" ca="1" si="46"/>
        <v/>
      </c>
      <c r="T590" t="str">
        <f>IF(E590="USD",F590,IF(E590="CRC",F590/CONFIG!$B$5,""))</f>
        <v/>
      </c>
      <c r="U590" t="str">
        <f t="shared" si="47"/>
        <v/>
      </c>
      <c r="V590" t="str">
        <f t="shared" ca="1" si="48"/>
        <v/>
      </c>
      <c r="W590" t="str">
        <f t="shared" ca="1" si="49"/>
        <v/>
      </c>
    </row>
    <row r="591" spans="17:23" x14ac:dyDescent="0.25">
      <c r="Q591">
        <f>IF(E591="USD",CONFIG!$B$5,1)</f>
        <v>1</v>
      </c>
      <c r="R591" t="str">
        <f t="shared" si="45"/>
        <v>✗ ERROR: Revisa datos</v>
      </c>
      <c r="S591" t="str">
        <f t="shared" ca="1" si="46"/>
        <v/>
      </c>
      <c r="T591" t="str">
        <f>IF(E591="USD",F591,IF(E591="CRC",F591/CONFIG!$B$5,""))</f>
        <v/>
      </c>
      <c r="U591" t="str">
        <f t="shared" si="47"/>
        <v/>
      </c>
      <c r="V591" t="str">
        <f t="shared" ca="1" si="48"/>
        <v/>
      </c>
      <c r="W591" t="str">
        <f t="shared" ca="1" si="49"/>
        <v/>
      </c>
    </row>
    <row r="592" spans="17:23" x14ac:dyDescent="0.25">
      <c r="Q592">
        <f>IF(E592="USD",CONFIG!$B$5,1)</f>
        <v>1</v>
      </c>
      <c r="R592" t="str">
        <f t="shared" si="45"/>
        <v>✗ ERROR: Revisa datos</v>
      </c>
      <c r="S592" t="str">
        <f t="shared" ca="1" si="46"/>
        <v/>
      </c>
      <c r="T592" t="str">
        <f>IF(E592="USD",F592,IF(E592="CRC",F592/CONFIG!$B$5,""))</f>
        <v/>
      </c>
      <c r="U592" t="str">
        <f t="shared" si="47"/>
        <v/>
      </c>
      <c r="V592" t="str">
        <f t="shared" ca="1" si="48"/>
        <v/>
      </c>
      <c r="W592" t="str">
        <f t="shared" ca="1" si="49"/>
        <v/>
      </c>
    </row>
    <row r="593" spans="17:23" x14ac:dyDescent="0.25">
      <c r="Q593">
        <f>IF(E593="USD",CONFIG!$B$5,1)</f>
        <v>1</v>
      </c>
      <c r="R593" t="str">
        <f t="shared" si="45"/>
        <v>✗ ERROR: Revisa datos</v>
      </c>
      <c r="S593" t="str">
        <f t="shared" ca="1" si="46"/>
        <v/>
      </c>
      <c r="T593" t="str">
        <f>IF(E593="USD",F593,IF(E593="CRC",F593/CONFIG!$B$5,""))</f>
        <v/>
      </c>
      <c r="U593" t="str">
        <f t="shared" si="47"/>
        <v/>
      </c>
      <c r="V593" t="str">
        <f t="shared" ca="1" si="48"/>
        <v/>
      </c>
      <c r="W593" t="str">
        <f t="shared" ca="1" si="49"/>
        <v/>
      </c>
    </row>
    <row r="594" spans="17:23" x14ac:dyDescent="0.25">
      <c r="Q594">
        <f>IF(E594="USD",CONFIG!$B$5,1)</f>
        <v>1</v>
      </c>
      <c r="R594" t="str">
        <f t="shared" si="45"/>
        <v>✗ ERROR: Revisa datos</v>
      </c>
      <c r="S594" t="str">
        <f t="shared" ca="1" si="46"/>
        <v/>
      </c>
      <c r="T594" t="str">
        <f>IF(E594="USD",F594,IF(E594="CRC",F594/CONFIG!$B$5,""))</f>
        <v/>
      </c>
      <c r="U594" t="str">
        <f t="shared" si="47"/>
        <v/>
      </c>
      <c r="V594" t="str">
        <f t="shared" ca="1" si="48"/>
        <v/>
      </c>
      <c r="W594" t="str">
        <f t="shared" ca="1" si="49"/>
        <v/>
      </c>
    </row>
    <row r="595" spans="17:23" x14ac:dyDescent="0.25">
      <c r="Q595">
        <f>IF(E595="USD",CONFIG!$B$5,1)</f>
        <v>1</v>
      </c>
      <c r="R595" t="str">
        <f t="shared" si="45"/>
        <v>✗ ERROR: Revisa datos</v>
      </c>
      <c r="S595" t="str">
        <f t="shared" ca="1" si="46"/>
        <v/>
      </c>
      <c r="T595" t="str">
        <f>IF(E595="USD",F595,IF(E595="CRC",F595/CONFIG!$B$5,""))</f>
        <v/>
      </c>
      <c r="U595" t="str">
        <f t="shared" si="47"/>
        <v/>
      </c>
      <c r="V595" t="str">
        <f t="shared" ca="1" si="48"/>
        <v/>
      </c>
      <c r="W595" t="str">
        <f t="shared" ca="1" si="49"/>
        <v/>
      </c>
    </row>
    <row r="596" spans="17:23" x14ac:dyDescent="0.25">
      <c r="Q596">
        <f>IF(E596="USD",CONFIG!$B$5,1)</f>
        <v>1</v>
      </c>
      <c r="R596" t="str">
        <f t="shared" si="45"/>
        <v>✗ ERROR: Revisa datos</v>
      </c>
      <c r="S596" t="str">
        <f t="shared" ca="1" si="46"/>
        <v/>
      </c>
      <c r="T596" t="str">
        <f>IF(E596="USD",F596,IF(E596="CRC",F596/CONFIG!$B$5,""))</f>
        <v/>
      </c>
      <c r="U596" t="str">
        <f t="shared" si="47"/>
        <v/>
      </c>
      <c r="V596" t="str">
        <f t="shared" ca="1" si="48"/>
        <v/>
      </c>
      <c r="W596" t="str">
        <f t="shared" ca="1" si="49"/>
        <v/>
      </c>
    </row>
    <row r="597" spans="17:23" x14ac:dyDescent="0.25">
      <c r="Q597">
        <f>IF(E597="USD",CONFIG!$B$5,1)</f>
        <v>1</v>
      </c>
      <c r="R597" t="str">
        <f t="shared" si="45"/>
        <v>✗ ERROR: Revisa datos</v>
      </c>
      <c r="S597" t="str">
        <f t="shared" ca="1" si="46"/>
        <v/>
      </c>
      <c r="T597" t="str">
        <f>IF(E597="USD",F597,IF(E597="CRC",F597/CONFIG!$B$5,""))</f>
        <v/>
      </c>
      <c r="U597" t="str">
        <f t="shared" si="47"/>
        <v/>
      </c>
      <c r="V597" t="str">
        <f t="shared" ca="1" si="48"/>
        <v/>
      </c>
      <c r="W597" t="str">
        <f t="shared" ca="1" si="49"/>
        <v/>
      </c>
    </row>
    <row r="598" spans="17:23" x14ac:dyDescent="0.25">
      <c r="Q598">
        <f>IF(E598="USD",CONFIG!$B$5,1)</f>
        <v>1</v>
      </c>
      <c r="R598" t="str">
        <f t="shared" si="45"/>
        <v>✗ ERROR: Revisa datos</v>
      </c>
      <c r="S598" t="str">
        <f t="shared" ca="1" si="46"/>
        <v/>
      </c>
      <c r="T598" t="str">
        <f>IF(E598="USD",F598,IF(E598="CRC",F598/CONFIG!$B$5,""))</f>
        <v/>
      </c>
      <c r="U598" t="str">
        <f t="shared" si="47"/>
        <v/>
      </c>
      <c r="V598" t="str">
        <f t="shared" ca="1" si="48"/>
        <v/>
      </c>
      <c r="W598" t="str">
        <f t="shared" ca="1" si="49"/>
        <v/>
      </c>
    </row>
    <row r="599" spans="17:23" x14ac:dyDescent="0.25">
      <c r="Q599">
        <f>IF(E599="USD",CONFIG!$B$5,1)</f>
        <v>1</v>
      </c>
      <c r="R599" t="str">
        <f t="shared" si="45"/>
        <v>✗ ERROR: Revisa datos</v>
      </c>
      <c r="S599" t="str">
        <f t="shared" ca="1" si="46"/>
        <v/>
      </c>
      <c r="T599" t="str">
        <f>IF(E599="USD",F599,IF(E599="CRC",F599/CONFIG!$B$5,""))</f>
        <v/>
      </c>
      <c r="U599" t="str">
        <f t="shared" si="47"/>
        <v/>
      </c>
      <c r="V599" t="str">
        <f t="shared" ca="1" si="48"/>
        <v/>
      </c>
      <c r="W599" t="str">
        <f t="shared" ca="1" si="49"/>
        <v/>
      </c>
    </row>
    <row r="600" spans="17:23" x14ac:dyDescent="0.25">
      <c r="Q600">
        <f>IF(E600="USD",CONFIG!$B$5,1)</f>
        <v>1</v>
      </c>
      <c r="R600" t="str">
        <f t="shared" si="45"/>
        <v>✗ ERROR: Revisa datos</v>
      </c>
      <c r="S600" t="str">
        <f t="shared" ca="1" si="46"/>
        <v/>
      </c>
      <c r="T600" t="str">
        <f>IF(E600="USD",F600,IF(E600="CRC",F600/CONFIG!$B$5,""))</f>
        <v/>
      </c>
      <c r="U600" t="str">
        <f t="shared" si="47"/>
        <v/>
      </c>
      <c r="V600" t="str">
        <f t="shared" ca="1" si="48"/>
        <v/>
      </c>
      <c r="W600" t="str">
        <f t="shared" ca="1" si="49"/>
        <v/>
      </c>
    </row>
    <row r="601" spans="17:23" x14ac:dyDescent="0.25">
      <c r="Q601">
        <f>IF(E601="USD",CONFIG!$B$5,1)</f>
        <v>1</v>
      </c>
      <c r="R601" t="str">
        <f t="shared" si="45"/>
        <v>✗ ERROR: Revisa datos</v>
      </c>
      <c r="S601" t="str">
        <f t="shared" ca="1" si="46"/>
        <v/>
      </c>
      <c r="T601" t="str">
        <f>IF(E601="USD",F601,IF(E601="CRC",F601/CONFIG!$B$5,""))</f>
        <v/>
      </c>
      <c r="U601" t="str">
        <f t="shared" si="47"/>
        <v/>
      </c>
      <c r="V601" t="str">
        <f t="shared" ca="1" si="48"/>
        <v/>
      </c>
      <c r="W601" t="str">
        <f t="shared" ca="1" si="49"/>
        <v/>
      </c>
    </row>
    <row r="602" spans="17:23" x14ac:dyDescent="0.25">
      <c r="Q602">
        <f>IF(E602="USD",CONFIG!$B$5,1)</f>
        <v>1</v>
      </c>
      <c r="R602" t="str">
        <f t="shared" si="45"/>
        <v>✗ ERROR: Revisa datos</v>
      </c>
      <c r="S602" t="str">
        <f t="shared" ca="1" si="46"/>
        <v/>
      </c>
      <c r="T602" t="str">
        <f>IF(E602="USD",F602,IF(E602="CRC",F602/CONFIG!$B$5,""))</f>
        <v/>
      </c>
      <c r="U602" t="str">
        <f t="shared" si="47"/>
        <v/>
      </c>
      <c r="V602" t="str">
        <f t="shared" ca="1" si="48"/>
        <v/>
      </c>
      <c r="W602" t="str">
        <f t="shared" ca="1" si="49"/>
        <v/>
      </c>
    </row>
    <row r="603" spans="17:23" x14ac:dyDescent="0.25">
      <c r="Q603">
        <f>IF(E603="USD",CONFIG!$B$5,1)</f>
        <v>1</v>
      </c>
      <c r="R603" t="str">
        <f t="shared" si="45"/>
        <v>✗ ERROR: Revisa datos</v>
      </c>
      <c r="S603" t="str">
        <f t="shared" ca="1" si="46"/>
        <v/>
      </c>
      <c r="T603" t="str">
        <f>IF(E603="USD",F603,IF(E603="CRC",F603/CONFIG!$B$5,""))</f>
        <v/>
      </c>
      <c r="U603" t="str">
        <f t="shared" si="47"/>
        <v/>
      </c>
      <c r="V603" t="str">
        <f t="shared" ca="1" si="48"/>
        <v/>
      </c>
      <c r="W603" t="str">
        <f t="shared" ca="1" si="49"/>
        <v/>
      </c>
    </row>
    <row r="604" spans="17:23" x14ac:dyDescent="0.25">
      <c r="Q604">
        <f>IF(E604="USD",CONFIG!$B$5,1)</f>
        <v>1</v>
      </c>
      <c r="R604" t="str">
        <f t="shared" si="45"/>
        <v>✗ ERROR: Revisa datos</v>
      </c>
      <c r="S604" t="str">
        <f t="shared" ca="1" si="46"/>
        <v/>
      </c>
      <c r="T604" t="str">
        <f>IF(E604="USD",F604,IF(E604="CRC",F604/CONFIG!$B$5,""))</f>
        <v/>
      </c>
      <c r="U604" t="str">
        <f t="shared" si="47"/>
        <v/>
      </c>
      <c r="V604" t="str">
        <f t="shared" ca="1" si="48"/>
        <v/>
      </c>
      <c r="W604" t="str">
        <f t="shared" ca="1" si="49"/>
        <v/>
      </c>
    </row>
    <row r="605" spans="17:23" x14ac:dyDescent="0.25">
      <c r="Q605">
        <f>IF(E605="USD",CONFIG!$B$5,1)</f>
        <v>1</v>
      </c>
      <c r="R605" t="str">
        <f t="shared" si="45"/>
        <v>✗ ERROR: Revisa datos</v>
      </c>
      <c r="S605" t="str">
        <f t="shared" ca="1" si="46"/>
        <v/>
      </c>
      <c r="T605" t="str">
        <f>IF(E605="USD",F605,IF(E605="CRC",F605/CONFIG!$B$5,""))</f>
        <v/>
      </c>
      <c r="U605" t="str">
        <f t="shared" si="47"/>
        <v/>
      </c>
      <c r="V605" t="str">
        <f t="shared" ca="1" si="48"/>
        <v/>
      </c>
      <c r="W605" t="str">
        <f t="shared" ca="1" si="49"/>
        <v/>
      </c>
    </row>
    <row r="606" spans="17:23" x14ac:dyDescent="0.25">
      <c r="Q606">
        <f>IF(E606="USD",CONFIG!$B$5,1)</f>
        <v>1</v>
      </c>
      <c r="R606" t="str">
        <f t="shared" si="45"/>
        <v>✗ ERROR: Revisa datos</v>
      </c>
      <c r="S606" t="str">
        <f t="shared" ca="1" si="46"/>
        <v/>
      </c>
      <c r="T606" t="str">
        <f>IF(E606="USD",F606,IF(E606="CRC",F606/CONFIG!$B$5,""))</f>
        <v/>
      </c>
      <c r="U606" t="str">
        <f t="shared" si="47"/>
        <v/>
      </c>
      <c r="V606" t="str">
        <f t="shared" ca="1" si="48"/>
        <v/>
      </c>
      <c r="W606" t="str">
        <f t="shared" ca="1" si="49"/>
        <v/>
      </c>
    </row>
    <row r="607" spans="17:23" x14ac:dyDescent="0.25">
      <c r="Q607">
        <f>IF(E607="USD",CONFIG!$B$5,1)</f>
        <v>1</v>
      </c>
      <c r="R607" t="str">
        <f t="shared" si="45"/>
        <v>✗ ERROR: Revisa datos</v>
      </c>
      <c r="S607" t="str">
        <f t="shared" ca="1" si="46"/>
        <v/>
      </c>
      <c r="T607" t="str">
        <f>IF(E607="USD",F607,IF(E607="CRC",F607/CONFIG!$B$5,""))</f>
        <v/>
      </c>
      <c r="U607" t="str">
        <f t="shared" si="47"/>
        <v/>
      </c>
      <c r="V607" t="str">
        <f t="shared" ca="1" si="48"/>
        <v/>
      </c>
      <c r="W607" t="str">
        <f t="shared" ca="1" si="49"/>
        <v/>
      </c>
    </row>
    <row r="608" spans="17:23" x14ac:dyDescent="0.25">
      <c r="Q608">
        <f>IF(E608="USD",CONFIG!$B$5,1)</f>
        <v>1</v>
      </c>
      <c r="R608" t="str">
        <f t="shared" si="45"/>
        <v>✗ ERROR: Revisa datos</v>
      </c>
      <c r="S608" t="str">
        <f t="shared" ca="1" si="46"/>
        <v/>
      </c>
      <c r="T608" t="str">
        <f>IF(E608="USD",F608,IF(E608="CRC",F608/CONFIG!$B$5,""))</f>
        <v/>
      </c>
      <c r="U608" t="str">
        <f t="shared" si="47"/>
        <v/>
      </c>
      <c r="V608" t="str">
        <f t="shared" ca="1" si="48"/>
        <v/>
      </c>
      <c r="W608" t="str">
        <f t="shared" ca="1" si="49"/>
        <v/>
      </c>
    </row>
    <row r="609" spans="17:23" x14ac:dyDescent="0.25">
      <c r="Q609">
        <f>IF(E609="USD",CONFIG!$B$5,1)</f>
        <v>1</v>
      </c>
      <c r="R609" t="str">
        <f t="shared" si="45"/>
        <v>✗ ERROR: Revisa datos</v>
      </c>
      <c r="S609" t="str">
        <f t="shared" ca="1" si="46"/>
        <v/>
      </c>
      <c r="T609" t="str">
        <f>IF(E609="USD",F609,IF(E609="CRC",F609/CONFIG!$B$5,""))</f>
        <v/>
      </c>
      <c r="U609" t="str">
        <f t="shared" si="47"/>
        <v/>
      </c>
      <c r="V609" t="str">
        <f t="shared" ca="1" si="48"/>
        <v/>
      </c>
      <c r="W609" t="str">
        <f t="shared" ca="1" si="49"/>
        <v/>
      </c>
    </row>
    <row r="610" spans="17:23" x14ac:dyDescent="0.25">
      <c r="Q610">
        <f>IF(E610="USD",CONFIG!$B$5,1)</f>
        <v>1</v>
      </c>
      <c r="R610" t="str">
        <f t="shared" si="45"/>
        <v>✗ ERROR: Revisa datos</v>
      </c>
      <c r="S610" t="str">
        <f t="shared" ca="1" si="46"/>
        <v/>
      </c>
      <c r="T610" t="str">
        <f>IF(E610="USD",F610,IF(E610="CRC",F610/CONFIG!$B$5,""))</f>
        <v/>
      </c>
      <c r="U610" t="str">
        <f t="shared" si="47"/>
        <v/>
      </c>
      <c r="V610" t="str">
        <f t="shared" ca="1" si="48"/>
        <v/>
      </c>
      <c r="W610" t="str">
        <f t="shared" ca="1" si="49"/>
        <v/>
      </c>
    </row>
    <row r="611" spans="17:23" x14ac:dyDescent="0.25">
      <c r="Q611">
        <f>IF(E611="USD",CONFIG!$B$5,1)</f>
        <v>1</v>
      </c>
      <c r="R611" t="str">
        <f t="shared" si="45"/>
        <v>✗ ERROR: Revisa datos</v>
      </c>
      <c r="S611" t="str">
        <f t="shared" ca="1" si="46"/>
        <v/>
      </c>
      <c r="T611" t="str">
        <f>IF(E611="USD",F611,IF(E611="CRC",F611/CONFIG!$B$5,""))</f>
        <v/>
      </c>
      <c r="U611" t="str">
        <f t="shared" si="47"/>
        <v/>
      </c>
      <c r="V611" t="str">
        <f t="shared" ca="1" si="48"/>
        <v/>
      </c>
      <c r="W611" t="str">
        <f t="shared" ca="1" si="49"/>
        <v/>
      </c>
    </row>
    <row r="612" spans="17:23" x14ac:dyDescent="0.25">
      <c r="Q612">
        <f>IF(E612="USD",CONFIG!$B$5,1)</f>
        <v>1</v>
      </c>
      <c r="R612" t="str">
        <f t="shared" si="45"/>
        <v>✗ ERROR: Revisa datos</v>
      </c>
      <c r="S612" t="str">
        <f t="shared" ca="1" si="46"/>
        <v/>
      </c>
      <c r="T612" t="str">
        <f>IF(E612="USD",F612,IF(E612="CRC",F612/CONFIG!$B$5,""))</f>
        <v/>
      </c>
      <c r="U612" t="str">
        <f t="shared" si="47"/>
        <v/>
      </c>
      <c r="V612" t="str">
        <f t="shared" ca="1" si="48"/>
        <v/>
      </c>
      <c r="W612" t="str">
        <f t="shared" ca="1" si="49"/>
        <v/>
      </c>
    </row>
    <row r="613" spans="17:23" x14ac:dyDescent="0.25">
      <c r="Q613">
        <f>IF(E613="USD",CONFIG!$B$5,1)</f>
        <v>1</v>
      </c>
      <c r="R613" t="str">
        <f t="shared" si="45"/>
        <v>✗ ERROR: Revisa datos</v>
      </c>
      <c r="S613" t="str">
        <f t="shared" ca="1" si="46"/>
        <v/>
      </c>
      <c r="T613" t="str">
        <f>IF(E613="USD",F613,IF(E613="CRC",F613/CONFIG!$B$5,""))</f>
        <v/>
      </c>
      <c r="U613" t="str">
        <f t="shared" si="47"/>
        <v/>
      </c>
      <c r="V613" t="str">
        <f t="shared" ca="1" si="48"/>
        <v/>
      </c>
      <c r="W613" t="str">
        <f t="shared" ca="1" si="49"/>
        <v/>
      </c>
    </row>
    <row r="614" spans="17:23" x14ac:dyDescent="0.25">
      <c r="Q614">
        <f>IF(E614="USD",CONFIG!$B$5,1)</f>
        <v>1</v>
      </c>
      <c r="R614" t="str">
        <f t="shared" si="45"/>
        <v>✗ ERROR: Revisa datos</v>
      </c>
      <c r="S614" t="str">
        <f t="shared" ca="1" si="46"/>
        <v/>
      </c>
      <c r="T614" t="str">
        <f>IF(E614="USD",F614,IF(E614="CRC",F614/CONFIG!$B$5,""))</f>
        <v/>
      </c>
      <c r="U614" t="str">
        <f t="shared" si="47"/>
        <v/>
      </c>
      <c r="V614" t="str">
        <f t="shared" ca="1" si="48"/>
        <v/>
      </c>
      <c r="W614" t="str">
        <f t="shared" ca="1" si="49"/>
        <v/>
      </c>
    </row>
    <row r="615" spans="17:23" x14ac:dyDescent="0.25">
      <c r="Q615">
        <f>IF(E615="USD",CONFIG!$B$5,1)</f>
        <v>1</v>
      </c>
      <c r="R615" t="str">
        <f t="shared" si="45"/>
        <v>✗ ERROR: Revisa datos</v>
      </c>
      <c r="S615" t="str">
        <f t="shared" ca="1" si="46"/>
        <v/>
      </c>
      <c r="T615" t="str">
        <f>IF(E615="USD",F615,IF(E615="CRC",F615/CONFIG!$B$5,""))</f>
        <v/>
      </c>
      <c r="U615" t="str">
        <f t="shared" si="47"/>
        <v/>
      </c>
      <c r="V615" t="str">
        <f t="shared" ca="1" si="48"/>
        <v/>
      </c>
      <c r="W615" t="str">
        <f t="shared" ca="1" si="49"/>
        <v/>
      </c>
    </row>
    <row r="616" spans="17:23" x14ac:dyDescent="0.25">
      <c r="Q616">
        <f>IF(E616="USD",CONFIG!$B$5,1)</f>
        <v>1</v>
      </c>
      <c r="R616" t="str">
        <f t="shared" si="45"/>
        <v>✗ ERROR: Revisa datos</v>
      </c>
      <c r="S616" t="str">
        <f t="shared" ca="1" si="46"/>
        <v/>
      </c>
      <c r="T616" t="str">
        <f>IF(E616="USD",F616,IF(E616="CRC",F616/CONFIG!$B$5,""))</f>
        <v/>
      </c>
      <c r="U616" t="str">
        <f t="shared" si="47"/>
        <v/>
      </c>
      <c r="V616" t="str">
        <f t="shared" ca="1" si="48"/>
        <v/>
      </c>
      <c r="W616" t="str">
        <f t="shared" ca="1" si="49"/>
        <v/>
      </c>
    </row>
    <row r="617" spans="17:23" x14ac:dyDescent="0.25">
      <c r="Q617">
        <f>IF(E617="USD",CONFIG!$B$5,1)</f>
        <v>1</v>
      </c>
      <c r="R617" t="str">
        <f t="shared" si="45"/>
        <v>✗ ERROR: Revisa datos</v>
      </c>
      <c r="S617" t="str">
        <f t="shared" ca="1" si="46"/>
        <v/>
      </c>
      <c r="T617" t="str">
        <f>IF(E617="USD",F617,IF(E617="CRC",F617/CONFIG!$B$5,""))</f>
        <v/>
      </c>
      <c r="U617" t="str">
        <f t="shared" si="47"/>
        <v/>
      </c>
      <c r="V617" t="str">
        <f t="shared" ca="1" si="48"/>
        <v/>
      </c>
      <c r="W617" t="str">
        <f t="shared" ca="1" si="49"/>
        <v/>
      </c>
    </row>
    <row r="618" spans="17:23" x14ac:dyDescent="0.25">
      <c r="Q618">
        <f>IF(E618="USD",CONFIG!$B$5,1)</f>
        <v>1</v>
      </c>
      <c r="R618" t="str">
        <f t="shared" si="45"/>
        <v>✗ ERROR: Revisa datos</v>
      </c>
      <c r="S618" t="str">
        <f t="shared" ca="1" si="46"/>
        <v/>
      </c>
      <c r="T618" t="str">
        <f>IF(E618="USD",F618,IF(E618="CRC",F618/CONFIG!$B$5,""))</f>
        <v/>
      </c>
      <c r="U618" t="str">
        <f t="shared" si="47"/>
        <v/>
      </c>
      <c r="V618" t="str">
        <f t="shared" ca="1" si="48"/>
        <v/>
      </c>
      <c r="W618" t="str">
        <f t="shared" ca="1" si="49"/>
        <v/>
      </c>
    </row>
    <row r="619" spans="17:23" x14ac:dyDescent="0.25">
      <c r="Q619">
        <f>IF(E619="USD",CONFIG!$B$5,1)</f>
        <v>1</v>
      </c>
      <c r="R619" t="str">
        <f t="shared" si="45"/>
        <v>✗ ERROR: Revisa datos</v>
      </c>
      <c r="S619" t="str">
        <f t="shared" ca="1" si="46"/>
        <v/>
      </c>
      <c r="T619" t="str">
        <f>IF(E619="USD",F619,IF(E619="CRC",F619/CONFIG!$B$5,""))</f>
        <v/>
      </c>
      <c r="U619" t="str">
        <f t="shared" si="47"/>
        <v/>
      </c>
      <c r="V619" t="str">
        <f t="shared" ca="1" si="48"/>
        <v/>
      </c>
      <c r="W619" t="str">
        <f t="shared" ca="1" si="49"/>
        <v/>
      </c>
    </row>
    <row r="620" spans="17:23" x14ac:dyDescent="0.25">
      <c r="Q620">
        <f>IF(E620="USD",CONFIG!$B$5,1)</f>
        <v>1</v>
      </c>
      <c r="R620" t="str">
        <f t="shared" si="45"/>
        <v>✗ ERROR: Revisa datos</v>
      </c>
      <c r="S620" t="str">
        <f t="shared" ca="1" si="46"/>
        <v/>
      </c>
      <c r="T620" t="str">
        <f>IF(E620="USD",F620,IF(E620="CRC",F620/CONFIG!$B$5,""))</f>
        <v/>
      </c>
      <c r="U620" t="str">
        <f t="shared" si="47"/>
        <v/>
      </c>
      <c r="V620" t="str">
        <f t="shared" ca="1" si="48"/>
        <v/>
      </c>
      <c r="W620" t="str">
        <f t="shared" ca="1" si="49"/>
        <v/>
      </c>
    </row>
    <row r="621" spans="17:23" x14ac:dyDescent="0.25">
      <c r="Q621">
        <f>IF(E621="USD",CONFIG!$B$5,1)</f>
        <v>1</v>
      </c>
      <c r="R621" t="str">
        <f t="shared" si="45"/>
        <v>✗ ERROR: Revisa datos</v>
      </c>
      <c r="S621" t="str">
        <f t="shared" ca="1" si="46"/>
        <v/>
      </c>
      <c r="T621" t="str">
        <f>IF(E621="USD",F621,IF(E621="CRC",F621/CONFIG!$B$5,""))</f>
        <v/>
      </c>
      <c r="U621" t="str">
        <f t="shared" si="47"/>
        <v/>
      </c>
      <c r="V621" t="str">
        <f t="shared" ca="1" si="48"/>
        <v/>
      </c>
      <c r="W621" t="str">
        <f t="shared" ca="1" si="49"/>
        <v/>
      </c>
    </row>
    <row r="622" spans="17:23" x14ac:dyDescent="0.25">
      <c r="Q622">
        <f>IF(E622="USD",CONFIG!$B$5,1)</f>
        <v>1</v>
      </c>
      <c r="R622" t="str">
        <f t="shared" si="45"/>
        <v>✗ ERROR: Revisa datos</v>
      </c>
      <c r="S622" t="str">
        <f t="shared" ca="1" si="46"/>
        <v/>
      </c>
      <c r="T622" t="str">
        <f>IF(E622="USD",F622,IF(E622="CRC",F622/CONFIG!$B$5,""))</f>
        <v/>
      </c>
      <c r="U622" t="str">
        <f t="shared" si="47"/>
        <v/>
      </c>
      <c r="V622" t="str">
        <f t="shared" ca="1" si="48"/>
        <v/>
      </c>
      <c r="W622" t="str">
        <f t="shared" ca="1" si="49"/>
        <v/>
      </c>
    </row>
    <row r="623" spans="17:23" x14ac:dyDescent="0.25">
      <c r="Q623">
        <f>IF(E623="USD",CONFIG!$B$5,1)</f>
        <v>1</v>
      </c>
      <c r="R623" t="str">
        <f t="shared" si="45"/>
        <v>✗ ERROR: Revisa datos</v>
      </c>
      <c r="S623" t="str">
        <f t="shared" ca="1" si="46"/>
        <v/>
      </c>
      <c r="T623" t="str">
        <f>IF(E623="USD",F623,IF(E623="CRC",F623/CONFIG!$B$5,""))</f>
        <v/>
      </c>
      <c r="U623" t="str">
        <f t="shared" si="47"/>
        <v/>
      </c>
      <c r="V623" t="str">
        <f t="shared" ca="1" si="48"/>
        <v/>
      </c>
      <c r="W623" t="str">
        <f t="shared" ca="1" si="49"/>
        <v/>
      </c>
    </row>
    <row r="624" spans="17:23" x14ac:dyDescent="0.25">
      <c r="Q624">
        <f>IF(E624="USD",CONFIG!$B$5,1)</f>
        <v>1</v>
      </c>
      <c r="R624" t="str">
        <f t="shared" si="45"/>
        <v>✗ ERROR: Revisa datos</v>
      </c>
      <c r="S624" t="str">
        <f t="shared" ca="1" si="46"/>
        <v/>
      </c>
      <c r="T624" t="str">
        <f>IF(E624="USD",F624,IF(E624="CRC",F624/CONFIG!$B$5,""))</f>
        <v/>
      </c>
      <c r="U624" t="str">
        <f t="shared" si="47"/>
        <v/>
      </c>
      <c r="V624" t="str">
        <f t="shared" ca="1" si="48"/>
        <v/>
      </c>
      <c r="W624" t="str">
        <f t="shared" ca="1" si="49"/>
        <v/>
      </c>
    </row>
    <row r="625" spans="17:23" x14ac:dyDescent="0.25">
      <c r="Q625">
        <f>IF(E625="USD",CONFIG!$B$5,1)</f>
        <v>1</v>
      </c>
      <c r="R625" t="str">
        <f t="shared" si="45"/>
        <v>✗ ERROR: Revisa datos</v>
      </c>
      <c r="S625" t="str">
        <f t="shared" ca="1" si="46"/>
        <v/>
      </c>
      <c r="T625" t="str">
        <f>IF(E625="USD",F625,IF(E625="CRC",F625/CONFIG!$B$5,""))</f>
        <v/>
      </c>
      <c r="U625" t="str">
        <f t="shared" si="47"/>
        <v/>
      </c>
      <c r="V625" t="str">
        <f t="shared" ca="1" si="48"/>
        <v/>
      </c>
      <c r="W625" t="str">
        <f t="shared" ca="1" si="49"/>
        <v/>
      </c>
    </row>
    <row r="626" spans="17:23" x14ac:dyDescent="0.25">
      <c r="Q626">
        <f>IF(E626="USD",CONFIG!$B$5,1)</f>
        <v>1</v>
      </c>
      <c r="R626" t="str">
        <f t="shared" si="45"/>
        <v>✗ ERROR: Revisa datos</v>
      </c>
      <c r="S626" t="str">
        <f t="shared" ca="1" si="46"/>
        <v/>
      </c>
      <c r="T626" t="str">
        <f>IF(E626="USD",F626,IF(E626="CRC",F626/CONFIG!$B$5,""))</f>
        <v/>
      </c>
      <c r="U626" t="str">
        <f t="shared" si="47"/>
        <v/>
      </c>
      <c r="V626" t="str">
        <f t="shared" ca="1" si="48"/>
        <v/>
      </c>
      <c r="W626" t="str">
        <f t="shared" ca="1" si="49"/>
        <v/>
      </c>
    </row>
    <row r="627" spans="17:23" x14ac:dyDescent="0.25">
      <c r="Q627">
        <f>IF(E627="USD",CONFIG!$B$5,1)</f>
        <v>1</v>
      </c>
      <c r="R627" t="str">
        <f t="shared" si="45"/>
        <v>✗ ERROR: Revisa datos</v>
      </c>
      <c r="S627" t="str">
        <f t="shared" ca="1" si="46"/>
        <v/>
      </c>
      <c r="T627" t="str">
        <f>IF(E627="USD",F627,IF(E627="CRC",F627/CONFIG!$B$5,""))</f>
        <v/>
      </c>
      <c r="U627" t="str">
        <f t="shared" si="47"/>
        <v/>
      </c>
      <c r="V627" t="str">
        <f t="shared" ca="1" si="48"/>
        <v/>
      </c>
      <c r="W627" t="str">
        <f t="shared" ca="1" si="49"/>
        <v/>
      </c>
    </row>
    <row r="628" spans="17:23" x14ac:dyDescent="0.25">
      <c r="Q628">
        <f>IF(E628="USD",CONFIG!$B$5,1)</f>
        <v>1</v>
      </c>
      <c r="R628" t="str">
        <f t="shared" si="45"/>
        <v>✗ ERROR: Revisa datos</v>
      </c>
      <c r="S628" t="str">
        <f t="shared" ca="1" si="46"/>
        <v/>
      </c>
      <c r="T628" t="str">
        <f>IF(E628="USD",F628,IF(E628="CRC",F628/CONFIG!$B$5,""))</f>
        <v/>
      </c>
      <c r="U628" t="str">
        <f t="shared" si="47"/>
        <v/>
      </c>
      <c r="V628" t="str">
        <f t="shared" ca="1" si="48"/>
        <v/>
      </c>
      <c r="W628" t="str">
        <f t="shared" ca="1" si="49"/>
        <v/>
      </c>
    </row>
    <row r="629" spans="17:23" x14ac:dyDescent="0.25">
      <c r="Q629">
        <f>IF(E629="USD",CONFIG!$B$5,1)</f>
        <v>1</v>
      </c>
      <c r="R629" t="str">
        <f t="shared" si="45"/>
        <v>✗ ERROR: Revisa datos</v>
      </c>
      <c r="S629" t="str">
        <f t="shared" ca="1" si="46"/>
        <v/>
      </c>
      <c r="T629" t="str">
        <f>IF(E629="USD",F629,IF(E629="CRC",F629/CONFIG!$B$5,""))</f>
        <v/>
      </c>
      <c r="U629" t="str">
        <f t="shared" si="47"/>
        <v/>
      </c>
      <c r="V629" t="str">
        <f t="shared" ca="1" si="48"/>
        <v/>
      </c>
      <c r="W629" t="str">
        <f t="shared" ca="1" si="49"/>
        <v/>
      </c>
    </row>
    <row r="630" spans="17:23" x14ac:dyDescent="0.25">
      <c r="Q630">
        <f>IF(E630="USD",CONFIG!$B$5,1)</f>
        <v>1</v>
      </c>
      <c r="R630" t="str">
        <f t="shared" si="45"/>
        <v>✗ ERROR: Revisa datos</v>
      </c>
      <c r="S630" t="str">
        <f t="shared" ca="1" si="46"/>
        <v/>
      </c>
      <c r="T630" t="str">
        <f>IF(E630="USD",F630,IF(E630="CRC",F630/CONFIG!$B$5,""))</f>
        <v/>
      </c>
      <c r="U630" t="str">
        <f t="shared" si="47"/>
        <v/>
      </c>
      <c r="V630" t="str">
        <f t="shared" ca="1" si="48"/>
        <v/>
      </c>
      <c r="W630" t="str">
        <f t="shared" ca="1" si="49"/>
        <v/>
      </c>
    </row>
    <row r="631" spans="17:23" x14ac:dyDescent="0.25">
      <c r="Q631">
        <f>IF(E631="USD",CONFIG!$B$5,1)</f>
        <v>1</v>
      </c>
      <c r="R631" t="str">
        <f t="shared" si="45"/>
        <v>✗ ERROR: Revisa datos</v>
      </c>
      <c r="S631" t="str">
        <f t="shared" ca="1" si="46"/>
        <v/>
      </c>
      <c r="T631" t="str">
        <f>IF(E631="USD",F631,IF(E631="CRC",F631/CONFIG!$B$5,""))</f>
        <v/>
      </c>
      <c r="U631" t="str">
        <f t="shared" si="47"/>
        <v/>
      </c>
      <c r="V631" t="str">
        <f t="shared" ca="1" si="48"/>
        <v/>
      </c>
      <c r="W631" t="str">
        <f t="shared" ca="1" si="49"/>
        <v/>
      </c>
    </row>
    <row r="632" spans="17:23" x14ac:dyDescent="0.25">
      <c r="Q632">
        <f>IF(E632="USD",CONFIG!$B$5,1)</f>
        <v>1</v>
      </c>
      <c r="R632" t="str">
        <f t="shared" si="45"/>
        <v>✗ ERROR: Revisa datos</v>
      </c>
      <c r="S632" t="str">
        <f t="shared" ca="1" si="46"/>
        <v/>
      </c>
      <c r="T632" t="str">
        <f>IF(E632="USD",F632,IF(E632="CRC",F632/CONFIG!$B$5,""))</f>
        <v/>
      </c>
      <c r="U632" t="str">
        <f t="shared" si="47"/>
        <v/>
      </c>
      <c r="V632" t="str">
        <f t="shared" ca="1" si="48"/>
        <v/>
      </c>
      <c r="W632" t="str">
        <f t="shared" ca="1" si="49"/>
        <v/>
      </c>
    </row>
    <row r="633" spans="17:23" x14ac:dyDescent="0.25">
      <c r="Q633">
        <f>IF(E633="USD",CONFIG!$B$5,1)</f>
        <v>1</v>
      </c>
      <c r="R633" t="str">
        <f t="shared" si="45"/>
        <v>✗ ERROR: Revisa datos</v>
      </c>
      <c r="S633" t="str">
        <f t="shared" ca="1" si="46"/>
        <v/>
      </c>
      <c r="T633" t="str">
        <f>IF(E633="USD",F633,IF(E633="CRC",F633/CONFIG!$B$5,""))</f>
        <v/>
      </c>
      <c r="U633" t="str">
        <f t="shared" si="47"/>
        <v/>
      </c>
      <c r="V633" t="str">
        <f t="shared" ca="1" si="48"/>
        <v/>
      </c>
      <c r="W633" t="str">
        <f t="shared" ca="1" si="49"/>
        <v/>
      </c>
    </row>
    <row r="634" spans="17:23" x14ac:dyDescent="0.25">
      <c r="Q634">
        <f>IF(E634="USD",CONFIG!$B$5,1)</f>
        <v>1</v>
      </c>
      <c r="R634" t="str">
        <f t="shared" si="45"/>
        <v>✗ ERROR: Revisa datos</v>
      </c>
      <c r="S634" t="str">
        <f t="shared" ca="1" si="46"/>
        <v/>
      </c>
      <c r="T634" t="str">
        <f>IF(E634="USD",F634,IF(E634="CRC",F634/CONFIG!$B$5,""))</f>
        <v/>
      </c>
      <c r="U634" t="str">
        <f t="shared" si="47"/>
        <v/>
      </c>
      <c r="V634" t="str">
        <f t="shared" ca="1" si="48"/>
        <v/>
      </c>
      <c r="W634" t="str">
        <f t="shared" ca="1" si="49"/>
        <v/>
      </c>
    </row>
    <row r="635" spans="17:23" x14ac:dyDescent="0.25">
      <c r="Q635">
        <f>IF(E635="USD",CONFIG!$B$5,1)</f>
        <v>1</v>
      </c>
      <c r="R635" t="str">
        <f t="shared" si="45"/>
        <v>✗ ERROR: Revisa datos</v>
      </c>
      <c r="S635" t="str">
        <f t="shared" ca="1" si="46"/>
        <v/>
      </c>
      <c r="T635" t="str">
        <f>IF(E635="USD",F635,IF(E635="CRC",F635/CONFIG!$B$5,""))</f>
        <v/>
      </c>
      <c r="U635" t="str">
        <f t="shared" si="47"/>
        <v/>
      </c>
      <c r="V635" t="str">
        <f t="shared" ca="1" si="48"/>
        <v/>
      </c>
      <c r="W635" t="str">
        <f t="shared" ca="1" si="49"/>
        <v/>
      </c>
    </row>
    <row r="636" spans="17:23" x14ac:dyDescent="0.25">
      <c r="Q636">
        <f>IF(E636="USD",CONFIG!$B$5,1)</f>
        <v>1</v>
      </c>
      <c r="R636" t="str">
        <f t="shared" si="45"/>
        <v>✗ ERROR: Revisa datos</v>
      </c>
      <c r="S636" t="str">
        <f t="shared" ca="1" si="46"/>
        <v/>
      </c>
      <c r="T636" t="str">
        <f>IF(E636="USD",F636,IF(E636="CRC",F636/CONFIG!$B$5,""))</f>
        <v/>
      </c>
      <c r="U636" t="str">
        <f t="shared" si="47"/>
        <v/>
      </c>
      <c r="V636" t="str">
        <f t="shared" ca="1" si="48"/>
        <v/>
      </c>
      <c r="W636" t="str">
        <f t="shared" ca="1" si="49"/>
        <v/>
      </c>
    </row>
    <row r="637" spans="17:23" x14ac:dyDescent="0.25">
      <c r="Q637">
        <f>IF(E637="USD",CONFIG!$B$5,1)</f>
        <v>1</v>
      </c>
      <c r="R637" t="str">
        <f t="shared" si="45"/>
        <v>✗ ERROR: Revisa datos</v>
      </c>
      <c r="S637" t="str">
        <f t="shared" ca="1" si="46"/>
        <v/>
      </c>
      <c r="T637" t="str">
        <f>IF(E637="USD",F637,IF(E637="CRC",F637/CONFIG!$B$5,""))</f>
        <v/>
      </c>
      <c r="U637" t="str">
        <f t="shared" si="47"/>
        <v/>
      </c>
      <c r="V637" t="str">
        <f t="shared" ca="1" si="48"/>
        <v/>
      </c>
      <c r="W637" t="str">
        <f t="shared" ca="1" si="49"/>
        <v/>
      </c>
    </row>
    <row r="638" spans="17:23" x14ac:dyDescent="0.25">
      <c r="Q638">
        <f>IF(E638="USD",CONFIG!$B$5,1)</f>
        <v>1</v>
      </c>
      <c r="R638" t="str">
        <f t="shared" si="45"/>
        <v>✗ ERROR: Revisa datos</v>
      </c>
      <c r="S638" t="str">
        <f t="shared" ca="1" si="46"/>
        <v/>
      </c>
      <c r="T638" t="str">
        <f>IF(E638="USD",F638,IF(E638="CRC",F638/CONFIG!$B$5,""))</f>
        <v/>
      </c>
      <c r="U638" t="str">
        <f t="shared" si="47"/>
        <v/>
      </c>
      <c r="V638" t="str">
        <f t="shared" ca="1" si="48"/>
        <v/>
      </c>
      <c r="W638" t="str">
        <f t="shared" ca="1" si="49"/>
        <v/>
      </c>
    </row>
    <row r="639" spans="17:23" x14ac:dyDescent="0.25">
      <c r="Q639">
        <f>IF(E639="USD",CONFIG!$B$5,1)</f>
        <v>1</v>
      </c>
      <c r="R639" t="str">
        <f t="shared" si="45"/>
        <v>✗ ERROR: Revisa datos</v>
      </c>
      <c r="S639" t="str">
        <f t="shared" ca="1" si="46"/>
        <v/>
      </c>
      <c r="T639" t="str">
        <f>IF(E639="USD",F639,IF(E639="CRC",F639/CONFIG!$B$5,""))</f>
        <v/>
      </c>
      <c r="U639" t="str">
        <f t="shared" si="47"/>
        <v/>
      </c>
      <c r="V639" t="str">
        <f t="shared" ca="1" si="48"/>
        <v/>
      </c>
      <c r="W639" t="str">
        <f t="shared" ca="1" si="49"/>
        <v/>
      </c>
    </row>
    <row r="640" spans="17:23" x14ac:dyDescent="0.25">
      <c r="Q640">
        <f>IF(E640="USD",CONFIG!$B$5,1)</f>
        <v>1</v>
      </c>
      <c r="R640" t="str">
        <f t="shared" si="45"/>
        <v>✗ ERROR: Revisa datos</v>
      </c>
      <c r="S640" t="str">
        <f t="shared" ca="1" si="46"/>
        <v/>
      </c>
      <c r="T640" t="str">
        <f>IF(E640="USD",F640,IF(E640="CRC",F640/CONFIG!$B$5,""))</f>
        <v/>
      </c>
      <c r="U640" t="str">
        <f t="shared" si="47"/>
        <v/>
      </c>
      <c r="V640" t="str">
        <f t="shared" ca="1" si="48"/>
        <v/>
      </c>
      <c r="W640" t="str">
        <f t="shared" ca="1" si="49"/>
        <v/>
      </c>
    </row>
    <row r="641" spans="17:23" x14ac:dyDescent="0.25">
      <c r="Q641">
        <f>IF(E641="USD",CONFIG!$B$5,1)</f>
        <v>1</v>
      </c>
      <c r="R641" t="str">
        <f t="shared" si="45"/>
        <v>✗ ERROR: Revisa datos</v>
      </c>
      <c r="S641" t="str">
        <f t="shared" ca="1" si="46"/>
        <v/>
      </c>
      <c r="T641" t="str">
        <f>IF(E641="USD",F641,IF(E641="CRC",F641/CONFIG!$B$5,""))</f>
        <v/>
      </c>
      <c r="U641" t="str">
        <f t="shared" si="47"/>
        <v/>
      </c>
      <c r="V641" t="str">
        <f t="shared" ca="1" si="48"/>
        <v/>
      </c>
      <c r="W641" t="str">
        <f t="shared" ca="1" si="49"/>
        <v/>
      </c>
    </row>
    <row r="642" spans="17:23" x14ac:dyDescent="0.25">
      <c r="Q642">
        <f>IF(E642="USD",CONFIG!$B$5,1)</f>
        <v>1</v>
      </c>
      <c r="R642" t="str">
        <f t="shared" si="45"/>
        <v>✗ ERROR: Revisa datos</v>
      </c>
      <c r="S642" t="str">
        <f t="shared" ca="1" si="46"/>
        <v/>
      </c>
      <c r="T642" t="str">
        <f>IF(E642="USD",F642,IF(E642="CRC",F642/CONFIG!$B$5,""))</f>
        <v/>
      </c>
      <c r="U642" t="str">
        <f t="shared" si="47"/>
        <v/>
      </c>
      <c r="V642" t="str">
        <f t="shared" ca="1" si="48"/>
        <v/>
      </c>
      <c r="W642" t="str">
        <f t="shared" ca="1" si="49"/>
        <v/>
      </c>
    </row>
    <row r="643" spans="17:23" x14ac:dyDescent="0.25">
      <c r="Q643">
        <f>IF(E643="USD",CONFIG!$B$5,1)</f>
        <v>1</v>
      </c>
      <c r="R643" t="str">
        <f t="shared" ref="R643:R706" si="50">IF(AND(A643&lt;&gt;"",ISNUMBER(A643),B643&lt;&gt;"",C643&lt;&gt;"",OR(E643="USD",E643="CRC"),F643&gt;0,ISNUMBER(Q643),Q643&gt;0),"✓ OK","✗ ERROR: Revisa datos")</f>
        <v>✗ ERROR: Revisa datos</v>
      </c>
      <c r="S643" t="str">
        <f t="shared" ca="1" si="46"/>
        <v/>
      </c>
      <c r="T643" t="str">
        <f>IF(E643="USD",F643,IF(E643="CRC",F643/CONFIG!$B$5,""))</f>
        <v/>
      </c>
      <c r="U643" t="str">
        <f t="shared" si="47"/>
        <v/>
      </c>
      <c r="V643" t="str">
        <f t="shared" ca="1" si="48"/>
        <v/>
      </c>
      <c r="W643" t="str">
        <f t="shared" ca="1" si="49"/>
        <v/>
      </c>
    </row>
    <row r="644" spans="17:23" x14ac:dyDescent="0.25">
      <c r="Q644">
        <f>IF(E644="USD",CONFIG!$B$5,1)</f>
        <v>1</v>
      </c>
      <c r="R644" t="str">
        <f t="shared" si="50"/>
        <v>✗ ERROR: Revisa datos</v>
      </c>
      <c r="S644" t="str">
        <f t="shared" ca="1" si="46"/>
        <v/>
      </c>
      <c r="T644" t="str">
        <f>IF(E644="USD",F644,IF(E644="CRC",F644/CONFIG!$B$5,""))</f>
        <v/>
      </c>
      <c r="U644" t="str">
        <f t="shared" si="47"/>
        <v/>
      </c>
      <c r="V644" t="str">
        <f t="shared" ca="1" si="48"/>
        <v/>
      </c>
      <c r="W644" t="str">
        <f t="shared" ca="1" si="49"/>
        <v/>
      </c>
    </row>
    <row r="645" spans="17:23" x14ac:dyDescent="0.25">
      <c r="Q645">
        <f>IF(E645="USD",CONFIG!$B$5,1)</f>
        <v>1</v>
      </c>
      <c r="R645" t="str">
        <f t="shared" si="50"/>
        <v>✗ ERROR: Revisa datos</v>
      </c>
      <c r="S645" t="str">
        <f t="shared" ca="1" si="46"/>
        <v/>
      </c>
      <c r="T645" t="str">
        <f>IF(E645="USD",F645,IF(E645="CRC",F645/CONFIG!$B$5,""))</f>
        <v/>
      </c>
      <c r="U645" t="str">
        <f t="shared" si="47"/>
        <v/>
      </c>
      <c r="V645" t="str">
        <f t="shared" ca="1" si="48"/>
        <v/>
      </c>
      <c r="W645" t="str">
        <f t="shared" ca="1" si="49"/>
        <v/>
      </c>
    </row>
    <row r="646" spans="17:23" x14ac:dyDescent="0.25">
      <c r="Q646">
        <f>IF(E646="USD",CONFIG!$B$5,1)</f>
        <v>1</v>
      </c>
      <c r="R646" t="str">
        <f t="shared" si="50"/>
        <v>✗ ERROR: Revisa datos</v>
      </c>
      <c r="S646" t="str">
        <f t="shared" ca="1" si="46"/>
        <v/>
      </c>
      <c r="T646" t="str">
        <f>IF(E646="USD",F646,IF(E646="CRC",F646/CONFIG!$B$5,""))</f>
        <v/>
      </c>
      <c r="U646" t="str">
        <f t="shared" si="47"/>
        <v/>
      </c>
      <c r="V646" t="str">
        <f t="shared" ca="1" si="48"/>
        <v/>
      </c>
      <c r="W646" t="str">
        <f t="shared" ca="1" si="49"/>
        <v/>
      </c>
    </row>
    <row r="647" spans="17:23" x14ac:dyDescent="0.25">
      <c r="Q647">
        <f>IF(E647="USD",CONFIG!$B$5,1)</f>
        <v>1</v>
      </c>
      <c r="R647" t="str">
        <f t="shared" si="50"/>
        <v>✗ ERROR: Revisa datos</v>
      </c>
      <c r="S647" t="str">
        <f t="shared" ref="S647:S710" ca="1" si="51">IF(A647&lt;&gt;"",TODAY()-A647,"")</f>
        <v/>
      </c>
      <c r="T647" t="str">
        <f>IF(E647="USD",F647,IF(E647="CRC",F647/CONFIG!$B$5,""))</f>
        <v/>
      </c>
      <c r="U647" t="str">
        <f t="shared" ref="U647:U710" si="52">IF(A647&lt;&gt;"",A647+30,"")</f>
        <v/>
      </c>
      <c r="V647" t="str">
        <f t="shared" ref="V647:V710" ca="1" si="53">IF(AND(C647="CxP",S647&gt;60),"Alta",IF(AND(C647="CxP",S647&gt;30),"Media",IF(C647="CxP","Baja","")))</f>
        <v/>
      </c>
      <c r="W647" t="str">
        <f t="shared" ref="W647:W710" ca="1" si="54">IF(AND(C647="CxC",S647&gt;90),"Alta",IF(AND(C647="CxC",S647&gt;60),"Media",IF(C647="CxC","Baja","")))</f>
        <v/>
      </c>
    </row>
    <row r="648" spans="17:23" x14ac:dyDescent="0.25">
      <c r="Q648">
        <f>IF(E648="USD",CONFIG!$B$5,1)</f>
        <v>1</v>
      </c>
      <c r="R648" t="str">
        <f t="shared" si="50"/>
        <v>✗ ERROR: Revisa datos</v>
      </c>
      <c r="S648" t="str">
        <f t="shared" ca="1" si="51"/>
        <v/>
      </c>
      <c r="T648" t="str">
        <f>IF(E648="USD",F648,IF(E648="CRC",F648/CONFIG!$B$5,""))</f>
        <v/>
      </c>
      <c r="U648" t="str">
        <f t="shared" si="52"/>
        <v/>
      </c>
      <c r="V648" t="str">
        <f t="shared" ca="1" si="53"/>
        <v/>
      </c>
      <c r="W648" t="str">
        <f t="shared" ca="1" si="54"/>
        <v/>
      </c>
    </row>
    <row r="649" spans="17:23" x14ac:dyDescent="0.25">
      <c r="Q649">
        <f>IF(E649="USD",CONFIG!$B$5,1)</f>
        <v>1</v>
      </c>
      <c r="R649" t="str">
        <f t="shared" si="50"/>
        <v>✗ ERROR: Revisa datos</v>
      </c>
      <c r="S649" t="str">
        <f t="shared" ca="1" si="51"/>
        <v/>
      </c>
      <c r="T649" t="str">
        <f>IF(E649="USD",F649,IF(E649="CRC",F649/CONFIG!$B$5,""))</f>
        <v/>
      </c>
      <c r="U649" t="str">
        <f t="shared" si="52"/>
        <v/>
      </c>
      <c r="V649" t="str">
        <f t="shared" ca="1" si="53"/>
        <v/>
      </c>
      <c r="W649" t="str">
        <f t="shared" ca="1" si="54"/>
        <v/>
      </c>
    </row>
    <row r="650" spans="17:23" x14ac:dyDescent="0.25">
      <c r="Q650">
        <f>IF(E650="USD",CONFIG!$B$5,1)</f>
        <v>1</v>
      </c>
      <c r="R650" t="str">
        <f t="shared" si="50"/>
        <v>✗ ERROR: Revisa datos</v>
      </c>
      <c r="S650" t="str">
        <f t="shared" ca="1" si="51"/>
        <v/>
      </c>
      <c r="T650" t="str">
        <f>IF(E650="USD",F650,IF(E650="CRC",F650/CONFIG!$B$5,""))</f>
        <v/>
      </c>
      <c r="U650" t="str">
        <f t="shared" si="52"/>
        <v/>
      </c>
      <c r="V650" t="str">
        <f t="shared" ca="1" si="53"/>
        <v/>
      </c>
      <c r="W650" t="str">
        <f t="shared" ca="1" si="54"/>
        <v/>
      </c>
    </row>
    <row r="651" spans="17:23" x14ac:dyDescent="0.25">
      <c r="Q651">
        <f>IF(E651="USD",CONFIG!$B$5,1)</f>
        <v>1</v>
      </c>
      <c r="R651" t="str">
        <f t="shared" si="50"/>
        <v>✗ ERROR: Revisa datos</v>
      </c>
      <c r="S651" t="str">
        <f t="shared" ca="1" si="51"/>
        <v/>
      </c>
      <c r="T651" t="str">
        <f>IF(E651="USD",F651,IF(E651="CRC",F651/CONFIG!$B$5,""))</f>
        <v/>
      </c>
      <c r="U651" t="str">
        <f t="shared" si="52"/>
        <v/>
      </c>
      <c r="V651" t="str">
        <f t="shared" ca="1" si="53"/>
        <v/>
      </c>
      <c r="W651" t="str">
        <f t="shared" ca="1" si="54"/>
        <v/>
      </c>
    </row>
    <row r="652" spans="17:23" x14ac:dyDescent="0.25">
      <c r="Q652">
        <f>IF(E652="USD",CONFIG!$B$5,1)</f>
        <v>1</v>
      </c>
      <c r="R652" t="str">
        <f t="shared" si="50"/>
        <v>✗ ERROR: Revisa datos</v>
      </c>
      <c r="S652" t="str">
        <f t="shared" ca="1" si="51"/>
        <v/>
      </c>
      <c r="T652" t="str">
        <f>IF(E652="USD",F652,IF(E652="CRC",F652/CONFIG!$B$5,""))</f>
        <v/>
      </c>
      <c r="U652" t="str">
        <f t="shared" si="52"/>
        <v/>
      </c>
      <c r="V652" t="str">
        <f t="shared" ca="1" si="53"/>
        <v/>
      </c>
      <c r="W652" t="str">
        <f t="shared" ca="1" si="54"/>
        <v/>
      </c>
    </row>
    <row r="653" spans="17:23" x14ac:dyDescent="0.25">
      <c r="Q653">
        <f>IF(E653="USD",CONFIG!$B$5,1)</f>
        <v>1</v>
      </c>
      <c r="R653" t="str">
        <f t="shared" si="50"/>
        <v>✗ ERROR: Revisa datos</v>
      </c>
      <c r="S653" t="str">
        <f t="shared" ca="1" si="51"/>
        <v/>
      </c>
      <c r="T653" t="str">
        <f>IF(E653="USD",F653,IF(E653="CRC",F653/CONFIG!$B$5,""))</f>
        <v/>
      </c>
      <c r="U653" t="str">
        <f t="shared" si="52"/>
        <v/>
      </c>
      <c r="V653" t="str">
        <f t="shared" ca="1" si="53"/>
        <v/>
      </c>
      <c r="W653" t="str">
        <f t="shared" ca="1" si="54"/>
        <v/>
      </c>
    </row>
    <row r="654" spans="17:23" x14ac:dyDescent="0.25">
      <c r="Q654">
        <f>IF(E654="USD",CONFIG!$B$5,1)</f>
        <v>1</v>
      </c>
      <c r="R654" t="str">
        <f t="shared" si="50"/>
        <v>✗ ERROR: Revisa datos</v>
      </c>
      <c r="S654" t="str">
        <f t="shared" ca="1" si="51"/>
        <v/>
      </c>
      <c r="T654" t="str">
        <f>IF(E654="USD",F654,IF(E654="CRC",F654/CONFIG!$B$5,""))</f>
        <v/>
      </c>
      <c r="U654" t="str">
        <f t="shared" si="52"/>
        <v/>
      </c>
      <c r="V654" t="str">
        <f t="shared" ca="1" si="53"/>
        <v/>
      </c>
      <c r="W654" t="str">
        <f t="shared" ca="1" si="54"/>
        <v/>
      </c>
    </row>
    <row r="655" spans="17:23" x14ac:dyDescent="0.25">
      <c r="Q655">
        <f>IF(E655="USD",CONFIG!$B$5,1)</f>
        <v>1</v>
      </c>
      <c r="R655" t="str">
        <f t="shared" si="50"/>
        <v>✗ ERROR: Revisa datos</v>
      </c>
      <c r="S655" t="str">
        <f t="shared" ca="1" si="51"/>
        <v/>
      </c>
      <c r="T655" t="str">
        <f>IF(E655="USD",F655,IF(E655="CRC",F655/CONFIG!$B$5,""))</f>
        <v/>
      </c>
      <c r="U655" t="str">
        <f t="shared" si="52"/>
        <v/>
      </c>
      <c r="V655" t="str">
        <f t="shared" ca="1" si="53"/>
        <v/>
      </c>
      <c r="W655" t="str">
        <f t="shared" ca="1" si="54"/>
        <v/>
      </c>
    </row>
    <row r="656" spans="17:23" x14ac:dyDescent="0.25">
      <c r="Q656">
        <f>IF(E656="USD",CONFIG!$B$5,1)</f>
        <v>1</v>
      </c>
      <c r="R656" t="str">
        <f t="shared" si="50"/>
        <v>✗ ERROR: Revisa datos</v>
      </c>
      <c r="S656" t="str">
        <f t="shared" ca="1" si="51"/>
        <v/>
      </c>
      <c r="T656" t="str">
        <f>IF(E656="USD",F656,IF(E656="CRC",F656/CONFIG!$B$5,""))</f>
        <v/>
      </c>
      <c r="U656" t="str">
        <f t="shared" si="52"/>
        <v/>
      </c>
      <c r="V656" t="str">
        <f t="shared" ca="1" si="53"/>
        <v/>
      </c>
      <c r="W656" t="str">
        <f t="shared" ca="1" si="54"/>
        <v/>
      </c>
    </row>
    <row r="657" spans="17:23" x14ac:dyDescent="0.25">
      <c r="Q657">
        <f>IF(E657="USD",CONFIG!$B$5,1)</f>
        <v>1</v>
      </c>
      <c r="R657" t="str">
        <f t="shared" si="50"/>
        <v>✗ ERROR: Revisa datos</v>
      </c>
      <c r="S657" t="str">
        <f t="shared" ca="1" si="51"/>
        <v/>
      </c>
      <c r="T657" t="str">
        <f>IF(E657="USD",F657,IF(E657="CRC",F657/CONFIG!$B$5,""))</f>
        <v/>
      </c>
      <c r="U657" t="str">
        <f t="shared" si="52"/>
        <v/>
      </c>
      <c r="V657" t="str">
        <f t="shared" ca="1" si="53"/>
        <v/>
      </c>
      <c r="W657" t="str">
        <f t="shared" ca="1" si="54"/>
        <v/>
      </c>
    </row>
    <row r="658" spans="17:23" x14ac:dyDescent="0.25">
      <c r="Q658">
        <f>IF(E658="USD",CONFIG!$B$5,1)</f>
        <v>1</v>
      </c>
      <c r="R658" t="str">
        <f t="shared" si="50"/>
        <v>✗ ERROR: Revisa datos</v>
      </c>
      <c r="S658" t="str">
        <f t="shared" ca="1" si="51"/>
        <v/>
      </c>
      <c r="T658" t="str">
        <f>IF(E658="USD",F658,IF(E658="CRC",F658/CONFIG!$B$5,""))</f>
        <v/>
      </c>
      <c r="U658" t="str">
        <f t="shared" si="52"/>
        <v/>
      </c>
      <c r="V658" t="str">
        <f t="shared" ca="1" si="53"/>
        <v/>
      </c>
      <c r="W658" t="str">
        <f t="shared" ca="1" si="54"/>
        <v/>
      </c>
    </row>
    <row r="659" spans="17:23" x14ac:dyDescent="0.25">
      <c r="Q659">
        <f>IF(E659="USD",CONFIG!$B$5,1)</f>
        <v>1</v>
      </c>
      <c r="R659" t="str">
        <f t="shared" si="50"/>
        <v>✗ ERROR: Revisa datos</v>
      </c>
      <c r="S659" t="str">
        <f t="shared" ca="1" si="51"/>
        <v/>
      </c>
      <c r="T659" t="str">
        <f>IF(E659="USD",F659,IF(E659="CRC",F659/CONFIG!$B$5,""))</f>
        <v/>
      </c>
      <c r="U659" t="str">
        <f t="shared" si="52"/>
        <v/>
      </c>
      <c r="V659" t="str">
        <f t="shared" ca="1" si="53"/>
        <v/>
      </c>
      <c r="W659" t="str">
        <f t="shared" ca="1" si="54"/>
        <v/>
      </c>
    </row>
    <row r="660" spans="17:23" x14ac:dyDescent="0.25">
      <c r="Q660">
        <f>IF(E660="USD",CONFIG!$B$5,1)</f>
        <v>1</v>
      </c>
      <c r="R660" t="str">
        <f t="shared" si="50"/>
        <v>✗ ERROR: Revisa datos</v>
      </c>
      <c r="S660" t="str">
        <f t="shared" ca="1" si="51"/>
        <v/>
      </c>
      <c r="T660" t="str">
        <f>IF(E660="USD",F660,IF(E660="CRC",F660/CONFIG!$B$5,""))</f>
        <v/>
      </c>
      <c r="U660" t="str">
        <f t="shared" si="52"/>
        <v/>
      </c>
      <c r="V660" t="str">
        <f t="shared" ca="1" si="53"/>
        <v/>
      </c>
      <c r="W660" t="str">
        <f t="shared" ca="1" si="54"/>
        <v/>
      </c>
    </row>
    <row r="661" spans="17:23" x14ac:dyDescent="0.25">
      <c r="Q661">
        <f>IF(E661="USD",CONFIG!$B$5,1)</f>
        <v>1</v>
      </c>
      <c r="R661" t="str">
        <f t="shared" si="50"/>
        <v>✗ ERROR: Revisa datos</v>
      </c>
      <c r="S661" t="str">
        <f t="shared" ca="1" si="51"/>
        <v/>
      </c>
      <c r="T661" t="str">
        <f>IF(E661="USD",F661,IF(E661="CRC",F661/CONFIG!$B$5,""))</f>
        <v/>
      </c>
      <c r="U661" t="str">
        <f t="shared" si="52"/>
        <v/>
      </c>
      <c r="V661" t="str">
        <f t="shared" ca="1" si="53"/>
        <v/>
      </c>
      <c r="W661" t="str">
        <f t="shared" ca="1" si="54"/>
        <v/>
      </c>
    </row>
    <row r="662" spans="17:23" x14ac:dyDescent="0.25">
      <c r="Q662">
        <f>IF(E662="USD",CONFIG!$B$5,1)</f>
        <v>1</v>
      </c>
      <c r="R662" t="str">
        <f t="shared" si="50"/>
        <v>✗ ERROR: Revisa datos</v>
      </c>
      <c r="S662" t="str">
        <f t="shared" ca="1" si="51"/>
        <v/>
      </c>
      <c r="T662" t="str">
        <f>IF(E662="USD",F662,IF(E662="CRC",F662/CONFIG!$B$5,""))</f>
        <v/>
      </c>
      <c r="U662" t="str">
        <f t="shared" si="52"/>
        <v/>
      </c>
      <c r="V662" t="str">
        <f t="shared" ca="1" si="53"/>
        <v/>
      </c>
      <c r="W662" t="str">
        <f t="shared" ca="1" si="54"/>
        <v/>
      </c>
    </row>
    <row r="663" spans="17:23" x14ac:dyDescent="0.25">
      <c r="Q663">
        <f>IF(E663="USD",CONFIG!$B$5,1)</f>
        <v>1</v>
      </c>
      <c r="R663" t="str">
        <f t="shared" si="50"/>
        <v>✗ ERROR: Revisa datos</v>
      </c>
      <c r="S663" t="str">
        <f t="shared" ca="1" si="51"/>
        <v/>
      </c>
      <c r="T663" t="str">
        <f>IF(E663="USD",F663,IF(E663="CRC",F663/CONFIG!$B$5,""))</f>
        <v/>
      </c>
      <c r="U663" t="str">
        <f t="shared" si="52"/>
        <v/>
      </c>
      <c r="V663" t="str">
        <f t="shared" ca="1" si="53"/>
        <v/>
      </c>
      <c r="W663" t="str">
        <f t="shared" ca="1" si="54"/>
        <v/>
      </c>
    </row>
    <row r="664" spans="17:23" x14ac:dyDescent="0.25">
      <c r="Q664">
        <f>IF(E664="USD",CONFIG!$B$5,1)</f>
        <v>1</v>
      </c>
      <c r="R664" t="str">
        <f t="shared" si="50"/>
        <v>✗ ERROR: Revisa datos</v>
      </c>
      <c r="S664" t="str">
        <f t="shared" ca="1" si="51"/>
        <v/>
      </c>
      <c r="T664" t="str">
        <f>IF(E664="USD",F664,IF(E664="CRC",F664/CONFIG!$B$5,""))</f>
        <v/>
      </c>
      <c r="U664" t="str">
        <f t="shared" si="52"/>
        <v/>
      </c>
      <c r="V664" t="str">
        <f t="shared" ca="1" si="53"/>
        <v/>
      </c>
      <c r="W664" t="str">
        <f t="shared" ca="1" si="54"/>
        <v/>
      </c>
    </row>
    <row r="665" spans="17:23" x14ac:dyDescent="0.25">
      <c r="Q665">
        <f>IF(E665="USD",CONFIG!$B$5,1)</f>
        <v>1</v>
      </c>
      <c r="R665" t="str">
        <f t="shared" si="50"/>
        <v>✗ ERROR: Revisa datos</v>
      </c>
      <c r="S665" t="str">
        <f t="shared" ca="1" si="51"/>
        <v/>
      </c>
      <c r="T665" t="str">
        <f>IF(E665="USD",F665,IF(E665="CRC",F665/CONFIG!$B$5,""))</f>
        <v/>
      </c>
      <c r="U665" t="str">
        <f t="shared" si="52"/>
        <v/>
      </c>
      <c r="V665" t="str">
        <f t="shared" ca="1" si="53"/>
        <v/>
      </c>
      <c r="W665" t="str">
        <f t="shared" ca="1" si="54"/>
        <v/>
      </c>
    </row>
    <row r="666" spans="17:23" x14ac:dyDescent="0.25">
      <c r="Q666">
        <f>IF(E666="USD",CONFIG!$B$5,1)</f>
        <v>1</v>
      </c>
      <c r="R666" t="str">
        <f t="shared" si="50"/>
        <v>✗ ERROR: Revisa datos</v>
      </c>
      <c r="S666" t="str">
        <f t="shared" ca="1" si="51"/>
        <v/>
      </c>
      <c r="T666" t="str">
        <f>IF(E666="USD",F666,IF(E666="CRC",F666/CONFIG!$B$5,""))</f>
        <v/>
      </c>
      <c r="U666" t="str">
        <f t="shared" si="52"/>
        <v/>
      </c>
      <c r="V666" t="str">
        <f t="shared" ca="1" si="53"/>
        <v/>
      </c>
      <c r="W666" t="str">
        <f t="shared" ca="1" si="54"/>
        <v/>
      </c>
    </row>
    <row r="667" spans="17:23" x14ac:dyDescent="0.25">
      <c r="Q667">
        <f>IF(E667="USD",CONFIG!$B$5,1)</f>
        <v>1</v>
      </c>
      <c r="R667" t="str">
        <f t="shared" si="50"/>
        <v>✗ ERROR: Revisa datos</v>
      </c>
      <c r="S667" t="str">
        <f t="shared" ca="1" si="51"/>
        <v/>
      </c>
      <c r="T667" t="str">
        <f>IF(E667="USD",F667,IF(E667="CRC",F667/CONFIG!$B$5,""))</f>
        <v/>
      </c>
      <c r="U667" t="str">
        <f t="shared" si="52"/>
        <v/>
      </c>
      <c r="V667" t="str">
        <f t="shared" ca="1" si="53"/>
        <v/>
      </c>
      <c r="W667" t="str">
        <f t="shared" ca="1" si="54"/>
        <v/>
      </c>
    </row>
    <row r="668" spans="17:23" x14ac:dyDescent="0.25">
      <c r="Q668">
        <f>IF(E668="USD",CONFIG!$B$5,1)</f>
        <v>1</v>
      </c>
      <c r="R668" t="str">
        <f t="shared" si="50"/>
        <v>✗ ERROR: Revisa datos</v>
      </c>
      <c r="S668" t="str">
        <f t="shared" ca="1" si="51"/>
        <v/>
      </c>
      <c r="T668" t="str">
        <f>IF(E668="USD",F668,IF(E668="CRC",F668/CONFIG!$B$5,""))</f>
        <v/>
      </c>
      <c r="U668" t="str">
        <f t="shared" si="52"/>
        <v/>
      </c>
      <c r="V668" t="str">
        <f t="shared" ca="1" si="53"/>
        <v/>
      </c>
      <c r="W668" t="str">
        <f t="shared" ca="1" si="54"/>
        <v/>
      </c>
    </row>
    <row r="669" spans="17:23" x14ac:dyDescent="0.25">
      <c r="Q669">
        <f>IF(E669="USD",CONFIG!$B$5,1)</f>
        <v>1</v>
      </c>
      <c r="R669" t="str">
        <f t="shared" si="50"/>
        <v>✗ ERROR: Revisa datos</v>
      </c>
      <c r="S669" t="str">
        <f t="shared" ca="1" si="51"/>
        <v/>
      </c>
      <c r="T669" t="str">
        <f>IF(E669="USD",F669,IF(E669="CRC",F669/CONFIG!$B$5,""))</f>
        <v/>
      </c>
      <c r="U669" t="str">
        <f t="shared" si="52"/>
        <v/>
      </c>
      <c r="V669" t="str">
        <f t="shared" ca="1" si="53"/>
        <v/>
      </c>
      <c r="W669" t="str">
        <f t="shared" ca="1" si="54"/>
        <v/>
      </c>
    </row>
    <row r="670" spans="17:23" x14ac:dyDescent="0.25">
      <c r="Q670">
        <f>IF(E670="USD",CONFIG!$B$5,1)</f>
        <v>1</v>
      </c>
      <c r="R670" t="str">
        <f t="shared" si="50"/>
        <v>✗ ERROR: Revisa datos</v>
      </c>
      <c r="S670" t="str">
        <f t="shared" ca="1" si="51"/>
        <v/>
      </c>
      <c r="T670" t="str">
        <f>IF(E670="USD",F670,IF(E670="CRC",F670/CONFIG!$B$5,""))</f>
        <v/>
      </c>
      <c r="U670" t="str">
        <f t="shared" si="52"/>
        <v/>
      </c>
      <c r="V670" t="str">
        <f t="shared" ca="1" si="53"/>
        <v/>
      </c>
      <c r="W670" t="str">
        <f t="shared" ca="1" si="54"/>
        <v/>
      </c>
    </row>
    <row r="671" spans="17:23" x14ac:dyDescent="0.25">
      <c r="Q671">
        <f>IF(E671="USD",CONFIG!$B$5,1)</f>
        <v>1</v>
      </c>
      <c r="R671" t="str">
        <f t="shared" si="50"/>
        <v>✗ ERROR: Revisa datos</v>
      </c>
      <c r="S671" t="str">
        <f t="shared" ca="1" si="51"/>
        <v/>
      </c>
      <c r="T671" t="str">
        <f>IF(E671="USD",F671,IF(E671="CRC",F671/CONFIG!$B$5,""))</f>
        <v/>
      </c>
      <c r="U671" t="str">
        <f t="shared" si="52"/>
        <v/>
      </c>
      <c r="V671" t="str">
        <f t="shared" ca="1" si="53"/>
        <v/>
      </c>
      <c r="W671" t="str">
        <f t="shared" ca="1" si="54"/>
        <v/>
      </c>
    </row>
    <row r="672" spans="17:23" x14ac:dyDescent="0.25">
      <c r="Q672">
        <f>IF(E672="USD",CONFIG!$B$5,1)</f>
        <v>1</v>
      </c>
      <c r="R672" t="str">
        <f t="shared" si="50"/>
        <v>✗ ERROR: Revisa datos</v>
      </c>
      <c r="S672" t="str">
        <f t="shared" ca="1" si="51"/>
        <v/>
      </c>
      <c r="T672" t="str">
        <f>IF(E672="USD",F672,IF(E672="CRC",F672/CONFIG!$B$5,""))</f>
        <v/>
      </c>
      <c r="U672" t="str">
        <f t="shared" si="52"/>
        <v/>
      </c>
      <c r="V672" t="str">
        <f t="shared" ca="1" si="53"/>
        <v/>
      </c>
      <c r="W672" t="str">
        <f t="shared" ca="1" si="54"/>
        <v/>
      </c>
    </row>
    <row r="673" spans="17:23" x14ac:dyDescent="0.25">
      <c r="Q673">
        <f>IF(E673="USD",CONFIG!$B$5,1)</f>
        <v>1</v>
      </c>
      <c r="R673" t="str">
        <f t="shared" si="50"/>
        <v>✗ ERROR: Revisa datos</v>
      </c>
      <c r="S673" t="str">
        <f t="shared" ca="1" si="51"/>
        <v/>
      </c>
      <c r="T673" t="str">
        <f>IF(E673="USD",F673,IF(E673="CRC",F673/CONFIG!$B$5,""))</f>
        <v/>
      </c>
      <c r="U673" t="str">
        <f t="shared" si="52"/>
        <v/>
      </c>
      <c r="V673" t="str">
        <f t="shared" ca="1" si="53"/>
        <v/>
      </c>
      <c r="W673" t="str">
        <f t="shared" ca="1" si="54"/>
        <v/>
      </c>
    </row>
    <row r="674" spans="17:23" x14ac:dyDescent="0.25">
      <c r="Q674">
        <f>IF(E674="USD",CONFIG!$B$5,1)</f>
        <v>1</v>
      </c>
      <c r="R674" t="str">
        <f t="shared" si="50"/>
        <v>✗ ERROR: Revisa datos</v>
      </c>
      <c r="S674" t="str">
        <f t="shared" ca="1" si="51"/>
        <v/>
      </c>
      <c r="T674" t="str">
        <f>IF(E674="USD",F674,IF(E674="CRC",F674/CONFIG!$B$5,""))</f>
        <v/>
      </c>
      <c r="U674" t="str">
        <f t="shared" si="52"/>
        <v/>
      </c>
      <c r="V674" t="str">
        <f t="shared" ca="1" si="53"/>
        <v/>
      </c>
      <c r="W674" t="str">
        <f t="shared" ca="1" si="54"/>
        <v/>
      </c>
    </row>
    <row r="675" spans="17:23" x14ac:dyDescent="0.25">
      <c r="Q675">
        <f>IF(E675="USD",CONFIG!$B$5,1)</f>
        <v>1</v>
      </c>
      <c r="R675" t="str">
        <f t="shared" si="50"/>
        <v>✗ ERROR: Revisa datos</v>
      </c>
      <c r="S675" t="str">
        <f t="shared" ca="1" si="51"/>
        <v/>
      </c>
      <c r="T675" t="str">
        <f>IF(E675="USD",F675,IF(E675="CRC",F675/CONFIG!$B$5,""))</f>
        <v/>
      </c>
      <c r="U675" t="str">
        <f t="shared" si="52"/>
        <v/>
      </c>
      <c r="V675" t="str">
        <f t="shared" ca="1" si="53"/>
        <v/>
      </c>
      <c r="W675" t="str">
        <f t="shared" ca="1" si="54"/>
        <v/>
      </c>
    </row>
    <row r="676" spans="17:23" x14ac:dyDescent="0.25">
      <c r="Q676">
        <f>IF(E676="USD",CONFIG!$B$5,1)</f>
        <v>1</v>
      </c>
      <c r="R676" t="str">
        <f t="shared" si="50"/>
        <v>✗ ERROR: Revisa datos</v>
      </c>
      <c r="S676" t="str">
        <f t="shared" ca="1" si="51"/>
        <v/>
      </c>
      <c r="T676" t="str">
        <f>IF(E676="USD",F676,IF(E676="CRC",F676/CONFIG!$B$5,""))</f>
        <v/>
      </c>
      <c r="U676" t="str">
        <f t="shared" si="52"/>
        <v/>
      </c>
      <c r="V676" t="str">
        <f t="shared" ca="1" si="53"/>
        <v/>
      </c>
      <c r="W676" t="str">
        <f t="shared" ca="1" si="54"/>
        <v/>
      </c>
    </row>
    <row r="677" spans="17:23" x14ac:dyDescent="0.25">
      <c r="Q677">
        <f>IF(E677="USD",CONFIG!$B$5,1)</f>
        <v>1</v>
      </c>
      <c r="R677" t="str">
        <f t="shared" si="50"/>
        <v>✗ ERROR: Revisa datos</v>
      </c>
      <c r="S677" t="str">
        <f t="shared" ca="1" si="51"/>
        <v/>
      </c>
      <c r="T677" t="str">
        <f>IF(E677="USD",F677,IF(E677="CRC",F677/CONFIG!$B$5,""))</f>
        <v/>
      </c>
      <c r="U677" t="str">
        <f t="shared" si="52"/>
        <v/>
      </c>
      <c r="V677" t="str">
        <f t="shared" ca="1" si="53"/>
        <v/>
      </c>
      <c r="W677" t="str">
        <f t="shared" ca="1" si="54"/>
        <v/>
      </c>
    </row>
    <row r="678" spans="17:23" x14ac:dyDescent="0.25">
      <c r="Q678">
        <f>IF(E678="USD",CONFIG!$B$5,1)</f>
        <v>1</v>
      </c>
      <c r="R678" t="str">
        <f t="shared" si="50"/>
        <v>✗ ERROR: Revisa datos</v>
      </c>
      <c r="S678" t="str">
        <f t="shared" ca="1" si="51"/>
        <v/>
      </c>
      <c r="T678" t="str">
        <f>IF(E678="USD",F678,IF(E678="CRC",F678/CONFIG!$B$5,""))</f>
        <v/>
      </c>
      <c r="U678" t="str">
        <f t="shared" si="52"/>
        <v/>
      </c>
      <c r="V678" t="str">
        <f t="shared" ca="1" si="53"/>
        <v/>
      </c>
      <c r="W678" t="str">
        <f t="shared" ca="1" si="54"/>
        <v/>
      </c>
    </row>
    <row r="679" spans="17:23" x14ac:dyDescent="0.25">
      <c r="Q679">
        <f>IF(E679="USD",CONFIG!$B$5,1)</f>
        <v>1</v>
      </c>
      <c r="R679" t="str">
        <f t="shared" si="50"/>
        <v>✗ ERROR: Revisa datos</v>
      </c>
      <c r="S679" t="str">
        <f t="shared" ca="1" si="51"/>
        <v/>
      </c>
      <c r="T679" t="str">
        <f>IF(E679="USD",F679,IF(E679="CRC",F679/CONFIG!$B$5,""))</f>
        <v/>
      </c>
      <c r="U679" t="str">
        <f t="shared" si="52"/>
        <v/>
      </c>
      <c r="V679" t="str">
        <f t="shared" ca="1" si="53"/>
        <v/>
      </c>
      <c r="W679" t="str">
        <f t="shared" ca="1" si="54"/>
        <v/>
      </c>
    </row>
    <row r="680" spans="17:23" x14ac:dyDescent="0.25">
      <c r="Q680">
        <f>IF(E680="USD",CONFIG!$B$5,1)</f>
        <v>1</v>
      </c>
      <c r="R680" t="str">
        <f t="shared" si="50"/>
        <v>✗ ERROR: Revisa datos</v>
      </c>
      <c r="S680" t="str">
        <f t="shared" ca="1" si="51"/>
        <v/>
      </c>
      <c r="T680" t="str">
        <f>IF(E680="USD",F680,IF(E680="CRC",F680/CONFIG!$B$5,""))</f>
        <v/>
      </c>
      <c r="U680" t="str">
        <f t="shared" si="52"/>
        <v/>
      </c>
      <c r="V680" t="str">
        <f t="shared" ca="1" si="53"/>
        <v/>
      </c>
      <c r="W680" t="str">
        <f t="shared" ca="1" si="54"/>
        <v/>
      </c>
    </row>
    <row r="681" spans="17:23" x14ac:dyDescent="0.25">
      <c r="Q681">
        <f>IF(E681="USD",CONFIG!$B$5,1)</f>
        <v>1</v>
      </c>
      <c r="R681" t="str">
        <f t="shared" si="50"/>
        <v>✗ ERROR: Revisa datos</v>
      </c>
      <c r="S681" t="str">
        <f t="shared" ca="1" si="51"/>
        <v/>
      </c>
      <c r="T681" t="str">
        <f>IF(E681="USD",F681,IF(E681="CRC",F681/CONFIG!$B$5,""))</f>
        <v/>
      </c>
      <c r="U681" t="str">
        <f t="shared" si="52"/>
        <v/>
      </c>
      <c r="V681" t="str">
        <f t="shared" ca="1" si="53"/>
        <v/>
      </c>
      <c r="W681" t="str">
        <f t="shared" ca="1" si="54"/>
        <v/>
      </c>
    </row>
    <row r="682" spans="17:23" x14ac:dyDescent="0.25">
      <c r="Q682">
        <f>IF(E682="USD",CONFIG!$B$5,1)</f>
        <v>1</v>
      </c>
      <c r="R682" t="str">
        <f t="shared" si="50"/>
        <v>✗ ERROR: Revisa datos</v>
      </c>
      <c r="S682" t="str">
        <f t="shared" ca="1" si="51"/>
        <v/>
      </c>
      <c r="T682" t="str">
        <f>IF(E682="USD",F682,IF(E682="CRC",F682/CONFIG!$B$5,""))</f>
        <v/>
      </c>
      <c r="U682" t="str">
        <f t="shared" si="52"/>
        <v/>
      </c>
      <c r="V682" t="str">
        <f t="shared" ca="1" si="53"/>
        <v/>
      </c>
      <c r="W682" t="str">
        <f t="shared" ca="1" si="54"/>
        <v/>
      </c>
    </row>
    <row r="683" spans="17:23" x14ac:dyDescent="0.25">
      <c r="Q683">
        <f>IF(E683="USD",CONFIG!$B$5,1)</f>
        <v>1</v>
      </c>
      <c r="R683" t="str">
        <f t="shared" si="50"/>
        <v>✗ ERROR: Revisa datos</v>
      </c>
      <c r="S683" t="str">
        <f t="shared" ca="1" si="51"/>
        <v/>
      </c>
      <c r="T683" t="str">
        <f>IF(E683="USD",F683,IF(E683="CRC",F683/CONFIG!$B$5,""))</f>
        <v/>
      </c>
      <c r="U683" t="str">
        <f t="shared" si="52"/>
        <v/>
      </c>
      <c r="V683" t="str">
        <f t="shared" ca="1" si="53"/>
        <v/>
      </c>
      <c r="W683" t="str">
        <f t="shared" ca="1" si="54"/>
        <v/>
      </c>
    </row>
    <row r="684" spans="17:23" x14ac:dyDescent="0.25">
      <c r="Q684">
        <f>IF(E684="USD",CONFIG!$B$5,1)</f>
        <v>1</v>
      </c>
      <c r="R684" t="str">
        <f t="shared" si="50"/>
        <v>✗ ERROR: Revisa datos</v>
      </c>
      <c r="S684" t="str">
        <f t="shared" ca="1" si="51"/>
        <v/>
      </c>
      <c r="T684" t="str">
        <f>IF(E684="USD",F684,IF(E684="CRC",F684/CONFIG!$B$5,""))</f>
        <v/>
      </c>
      <c r="U684" t="str">
        <f t="shared" si="52"/>
        <v/>
      </c>
      <c r="V684" t="str">
        <f t="shared" ca="1" si="53"/>
        <v/>
      </c>
      <c r="W684" t="str">
        <f t="shared" ca="1" si="54"/>
        <v/>
      </c>
    </row>
    <row r="685" spans="17:23" x14ac:dyDescent="0.25">
      <c r="Q685">
        <f>IF(E685="USD",CONFIG!$B$5,1)</f>
        <v>1</v>
      </c>
      <c r="R685" t="str">
        <f t="shared" si="50"/>
        <v>✗ ERROR: Revisa datos</v>
      </c>
      <c r="S685" t="str">
        <f t="shared" ca="1" si="51"/>
        <v/>
      </c>
      <c r="T685" t="str">
        <f>IF(E685="USD",F685,IF(E685="CRC",F685/CONFIG!$B$5,""))</f>
        <v/>
      </c>
      <c r="U685" t="str">
        <f t="shared" si="52"/>
        <v/>
      </c>
      <c r="V685" t="str">
        <f t="shared" ca="1" si="53"/>
        <v/>
      </c>
      <c r="W685" t="str">
        <f t="shared" ca="1" si="54"/>
        <v/>
      </c>
    </row>
    <row r="686" spans="17:23" x14ac:dyDescent="0.25">
      <c r="Q686">
        <f>IF(E686="USD",CONFIG!$B$5,1)</f>
        <v>1</v>
      </c>
      <c r="R686" t="str">
        <f t="shared" si="50"/>
        <v>✗ ERROR: Revisa datos</v>
      </c>
      <c r="S686" t="str">
        <f t="shared" ca="1" si="51"/>
        <v/>
      </c>
      <c r="T686" t="str">
        <f>IF(E686="USD",F686,IF(E686="CRC",F686/CONFIG!$B$5,""))</f>
        <v/>
      </c>
      <c r="U686" t="str">
        <f t="shared" si="52"/>
        <v/>
      </c>
      <c r="V686" t="str">
        <f t="shared" ca="1" si="53"/>
        <v/>
      </c>
      <c r="W686" t="str">
        <f t="shared" ca="1" si="54"/>
        <v/>
      </c>
    </row>
    <row r="687" spans="17:23" x14ac:dyDescent="0.25">
      <c r="Q687">
        <f>IF(E687="USD",CONFIG!$B$5,1)</f>
        <v>1</v>
      </c>
      <c r="R687" t="str">
        <f t="shared" si="50"/>
        <v>✗ ERROR: Revisa datos</v>
      </c>
      <c r="S687" t="str">
        <f t="shared" ca="1" si="51"/>
        <v/>
      </c>
      <c r="T687" t="str">
        <f>IF(E687="USD",F687,IF(E687="CRC",F687/CONFIG!$B$5,""))</f>
        <v/>
      </c>
      <c r="U687" t="str">
        <f t="shared" si="52"/>
        <v/>
      </c>
      <c r="V687" t="str">
        <f t="shared" ca="1" si="53"/>
        <v/>
      </c>
      <c r="W687" t="str">
        <f t="shared" ca="1" si="54"/>
        <v/>
      </c>
    </row>
    <row r="688" spans="17:23" x14ac:dyDescent="0.25">
      <c r="Q688">
        <f>IF(E688="USD",CONFIG!$B$5,1)</f>
        <v>1</v>
      </c>
      <c r="R688" t="str">
        <f t="shared" si="50"/>
        <v>✗ ERROR: Revisa datos</v>
      </c>
      <c r="S688" t="str">
        <f t="shared" ca="1" si="51"/>
        <v/>
      </c>
      <c r="T688" t="str">
        <f>IF(E688="USD",F688,IF(E688="CRC",F688/CONFIG!$B$5,""))</f>
        <v/>
      </c>
      <c r="U688" t="str">
        <f t="shared" si="52"/>
        <v/>
      </c>
      <c r="V688" t="str">
        <f t="shared" ca="1" si="53"/>
        <v/>
      </c>
      <c r="W688" t="str">
        <f t="shared" ca="1" si="54"/>
        <v/>
      </c>
    </row>
    <row r="689" spans="17:23" x14ac:dyDescent="0.25">
      <c r="Q689">
        <f>IF(E689="USD",CONFIG!$B$5,1)</f>
        <v>1</v>
      </c>
      <c r="R689" t="str">
        <f t="shared" si="50"/>
        <v>✗ ERROR: Revisa datos</v>
      </c>
      <c r="S689" t="str">
        <f t="shared" ca="1" si="51"/>
        <v/>
      </c>
      <c r="T689" t="str">
        <f>IF(E689="USD",F689,IF(E689="CRC",F689/CONFIG!$B$5,""))</f>
        <v/>
      </c>
      <c r="U689" t="str">
        <f t="shared" si="52"/>
        <v/>
      </c>
      <c r="V689" t="str">
        <f t="shared" ca="1" si="53"/>
        <v/>
      </c>
      <c r="W689" t="str">
        <f t="shared" ca="1" si="54"/>
        <v/>
      </c>
    </row>
    <row r="690" spans="17:23" x14ac:dyDescent="0.25">
      <c r="Q690">
        <f>IF(E690="USD",CONFIG!$B$5,1)</f>
        <v>1</v>
      </c>
      <c r="R690" t="str">
        <f t="shared" si="50"/>
        <v>✗ ERROR: Revisa datos</v>
      </c>
      <c r="S690" t="str">
        <f t="shared" ca="1" si="51"/>
        <v/>
      </c>
      <c r="T690" t="str">
        <f>IF(E690="USD",F690,IF(E690="CRC",F690/CONFIG!$B$5,""))</f>
        <v/>
      </c>
      <c r="U690" t="str">
        <f t="shared" si="52"/>
        <v/>
      </c>
      <c r="V690" t="str">
        <f t="shared" ca="1" si="53"/>
        <v/>
      </c>
      <c r="W690" t="str">
        <f t="shared" ca="1" si="54"/>
        <v/>
      </c>
    </row>
    <row r="691" spans="17:23" x14ac:dyDescent="0.25">
      <c r="Q691">
        <f>IF(E691="USD",CONFIG!$B$5,1)</f>
        <v>1</v>
      </c>
      <c r="R691" t="str">
        <f t="shared" si="50"/>
        <v>✗ ERROR: Revisa datos</v>
      </c>
      <c r="S691" t="str">
        <f t="shared" ca="1" si="51"/>
        <v/>
      </c>
      <c r="T691" t="str">
        <f>IF(E691="USD",F691,IF(E691="CRC",F691/CONFIG!$B$5,""))</f>
        <v/>
      </c>
      <c r="U691" t="str">
        <f t="shared" si="52"/>
        <v/>
      </c>
      <c r="V691" t="str">
        <f t="shared" ca="1" si="53"/>
        <v/>
      </c>
      <c r="W691" t="str">
        <f t="shared" ca="1" si="54"/>
        <v/>
      </c>
    </row>
    <row r="692" spans="17:23" x14ac:dyDescent="0.25">
      <c r="Q692">
        <f>IF(E692="USD",CONFIG!$B$5,1)</f>
        <v>1</v>
      </c>
      <c r="R692" t="str">
        <f t="shared" si="50"/>
        <v>✗ ERROR: Revisa datos</v>
      </c>
      <c r="S692" t="str">
        <f t="shared" ca="1" si="51"/>
        <v/>
      </c>
      <c r="T692" t="str">
        <f>IF(E692="USD",F692,IF(E692="CRC",F692/CONFIG!$B$5,""))</f>
        <v/>
      </c>
      <c r="U692" t="str">
        <f t="shared" si="52"/>
        <v/>
      </c>
      <c r="V692" t="str">
        <f t="shared" ca="1" si="53"/>
        <v/>
      </c>
      <c r="W692" t="str">
        <f t="shared" ca="1" si="54"/>
        <v/>
      </c>
    </row>
    <row r="693" spans="17:23" x14ac:dyDescent="0.25">
      <c r="Q693">
        <f>IF(E693="USD",CONFIG!$B$5,1)</f>
        <v>1</v>
      </c>
      <c r="R693" t="str">
        <f t="shared" si="50"/>
        <v>✗ ERROR: Revisa datos</v>
      </c>
      <c r="S693" t="str">
        <f t="shared" ca="1" si="51"/>
        <v/>
      </c>
      <c r="T693" t="str">
        <f>IF(E693="USD",F693,IF(E693="CRC",F693/CONFIG!$B$5,""))</f>
        <v/>
      </c>
      <c r="U693" t="str">
        <f t="shared" si="52"/>
        <v/>
      </c>
      <c r="V693" t="str">
        <f t="shared" ca="1" si="53"/>
        <v/>
      </c>
      <c r="W693" t="str">
        <f t="shared" ca="1" si="54"/>
        <v/>
      </c>
    </row>
    <row r="694" spans="17:23" x14ac:dyDescent="0.25">
      <c r="Q694">
        <f>IF(E694="USD",CONFIG!$B$5,1)</f>
        <v>1</v>
      </c>
      <c r="R694" t="str">
        <f t="shared" si="50"/>
        <v>✗ ERROR: Revisa datos</v>
      </c>
      <c r="S694" t="str">
        <f t="shared" ca="1" si="51"/>
        <v/>
      </c>
      <c r="T694" t="str">
        <f>IF(E694="USD",F694,IF(E694="CRC",F694/CONFIG!$B$5,""))</f>
        <v/>
      </c>
      <c r="U694" t="str">
        <f t="shared" si="52"/>
        <v/>
      </c>
      <c r="V694" t="str">
        <f t="shared" ca="1" si="53"/>
        <v/>
      </c>
      <c r="W694" t="str">
        <f t="shared" ca="1" si="54"/>
        <v/>
      </c>
    </row>
    <row r="695" spans="17:23" x14ac:dyDescent="0.25">
      <c r="Q695">
        <f>IF(E695="USD",CONFIG!$B$5,1)</f>
        <v>1</v>
      </c>
      <c r="R695" t="str">
        <f t="shared" si="50"/>
        <v>✗ ERROR: Revisa datos</v>
      </c>
      <c r="S695" t="str">
        <f t="shared" ca="1" si="51"/>
        <v/>
      </c>
      <c r="T695" t="str">
        <f>IF(E695="USD",F695,IF(E695="CRC",F695/CONFIG!$B$5,""))</f>
        <v/>
      </c>
      <c r="U695" t="str">
        <f t="shared" si="52"/>
        <v/>
      </c>
      <c r="V695" t="str">
        <f t="shared" ca="1" si="53"/>
        <v/>
      </c>
      <c r="W695" t="str">
        <f t="shared" ca="1" si="54"/>
        <v/>
      </c>
    </row>
    <row r="696" spans="17:23" x14ac:dyDescent="0.25">
      <c r="Q696">
        <f>IF(E696="USD",CONFIG!$B$5,1)</f>
        <v>1</v>
      </c>
      <c r="R696" t="str">
        <f t="shared" si="50"/>
        <v>✗ ERROR: Revisa datos</v>
      </c>
      <c r="S696" t="str">
        <f t="shared" ca="1" si="51"/>
        <v/>
      </c>
      <c r="T696" t="str">
        <f>IF(E696="USD",F696,IF(E696="CRC",F696/CONFIG!$B$5,""))</f>
        <v/>
      </c>
      <c r="U696" t="str">
        <f t="shared" si="52"/>
        <v/>
      </c>
      <c r="V696" t="str">
        <f t="shared" ca="1" si="53"/>
        <v/>
      </c>
      <c r="W696" t="str">
        <f t="shared" ca="1" si="54"/>
        <v/>
      </c>
    </row>
    <row r="697" spans="17:23" x14ac:dyDescent="0.25">
      <c r="Q697">
        <f>IF(E697="USD",CONFIG!$B$5,1)</f>
        <v>1</v>
      </c>
      <c r="R697" t="str">
        <f t="shared" si="50"/>
        <v>✗ ERROR: Revisa datos</v>
      </c>
      <c r="S697" t="str">
        <f t="shared" ca="1" si="51"/>
        <v/>
      </c>
      <c r="T697" t="str">
        <f>IF(E697="USD",F697,IF(E697="CRC",F697/CONFIG!$B$5,""))</f>
        <v/>
      </c>
      <c r="U697" t="str">
        <f t="shared" si="52"/>
        <v/>
      </c>
      <c r="V697" t="str">
        <f t="shared" ca="1" si="53"/>
        <v/>
      </c>
      <c r="W697" t="str">
        <f t="shared" ca="1" si="54"/>
        <v/>
      </c>
    </row>
    <row r="698" spans="17:23" x14ac:dyDescent="0.25">
      <c r="Q698">
        <f>IF(E698="USD",CONFIG!$B$5,1)</f>
        <v>1</v>
      </c>
      <c r="R698" t="str">
        <f t="shared" si="50"/>
        <v>✗ ERROR: Revisa datos</v>
      </c>
      <c r="S698" t="str">
        <f t="shared" ca="1" si="51"/>
        <v/>
      </c>
      <c r="T698" t="str">
        <f>IF(E698="USD",F698,IF(E698="CRC",F698/CONFIG!$B$5,""))</f>
        <v/>
      </c>
      <c r="U698" t="str">
        <f t="shared" si="52"/>
        <v/>
      </c>
      <c r="V698" t="str">
        <f t="shared" ca="1" si="53"/>
        <v/>
      </c>
      <c r="W698" t="str">
        <f t="shared" ca="1" si="54"/>
        <v/>
      </c>
    </row>
    <row r="699" spans="17:23" x14ac:dyDescent="0.25">
      <c r="Q699">
        <f>IF(E699="USD",CONFIG!$B$5,1)</f>
        <v>1</v>
      </c>
      <c r="R699" t="str">
        <f t="shared" si="50"/>
        <v>✗ ERROR: Revisa datos</v>
      </c>
      <c r="S699" t="str">
        <f t="shared" ca="1" si="51"/>
        <v/>
      </c>
      <c r="T699" t="str">
        <f>IF(E699="USD",F699,IF(E699="CRC",F699/CONFIG!$B$5,""))</f>
        <v/>
      </c>
      <c r="U699" t="str">
        <f t="shared" si="52"/>
        <v/>
      </c>
      <c r="V699" t="str">
        <f t="shared" ca="1" si="53"/>
        <v/>
      </c>
      <c r="W699" t="str">
        <f t="shared" ca="1" si="54"/>
        <v/>
      </c>
    </row>
    <row r="700" spans="17:23" x14ac:dyDescent="0.25">
      <c r="Q700">
        <f>IF(E700="USD",CONFIG!$B$5,1)</f>
        <v>1</v>
      </c>
      <c r="R700" t="str">
        <f t="shared" si="50"/>
        <v>✗ ERROR: Revisa datos</v>
      </c>
      <c r="S700" t="str">
        <f t="shared" ca="1" si="51"/>
        <v/>
      </c>
      <c r="T700" t="str">
        <f>IF(E700="USD",F700,IF(E700="CRC",F700/CONFIG!$B$5,""))</f>
        <v/>
      </c>
      <c r="U700" t="str">
        <f t="shared" si="52"/>
        <v/>
      </c>
      <c r="V700" t="str">
        <f t="shared" ca="1" si="53"/>
        <v/>
      </c>
      <c r="W700" t="str">
        <f t="shared" ca="1" si="54"/>
        <v/>
      </c>
    </row>
    <row r="701" spans="17:23" x14ac:dyDescent="0.25">
      <c r="Q701">
        <f>IF(E701="USD",CONFIG!$B$5,1)</f>
        <v>1</v>
      </c>
      <c r="R701" t="str">
        <f t="shared" si="50"/>
        <v>✗ ERROR: Revisa datos</v>
      </c>
      <c r="S701" t="str">
        <f t="shared" ca="1" si="51"/>
        <v/>
      </c>
      <c r="T701" t="str">
        <f>IF(E701="USD",F701,IF(E701="CRC",F701/CONFIG!$B$5,""))</f>
        <v/>
      </c>
      <c r="U701" t="str">
        <f t="shared" si="52"/>
        <v/>
      </c>
      <c r="V701" t="str">
        <f t="shared" ca="1" si="53"/>
        <v/>
      </c>
      <c r="W701" t="str">
        <f t="shared" ca="1" si="54"/>
        <v/>
      </c>
    </row>
    <row r="702" spans="17:23" x14ac:dyDescent="0.25">
      <c r="Q702">
        <f>IF(E702="USD",CONFIG!$B$5,1)</f>
        <v>1</v>
      </c>
      <c r="R702" t="str">
        <f t="shared" si="50"/>
        <v>✗ ERROR: Revisa datos</v>
      </c>
      <c r="S702" t="str">
        <f t="shared" ca="1" si="51"/>
        <v/>
      </c>
      <c r="T702" t="str">
        <f>IF(E702="USD",F702,IF(E702="CRC",F702/CONFIG!$B$5,""))</f>
        <v/>
      </c>
      <c r="U702" t="str">
        <f t="shared" si="52"/>
        <v/>
      </c>
      <c r="V702" t="str">
        <f t="shared" ca="1" si="53"/>
        <v/>
      </c>
      <c r="W702" t="str">
        <f t="shared" ca="1" si="54"/>
        <v/>
      </c>
    </row>
    <row r="703" spans="17:23" x14ac:dyDescent="0.25">
      <c r="Q703">
        <f>IF(E703="USD",CONFIG!$B$5,1)</f>
        <v>1</v>
      </c>
      <c r="R703" t="str">
        <f t="shared" si="50"/>
        <v>✗ ERROR: Revisa datos</v>
      </c>
      <c r="S703" t="str">
        <f t="shared" ca="1" si="51"/>
        <v/>
      </c>
      <c r="T703" t="str">
        <f>IF(E703="USD",F703,IF(E703="CRC",F703/CONFIG!$B$5,""))</f>
        <v/>
      </c>
      <c r="U703" t="str">
        <f t="shared" si="52"/>
        <v/>
      </c>
      <c r="V703" t="str">
        <f t="shared" ca="1" si="53"/>
        <v/>
      </c>
      <c r="W703" t="str">
        <f t="shared" ca="1" si="54"/>
        <v/>
      </c>
    </row>
    <row r="704" spans="17:23" x14ac:dyDescent="0.25">
      <c r="Q704">
        <f>IF(E704="USD",CONFIG!$B$5,1)</f>
        <v>1</v>
      </c>
      <c r="R704" t="str">
        <f t="shared" si="50"/>
        <v>✗ ERROR: Revisa datos</v>
      </c>
      <c r="S704" t="str">
        <f t="shared" ca="1" si="51"/>
        <v/>
      </c>
      <c r="T704" t="str">
        <f>IF(E704="USD",F704,IF(E704="CRC",F704/CONFIG!$B$5,""))</f>
        <v/>
      </c>
      <c r="U704" t="str">
        <f t="shared" si="52"/>
        <v/>
      </c>
      <c r="V704" t="str">
        <f t="shared" ca="1" si="53"/>
        <v/>
      </c>
      <c r="W704" t="str">
        <f t="shared" ca="1" si="54"/>
        <v/>
      </c>
    </row>
    <row r="705" spans="17:23" x14ac:dyDescent="0.25">
      <c r="Q705">
        <f>IF(E705="USD",CONFIG!$B$5,1)</f>
        <v>1</v>
      </c>
      <c r="R705" t="str">
        <f t="shared" si="50"/>
        <v>✗ ERROR: Revisa datos</v>
      </c>
      <c r="S705" t="str">
        <f t="shared" ca="1" si="51"/>
        <v/>
      </c>
      <c r="T705" t="str">
        <f>IF(E705="USD",F705,IF(E705="CRC",F705/CONFIG!$B$5,""))</f>
        <v/>
      </c>
      <c r="U705" t="str">
        <f t="shared" si="52"/>
        <v/>
      </c>
      <c r="V705" t="str">
        <f t="shared" ca="1" si="53"/>
        <v/>
      </c>
      <c r="W705" t="str">
        <f t="shared" ca="1" si="54"/>
        <v/>
      </c>
    </row>
    <row r="706" spans="17:23" x14ac:dyDescent="0.25">
      <c r="Q706">
        <f>IF(E706="USD",CONFIG!$B$5,1)</f>
        <v>1</v>
      </c>
      <c r="R706" t="str">
        <f t="shared" si="50"/>
        <v>✗ ERROR: Revisa datos</v>
      </c>
      <c r="S706" t="str">
        <f t="shared" ca="1" si="51"/>
        <v/>
      </c>
      <c r="T706" t="str">
        <f>IF(E706="USD",F706,IF(E706="CRC",F706/CONFIG!$B$5,""))</f>
        <v/>
      </c>
      <c r="U706" t="str">
        <f t="shared" si="52"/>
        <v/>
      </c>
      <c r="V706" t="str">
        <f t="shared" ca="1" si="53"/>
        <v/>
      </c>
      <c r="W706" t="str">
        <f t="shared" ca="1" si="54"/>
        <v/>
      </c>
    </row>
    <row r="707" spans="17:23" x14ac:dyDescent="0.25">
      <c r="Q707">
        <f>IF(E707="USD",CONFIG!$B$5,1)</f>
        <v>1</v>
      </c>
      <c r="R707" t="str">
        <f t="shared" ref="R707:R770" si="55">IF(AND(A707&lt;&gt;"",ISNUMBER(A707),B707&lt;&gt;"",C707&lt;&gt;"",OR(E707="USD",E707="CRC"),F707&gt;0,ISNUMBER(Q707),Q707&gt;0),"✓ OK","✗ ERROR: Revisa datos")</f>
        <v>✗ ERROR: Revisa datos</v>
      </c>
      <c r="S707" t="str">
        <f t="shared" ca="1" si="51"/>
        <v/>
      </c>
      <c r="T707" t="str">
        <f>IF(E707="USD",F707,IF(E707="CRC",F707/CONFIG!$B$5,""))</f>
        <v/>
      </c>
      <c r="U707" t="str">
        <f t="shared" si="52"/>
        <v/>
      </c>
      <c r="V707" t="str">
        <f t="shared" ca="1" si="53"/>
        <v/>
      </c>
      <c r="W707" t="str">
        <f t="shared" ca="1" si="54"/>
        <v/>
      </c>
    </row>
    <row r="708" spans="17:23" x14ac:dyDescent="0.25">
      <c r="Q708">
        <f>IF(E708="USD",CONFIG!$B$5,1)</f>
        <v>1</v>
      </c>
      <c r="R708" t="str">
        <f t="shared" si="55"/>
        <v>✗ ERROR: Revisa datos</v>
      </c>
      <c r="S708" t="str">
        <f t="shared" ca="1" si="51"/>
        <v/>
      </c>
      <c r="T708" t="str">
        <f>IF(E708="USD",F708,IF(E708="CRC",F708/CONFIG!$B$5,""))</f>
        <v/>
      </c>
      <c r="U708" t="str">
        <f t="shared" si="52"/>
        <v/>
      </c>
      <c r="V708" t="str">
        <f t="shared" ca="1" si="53"/>
        <v/>
      </c>
      <c r="W708" t="str">
        <f t="shared" ca="1" si="54"/>
        <v/>
      </c>
    </row>
    <row r="709" spans="17:23" x14ac:dyDescent="0.25">
      <c r="Q709">
        <f>IF(E709="USD",CONFIG!$B$5,1)</f>
        <v>1</v>
      </c>
      <c r="R709" t="str">
        <f t="shared" si="55"/>
        <v>✗ ERROR: Revisa datos</v>
      </c>
      <c r="S709" t="str">
        <f t="shared" ca="1" si="51"/>
        <v/>
      </c>
      <c r="T709" t="str">
        <f>IF(E709="USD",F709,IF(E709="CRC",F709/CONFIG!$B$5,""))</f>
        <v/>
      </c>
      <c r="U709" t="str">
        <f t="shared" si="52"/>
        <v/>
      </c>
      <c r="V709" t="str">
        <f t="shared" ca="1" si="53"/>
        <v/>
      </c>
      <c r="W709" t="str">
        <f t="shared" ca="1" si="54"/>
        <v/>
      </c>
    </row>
    <row r="710" spans="17:23" x14ac:dyDescent="0.25">
      <c r="Q710">
        <f>IF(E710="USD",CONFIG!$B$5,1)</f>
        <v>1</v>
      </c>
      <c r="R710" t="str">
        <f t="shared" si="55"/>
        <v>✗ ERROR: Revisa datos</v>
      </c>
      <c r="S710" t="str">
        <f t="shared" ca="1" si="51"/>
        <v/>
      </c>
      <c r="T710" t="str">
        <f>IF(E710="USD",F710,IF(E710="CRC",F710/CONFIG!$B$5,""))</f>
        <v/>
      </c>
      <c r="U710" t="str">
        <f t="shared" si="52"/>
        <v/>
      </c>
      <c r="V710" t="str">
        <f t="shared" ca="1" si="53"/>
        <v/>
      </c>
      <c r="W710" t="str">
        <f t="shared" ca="1" si="54"/>
        <v/>
      </c>
    </row>
    <row r="711" spans="17:23" x14ac:dyDescent="0.25">
      <c r="Q711">
        <f>IF(E711="USD",CONFIG!$B$5,1)</f>
        <v>1</v>
      </c>
      <c r="R711" t="str">
        <f t="shared" si="55"/>
        <v>✗ ERROR: Revisa datos</v>
      </c>
      <c r="S711" t="str">
        <f t="shared" ref="S711:S774" ca="1" si="56">IF(A711&lt;&gt;"",TODAY()-A711,"")</f>
        <v/>
      </c>
      <c r="T711" t="str">
        <f>IF(E711="USD",F711,IF(E711="CRC",F711/CONFIG!$B$5,""))</f>
        <v/>
      </c>
      <c r="U711" t="str">
        <f t="shared" ref="U711:U774" si="57">IF(A711&lt;&gt;"",A711+30,"")</f>
        <v/>
      </c>
      <c r="V711" t="str">
        <f t="shared" ref="V711:V774" ca="1" si="58">IF(AND(C711="CxP",S711&gt;60),"Alta",IF(AND(C711="CxP",S711&gt;30),"Media",IF(C711="CxP","Baja","")))</f>
        <v/>
      </c>
      <c r="W711" t="str">
        <f t="shared" ref="W711:W774" ca="1" si="59">IF(AND(C711="CxC",S711&gt;90),"Alta",IF(AND(C711="CxC",S711&gt;60),"Media",IF(C711="CxC","Baja","")))</f>
        <v/>
      </c>
    </row>
    <row r="712" spans="17:23" x14ac:dyDescent="0.25">
      <c r="Q712">
        <f>IF(E712="USD",CONFIG!$B$5,1)</f>
        <v>1</v>
      </c>
      <c r="R712" t="str">
        <f t="shared" si="55"/>
        <v>✗ ERROR: Revisa datos</v>
      </c>
      <c r="S712" t="str">
        <f t="shared" ca="1" si="56"/>
        <v/>
      </c>
      <c r="T712" t="str">
        <f>IF(E712="USD",F712,IF(E712="CRC",F712/CONFIG!$B$5,""))</f>
        <v/>
      </c>
      <c r="U712" t="str">
        <f t="shared" si="57"/>
        <v/>
      </c>
      <c r="V712" t="str">
        <f t="shared" ca="1" si="58"/>
        <v/>
      </c>
      <c r="W712" t="str">
        <f t="shared" ca="1" si="59"/>
        <v/>
      </c>
    </row>
    <row r="713" spans="17:23" x14ac:dyDescent="0.25">
      <c r="Q713">
        <f>IF(E713="USD",CONFIG!$B$5,1)</f>
        <v>1</v>
      </c>
      <c r="R713" t="str">
        <f t="shared" si="55"/>
        <v>✗ ERROR: Revisa datos</v>
      </c>
      <c r="S713" t="str">
        <f t="shared" ca="1" si="56"/>
        <v/>
      </c>
      <c r="T713" t="str">
        <f>IF(E713="USD",F713,IF(E713="CRC",F713/CONFIG!$B$5,""))</f>
        <v/>
      </c>
      <c r="U713" t="str">
        <f t="shared" si="57"/>
        <v/>
      </c>
      <c r="V713" t="str">
        <f t="shared" ca="1" si="58"/>
        <v/>
      </c>
      <c r="W713" t="str">
        <f t="shared" ca="1" si="59"/>
        <v/>
      </c>
    </row>
    <row r="714" spans="17:23" x14ac:dyDescent="0.25">
      <c r="Q714">
        <f>IF(E714="USD",CONFIG!$B$5,1)</f>
        <v>1</v>
      </c>
      <c r="R714" t="str">
        <f t="shared" si="55"/>
        <v>✗ ERROR: Revisa datos</v>
      </c>
      <c r="S714" t="str">
        <f t="shared" ca="1" si="56"/>
        <v/>
      </c>
      <c r="T714" t="str">
        <f>IF(E714="USD",F714,IF(E714="CRC",F714/CONFIG!$B$5,""))</f>
        <v/>
      </c>
      <c r="U714" t="str">
        <f t="shared" si="57"/>
        <v/>
      </c>
      <c r="V714" t="str">
        <f t="shared" ca="1" si="58"/>
        <v/>
      </c>
      <c r="W714" t="str">
        <f t="shared" ca="1" si="59"/>
        <v/>
      </c>
    </row>
    <row r="715" spans="17:23" x14ac:dyDescent="0.25">
      <c r="Q715">
        <f>IF(E715="USD",CONFIG!$B$5,1)</f>
        <v>1</v>
      </c>
      <c r="R715" t="str">
        <f t="shared" si="55"/>
        <v>✗ ERROR: Revisa datos</v>
      </c>
      <c r="S715" t="str">
        <f t="shared" ca="1" si="56"/>
        <v/>
      </c>
      <c r="T715" t="str">
        <f>IF(E715="USD",F715,IF(E715="CRC",F715/CONFIG!$B$5,""))</f>
        <v/>
      </c>
      <c r="U715" t="str">
        <f t="shared" si="57"/>
        <v/>
      </c>
      <c r="V715" t="str">
        <f t="shared" ca="1" si="58"/>
        <v/>
      </c>
      <c r="W715" t="str">
        <f t="shared" ca="1" si="59"/>
        <v/>
      </c>
    </row>
    <row r="716" spans="17:23" x14ac:dyDescent="0.25">
      <c r="Q716">
        <f>IF(E716="USD",CONFIG!$B$5,1)</f>
        <v>1</v>
      </c>
      <c r="R716" t="str">
        <f t="shared" si="55"/>
        <v>✗ ERROR: Revisa datos</v>
      </c>
      <c r="S716" t="str">
        <f t="shared" ca="1" si="56"/>
        <v/>
      </c>
      <c r="T716" t="str">
        <f>IF(E716="USD",F716,IF(E716="CRC",F716/CONFIG!$B$5,""))</f>
        <v/>
      </c>
      <c r="U716" t="str">
        <f t="shared" si="57"/>
        <v/>
      </c>
      <c r="V716" t="str">
        <f t="shared" ca="1" si="58"/>
        <v/>
      </c>
      <c r="W716" t="str">
        <f t="shared" ca="1" si="59"/>
        <v/>
      </c>
    </row>
    <row r="717" spans="17:23" x14ac:dyDescent="0.25">
      <c r="Q717">
        <f>IF(E717="USD",CONFIG!$B$5,1)</f>
        <v>1</v>
      </c>
      <c r="R717" t="str">
        <f t="shared" si="55"/>
        <v>✗ ERROR: Revisa datos</v>
      </c>
      <c r="S717" t="str">
        <f t="shared" ca="1" si="56"/>
        <v/>
      </c>
      <c r="T717" t="str">
        <f>IF(E717="USD",F717,IF(E717="CRC",F717/CONFIG!$B$5,""))</f>
        <v/>
      </c>
      <c r="U717" t="str">
        <f t="shared" si="57"/>
        <v/>
      </c>
      <c r="V717" t="str">
        <f t="shared" ca="1" si="58"/>
        <v/>
      </c>
      <c r="W717" t="str">
        <f t="shared" ca="1" si="59"/>
        <v/>
      </c>
    </row>
    <row r="718" spans="17:23" x14ac:dyDescent="0.25">
      <c r="Q718">
        <f>IF(E718="USD",CONFIG!$B$5,1)</f>
        <v>1</v>
      </c>
      <c r="R718" t="str">
        <f t="shared" si="55"/>
        <v>✗ ERROR: Revisa datos</v>
      </c>
      <c r="S718" t="str">
        <f t="shared" ca="1" si="56"/>
        <v/>
      </c>
      <c r="T718" t="str">
        <f>IF(E718="USD",F718,IF(E718="CRC",F718/CONFIG!$B$5,""))</f>
        <v/>
      </c>
      <c r="U718" t="str">
        <f t="shared" si="57"/>
        <v/>
      </c>
      <c r="V718" t="str">
        <f t="shared" ca="1" si="58"/>
        <v/>
      </c>
      <c r="W718" t="str">
        <f t="shared" ca="1" si="59"/>
        <v/>
      </c>
    </row>
    <row r="719" spans="17:23" x14ac:dyDescent="0.25">
      <c r="Q719">
        <f>IF(E719="USD",CONFIG!$B$5,1)</f>
        <v>1</v>
      </c>
      <c r="R719" t="str">
        <f t="shared" si="55"/>
        <v>✗ ERROR: Revisa datos</v>
      </c>
      <c r="S719" t="str">
        <f t="shared" ca="1" si="56"/>
        <v/>
      </c>
      <c r="T719" t="str">
        <f>IF(E719="USD",F719,IF(E719="CRC",F719/CONFIG!$B$5,""))</f>
        <v/>
      </c>
      <c r="U719" t="str">
        <f t="shared" si="57"/>
        <v/>
      </c>
      <c r="V719" t="str">
        <f t="shared" ca="1" si="58"/>
        <v/>
      </c>
      <c r="W719" t="str">
        <f t="shared" ca="1" si="59"/>
        <v/>
      </c>
    </row>
    <row r="720" spans="17:23" x14ac:dyDescent="0.25">
      <c r="Q720">
        <f>IF(E720="USD",CONFIG!$B$5,1)</f>
        <v>1</v>
      </c>
      <c r="R720" t="str">
        <f t="shared" si="55"/>
        <v>✗ ERROR: Revisa datos</v>
      </c>
      <c r="S720" t="str">
        <f t="shared" ca="1" si="56"/>
        <v/>
      </c>
      <c r="T720" t="str">
        <f>IF(E720="USD",F720,IF(E720="CRC",F720/CONFIG!$B$5,""))</f>
        <v/>
      </c>
      <c r="U720" t="str">
        <f t="shared" si="57"/>
        <v/>
      </c>
      <c r="V720" t="str">
        <f t="shared" ca="1" si="58"/>
        <v/>
      </c>
      <c r="W720" t="str">
        <f t="shared" ca="1" si="59"/>
        <v/>
      </c>
    </row>
    <row r="721" spans="17:23" x14ac:dyDescent="0.25">
      <c r="Q721">
        <f>IF(E721="USD",CONFIG!$B$5,1)</f>
        <v>1</v>
      </c>
      <c r="R721" t="str">
        <f t="shared" si="55"/>
        <v>✗ ERROR: Revisa datos</v>
      </c>
      <c r="S721" t="str">
        <f t="shared" ca="1" si="56"/>
        <v/>
      </c>
      <c r="T721" t="str">
        <f>IF(E721="USD",F721,IF(E721="CRC",F721/CONFIG!$B$5,""))</f>
        <v/>
      </c>
      <c r="U721" t="str">
        <f t="shared" si="57"/>
        <v/>
      </c>
      <c r="V721" t="str">
        <f t="shared" ca="1" si="58"/>
        <v/>
      </c>
      <c r="W721" t="str">
        <f t="shared" ca="1" si="59"/>
        <v/>
      </c>
    </row>
    <row r="722" spans="17:23" x14ac:dyDescent="0.25">
      <c r="Q722">
        <f>IF(E722="USD",CONFIG!$B$5,1)</f>
        <v>1</v>
      </c>
      <c r="R722" t="str">
        <f t="shared" si="55"/>
        <v>✗ ERROR: Revisa datos</v>
      </c>
      <c r="S722" t="str">
        <f t="shared" ca="1" si="56"/>
        <v/>
      </c>
      <c r="T722" t="str">
        <f>IF(E722="USD",F722,IF(E722="CRC",F722/CONFIG!$B$5,""))</f>
        <v/>
      </c>
      <c r="U722" t="str">
        <f t="shared" si="57"/>
        <v/>
      </c>
      <c r="V722" t="str">
        <f t="shared" ca="1" si="58"/>
        <v/>
      </c>
      <c r="W722" t="str">
        <f t="shared" ca="1" si="59"/>
        <v/>
      </c>
    </row>
    <row r="723" spans="17:23" x14ac:dyDescent="0.25">
      <c r="Q723">
        <f>IF(E723="USD",CONFIG!$B$5,1)</f>
        <v>1</v>
      </c>
      <c r="R723" t="str">
        <f t="shared" si="55"/>
        <v>✗ ERROR: Revisa datos</v>
      </c>
      <c r="S723" t="str">
        <f t="shared" ca="1" si="56"/>
        <v/>
      </c>
      <c r="T723" t="str">
        <f>IF(E723="USD",F723,IF(E723="CRC",F723/CONFIG!$B$5,""))</f>
        <v/>
      </c>
      <c r="U723" t="str">
        <f t="shared" si="57"/>
        <v/>
      </c>
      <c r="V723" t="str">
        <f t="shared" ca="1" si="58"/>
        <v/>
      </c>
      <c r="W723" t="str">
        <f t="shared" ca="1" si="59"/>
        <v/>
      </c>
    </row>
    <row r="724" spans="17:23" x14ac:dyDescent="0.25">
      <c r="Q724">
        <f>IF(E724="USD",CONFIG!$B$5,1)</f>
        <v>1</v>
      </c>
      <c r="R724" t="str">
        <f t="shared" si="55"/>
        <v>✗ ERROR: Revisa datos</v>
      </c>
      <c r="S724" t="str">
        <f t="shared" ca="1" si="56"/>
        <v/>
      </c>
      <c r="T724" t="str">
        <f>IF(E724="USD",F724,IF(E724="CRC",F724/CONFIG!$B$5,""))</f>
        <v/>
      </c>
      <c r="U724" t="str">
        <f t="shared" si="57"/>
        <v/>
      </c>
      <c r="V724" t="str">
        <f t="shared" ca="1" si="58"/>
        <v/>
      </c>
      <c r="W724" t="str">
        <f t="shared" ca="1" si="59"/>
        <v/>
      </c>
    </row>
    <row r="725" spans="17:23" x14ac:dyDescent="0.25">
      <c r="Q725">
        <f>IF(E725="USD",CONFIG!$B$5,1)</f>
        <v>1</v>
      </c>
      <c r="R725" t="str">
        <f t="shared" si="55"/>
        <v>✗ ERROR: Revisa datos</v>
      </c>
      <c r="S725" t="str">
        <f t="shared" ca="1" si="56"/>
        <v/>
      </c>
      <c r="T725" t="str">
        <f>IF(E725="USD",F725,IF(E725="CRC",F725/CONFIG!$B$5,""))</f>
        <v/>
      </c>
      <c r="U725" t="str">
        <f t="shared" si="57"/>
        <v/>
      </c>
      <c r="V725" t="str">
        <f t="shared" ca="1" si="58"/>
        <v/>
      </c>
      <c r="W725" t="str">
        <f t="shared" ca="1" si="59"/>
        <v/>
      </c>
    </row>
    <row r="726" spans="17:23" x14ac:dyDescent="0.25">
      <c r="Q726">
        <f>IF(E726="USD",CONFIG!$B$5,1)</f>
        <v>1</v>
      </c>
      <c r="R726" t="str">
        <f t="shared" si="55"/>
        <v>✗ ERROR: Revisa datos</v>
      </c>
      <c r="S726" t="str">
        <f t="shared" ca="1" si="56"/>
        <v/>
      </c>
      <c r="T726" t="str">
        <f>IF(E726="USD",F726,IF(E726="CRC",F726/CONFIG!$B$5,""))</f>
        <v/>
      </c>
      <c r="U726" t="str">
        <f t="shared" si="57"/>
        <v/>
      </c>
      <c r="V726" t="str">
        <f t="shared" ca="1" si="58"/>
        <v/>
      </c>
      <c r="W726" t="str">
        <f t="shared" ca="1" si="59"/>
        <v/>
      </c>
    </row>
    <row r="727" spans="17:23" x14ac:dyDescent="0.25">
      <c r="Q727">
        <f>IF(E727="USD",CONFIG!$B$5,1)</f>
        <v>1</v>
      </c>
      <c r="R727" t="str">
        <f t="shared" si="55"/>
        <v>✗ ERROR: Revisa datos</v>
      </c>
      <c r="S727" t="str">
        <f t="shared" ca="1" si="56"/>
        <v/>
      </c>
      <c r="T727" t="str">
        <f>IF(E727="USD",F727,IF(E727="CRC",F727/CONFIG!$B$5,""))</f>
        <v/>
      </c>
      <c r="U727" t="str">
        <f t="shared" si="57"/>
        <v/>
      </c>
      <c r="V727" t="str">
        <f t="shared" ca="1" si="58"/>
        <v/>
      </c>
      <c r="W727" t="str">
        <f t="shared" ca="1" si="59"/>
        <v/>
      </c>
    </row>
    <row r="728" spans="17:23" x14ac:dyDescent="0.25">
      <c r="Q728">
        <f>IF(E728="USD",CONFIG!$B$5,1)</f>
        <v>1</v>
      </c>
      <c r="R728" t="str">
        <f t="shared" si="55"/>
        <v>✗ ERROR: Revisa datos</v>
      </c>
      <c r="S728" t="str">
        <f t="shared" ca="1" si="56"/>
        <v/>
      </c>
      <c r="T728" t="str">
        <f>IF(E728="USD",F728,IF(E728="CRC",F728/CONFIG!$B$5,""))</f>
        <v/>
      </c>
      <c r="U728" t="str">
        <f t="shared" si="57"/>
        <v/>
      </c>
      <c r="V728" t="str">
        <f t="shared" ca="1" si="58"/>
        <v/>
      </c>
      <c r="W728" t="str">
        <f t="shared" ca="1" si="59"/>
        <v/>
      </c>
    </row>
    <row r="729" spans="17:23" x14ac:dyDescent="0.25">
      <c r="Q729">
        <f>IF(E729="USD",CONFIG!$B$5,1)</f>
        <v>1</v>
      </c>
      <c r="R729" t="str">
        <f t="shared" si="55"/>
        <v>✗ ERROR: Revisa datos</v>
      </c>
      <c r="S729" t="str">
        <f t="shared" ca="1" si="56"/>
        <v/>
      </c>
      <c r="T729" t="str">
        <f>IF(E729="USD",F729,IF(E729="CRC",F729/CONFIG!$B$5,""))</f>
        <v/>
      </c>
      <c r="U729" t="str">
        <f t="shared" si="57"/>
        <v/>
      </c>
      <c r="V729" t="str">
        <f t="shared" ca="1" si="58"/>
        <v/>
      </c>
      <c r="W729" t="str">
        <f t="shared" ca="1" si="59"/>
        <v/>
      </c>
    </row>
    <row r="730" spans="17:23" x14ac:dyDescent="0.25">
      <c r="Q730">
        <f>IF(E730="USD",CONFIG!$B$5,1)</f>
        <v>1</v>
      </c>
      <c r="R730" t="str">
        <f t="shared" si="55"/>
        <v>✗ ERROR: Revisa datos</v>
      </c>
      <c r="S730" t="str">
        <f t="shared" ca="1" si="56"/>
        <v/>
      </c>
      <c r="T730" t="str">
        <f>IF(E730="USD",F730,IF(E730="CRC",F730/CONFIG!$B$5,""))</f>
        <v/>
      </c>
      <c r="U730" t="str">
        <f t="shared" si="57"/>
        <v/>
      </c>
      <c r="V730" t="str">
        <f t="shared" ca="1" si="58"/>
        <v/>
      </c>
      <c r="W730" t="str">
        <f t="shared" ca="1" si="59"/>
        <v/>
      </c>
    </row>
    <row r="731" spans="17:23" x14ac:dyDescent="0.25">
      <c r="Q731">
        <f>IF(E731="USD",CONFIG!$B$5,1)</f>
        <v>1</v>
      </c>
      <c r="R731" t="str">
        <f t="shared" si="55"/>
        <v>✗ ERROR: Revisa datos</v>
      </c>
      <c r="S731" t="str">
        <f t="shared" ca="1" si="56"/>
        <v/>
      </c>
      <c r="T731" t="str">
        <f>IF(E731="USD",F731,IF(E731="CRC",F731/CONFIG!$B$5,""))</f>
        <v/>
      </c>
      <c r="U731" t="str">
        <f t="shared" si="57"/>
        <v/>
      </c>
      <c r="V731" t="str">
        <f t="shared" ca="1" si="58"/>
        <v/>
      </c>
      <c r="W731" t="str">
        <f t="shared" ca="1" si="59"/>
        <v/>
      </c>
    </row>
    <row r="732" spans="17:23" x14ac:dyDescent="0.25">
      <c r="Q732">
        <f>IF(E732="USD",CONFIG!$B$5,1)</f>
        <v>1</v>
      </c>
      <c r="R732" t="str">
        <f t="shared" si="55"/>
        <v>✗ ERROR: Revisa datos</v>
      </c>
      <c r="S732" t="str">
        <f t="shared" ca="1" si="56"/>
        <v/>
      </c>
      <c r="T732" t="str">
        <f>IF(E732="USD",F732,IF(E732="CRC",F732/CONFIG!$B$5,""))</f>
        <v/>
      </c>
      <c r="U732" t="str">
        <f t="shared" si="57"/>
        <v/>
      </c>
      <c r="V732" t="str">
        <f t="shared" ca="1" si="58"/>
        <v/>
      </c>
      <c r="W732" t="str">
        <f t="shared" ca="1" si="59"/>
        <v/>
      </c>
    </row>
    <row r="733" spans="17:23" x14ac:dyDescent="0.25">
      <c r="Q733">
        <f>IF(E733="USD",CONFIG!$B$5,1)</f>
        <v>1</v>
      </c>
      <c r="R733" t="str">
        <f t="shared" si="55"/>
        <v>✗ ERROR: Revisa datos</v>
      </c>
      <c r="S733" t="str">
        <f t="shared" ca="1" si="56"/>
        <v/>
      </c>
      <c r="T733" t="str">
        <f>IF(E733="USD",F733,IF(E733="CRC",F733/CONFIG!$B$5,""))</f>
        <v/>
      </c>
      <c r="U733" t="str">
        <f t="shared" si="57"/>
        <v/>
      </c>
      <c r="V733" t="str">
        <f t="shared" ca="1" si="58"/>
        <v/>
      </c>
      <c r="W733" t="str">
        <f t="shared" ca="1" si="59"/>
        <v/>
      </c>
    </row>
    <row r="734" spans="17:23" x14ac:dyDescent="0.25">
      <c r="Q734">
        <f>IF(E734="USD",CONFIG!$B$5,1)</f>
        <v>1</v>
      </c>
      <c r="R734" t="str">
        <f t="shared" si="55"/>
        <v>✗ ERROR: Revisa datos</v>
      </c>
      <c r="S734" t="str">
        <f t="shared" ca="1" si="56"/>
        <v/>
      </c>
      <c r="T734" t="str">
        <f>IF(E734="USD",F734,IF(E734="CRC",F734/CONFIG!$B$5,""))</f>
        <v/>
      </c>
      <c r="U734" t="str">
        <f t="shared" si="57"/>
        <v/>
      </c>
      <c r="V734" t="str">
        <f t="shared" ca="1" si="58"/>
        <v/>
      </c>
      <c r="W734" t="str">
        <f t="shared" ca="1" si="59"/>
        <v/>
      </c>
    </row>
    <row r="735" spans="17:23" x14ac:dyDescent="0.25">
      <c r="Q735">
        <f>IF(E735="USD",CONFIG!$B$5,1)</f>
        <v>1</v>
      </c>
      <c r="R735" t="str">
        <f t="shared" si="55"/>
        <v>✗ ERROR: Revisa datos</v>
      </c>
      <c r="S735" t="str">
        <f t="shared" ca="1" si="56"/>
        <v/>
      </c>
      <c r="T735" t="str">
        <f>IF(E735="USD",F735,IF(E735="CRC",F735/CONFIG!$B$5,""))</f>
        <v/>
      </c>
      <c r="U735" t="str">
        <f t="shared" si="57"/>
        <v/>
      </c>
      <c r="V735" t="str">
        <f t="shared" ca="1" si="58"/>
        <v/>
      </c>
      <c r="W735" t="str">
        <f t="shared" ca="1" si="59"/>
        <v/>
      </c>
    </row>
    <row r="736" spans="17:23" x14ac:dyDescent="0.25">
      <c r="Q736">
        <f>IF(E736="USD",CONFIG!$B$5,1)</f>
        <v>1</v>
      </c>
      <c r="R736" t="str">
        <f t="shared" si="55"/>
        <v>✗ ERROR: Revisa datos</v>
      </c>
      <c r="S736" t="str">
        <f t="shared" ca="1" si="56"/>
        <v/>
      </c>
      <c r="T736" t="str">
        <f>IF(E736="USD",F736,IF(E736="CRC",F736/CONFIG!$B$5,""))</f>
        <v/>
      </c>
      <c r="U736" t="str">
        <f t="shared" si="57"/>
        <v/>
      </c>
      <c r="V736" t="str">
        <f t="shared" ca="1" si="58"/>
        <v/>
      </c>
      <c r="W736" t="str">
        <f t="shared" ca="1" si="59"/>
        <v/>
      </c>
    </row>
    <row r="737" spans="17:23" x14ac:dyDescent="0.25">
      <c r="Q737">
        <f>IF(E737="USD",CONFIG!$B$5,1)</f>
        <v>1</v>
      </c>
      <c r="R737" t="str">
        <f t="shared" si="55"/>
        <v>✗ ERROR: Revisa datos</v>
      </c>
      <c r="S737" t="str">
        <f t="shared" ca="1" si="56"/>
        <v/>
      </c>
      <c r="T737" t="str">
        <f>IF(E737="USD",F737,IF(E737="CRC",F737/CONFIG!$B$5,""))</f>
        <v/>
      </c>
      <c r="U737" t="str">
        <f t="shared" si="57"/>
        <v/>
      </c>
      <c r="V737" t="str">
        <f t="shared" ca="1" si="58"/>
        <v/>
      </c>
      <c r="W737" t="str">
        <f t="shared" ca="1" si="59"/>
        <v/>
      </c>
    </row>
    <row r="738" spans="17:23" x14ac:dyDescent="0.25">
      <c r="Q738">
        <f>IF(E738="USD",CONFIG!$B$5,1)</f>
        <v>1</v>
      </c>
      <c r="R738" t="str">
        <f t="shared" si="55"/>
        <v>✗ ERROR: Revisa datos</v>
      </c>
      <c r="S738" t="str">
        <f t="shared" ca="1" si="56"/>
        <v/>
      </c>
      <c r="T738" t="str">
        <f>IF(E738="USD",F738,IF(E738="CRC",F738/CONFIG!$B$5,""))</f>
        <v/>
      </c>
      <c r="U738" t="str">
        <f t="shared" si="57"/>
        <v/>
      </c>
      <c r="V738" t="str">
        <f t="shared" ca="1" si="58"/>
        <v/>
      </c>
      <c r="W738" t="str">
        <f t="shared" ca="1" si="59"/>
        <v/>
      </c>
    </row>
    <row r="739" spans="17:23" x14ac:dyDescent="0.25">
      <c r="Q739">
        <f>IF(E739="USD",CONFIG!$B$5,1)</f>
        <v>1</v>
      </c>
      <c r="R739" t="str">
        <f t="shared" si="55"/>
        <v>✗ ERROR: Revisa datos</v>
      </c>
      <c r="S739" t="str">
        <f t="shared" ca="1" si="56"/>
        <v/>
      </c>
      <c r="T739" t="str">
        <f>IF(E739="USD",F739,IF(E739="CRC",F739/CONFIG!$B$5,""))</f>
        <v/>
      </c>
      <c r="U739" t="str">
        <f t="shared" si="57"/>
        <v/>
      </c>
      <c r="V739" t="str">
        <f t="shared" ca="1" si="58"/>
        <v/>
      </c>
      <c r="W739" t="str">
        <f t="shared" ca="1" si="59"/>
        <v/>
      </c>
    </row>
    <row r="740" spans="17:23" x14ac:dyDescent="0.25">
      <c r="Q740">
        <f>IF(E740="USD",CONFIG!$B$5,1)</f>
        <v>1</v>
      </c>
      <c r="R740" t="str">
        <f t="shared" si="55"/>
        <v>✗ ERROR: Revisa datos</v>
      </c>
      <c r="S740" t="str">
        <f t="shared" ca="1" si="56"/>
        <v/>
      </c>
      <c r="T740" t="str">
        <f>IF(E740="USD",F740,IF(E740="CRC",F740/CONFIG!$B$5,""))</f>
        <v/>
      </c>
      <c r="U740" t="str">
        <f t="shared" si="57"/>
        <v/>
      </c>
      <c r="V740" t="str">
        <f t="shared" ca="1" si="58"/>
        <v/>
      </c>
      <c r="W740" t="str">
        <f t="shared" ca="1" si="59"/>
        <v/>
      </c>
    </row>
    <row r="741" spans="17:23" x14ac:dyDescent="0.25">
      <c r="Q741">
        <f>IF(E741="USD",CONFIG!$B$5,1)</f>
        <v>1</v>
      </c>
      <c r="R741" t="str">
        <f t="shared" si="55"/>
        <v>✗ ERROR: Revisa datos</v>
      </c>
      <c r="S741" t="str">
        <f t="shared" ca="1" si="56"/>
        <v/>
      </c>
      <c r="T741" t="str">
        <f>IF(E741="USD",F741,IF(E741="CRC",F741/CONFIG!$B$5,""))</f>
        <v/>
      </c>
      <c r="U741" t="str">
        <f t="shared" si="57"/>
        <v/>
      </c>
      <c r="V741" t="str">
        <f t="shared" ca="1" si="58"/>
        <v/>
      </c>
      <c r="W741" t="str">
        <f t="shared" ca="1" si="59"/>
        <v/>
      </c>
    </row>
    <row r="742" spans="17:23" x14ac:dyDescent="0.25">
      <c r="Q742">
        <f>IF(E742="USD",CONFIG!$B$5,1)</f>
        <v>1</v>
      </c>
      <c r="R742" t="str">
        <f t="shared" si="55"/>
        <v>✗ ERROR: Revisa datos</v>
      </c>
      <c r="S742" t="str">
        <f t="shared" ca="1" si="56"/>
        <v/>
      </c>
      <c r="T742" t="str">
        <f>IF(E742="USD",F742,IF(E742="CRC",F742/CONFIG!$B$5,""))</f>
        <v/>
      </c>
      <c r="U742" t="str">
        <f t="shared" si="57"/>
        <v/>
      </c>
      <c r="V742" t="str">
        <f t="shared" ca="1" si="58"/>
        <v/>
      </c>
      <c r="W742" t="str">
        <f t="shared" ca="1" si="59"/>
        <v/>
      </c>
    </row>
    <row r="743" spans="17:23" x14ac:dyDescent="0.25">
      <c r="Q743">
        <f>IF(E743="USD",CONFIG!$B$5,1)</f>
        <v>1</v>
      </c>
      <c r="R743" t="str">
        <f t="shared" si="55"/>
        <v>✗ ERROR: Revisa datos</v>
      </c>
      <c r="S743" t="str">
        <f t="shared" ca="1" si="56"/>
        <v/>
      </c>
      <c r="T743" t="str">
        <f>IF(E743="USD",F743,IF(E743="CRC",F743/CONFIG!$B$5,""))</f>
        <v/>
      </c>
      <c r="U743" t="str">
        <f t="shared" si="57"/>
        <v/>
      </c>
      <c r="V743" t="str">
        <f t="shared" ca="1" si="58"/>
        <v/>
      </c>
      <c r="W743" t="str">
        <f t="shared" ca="1" si="59"/>
        <v/>
      </c>
    </row>
    <row r="744" spans="17:23" x14ac:dyDescent="0.25">
      <c r="Q744">
        <f>IF(E744="USD",CONFIG!$B$5,1)</f>
        <v>1</v>
      </c>
      <c r="R744" t="str">
        <f t="shared" si="55"/>
        <v>✗ ERROR: Revisa datos</v>
      </c>
      <c r="S744" t="str">
        <f t="shared" ca="1" si="56"/>
        <v/>
      </c>
      <c r="T744" t="str">
        <f>IF(E744="USD",F744,IF(E744="CRC",F744/CONFIG!$B$5,""))</f>
        <v/>
      </c>
      <c r="U744" t="str">
        <f t="shared" si="57"/>
        <v/>
      </c>
      <c r="V744" t="str">
        <f t="shared" ca="1" si="58"/>
        <v/>
      </c>
      <c r="W744" t="str">
        <f t="shared" ca="1" si="59"/>
        <v/>
      </c>
    </row>
    <row r="745" spans="17:23" x14ac:dyDescent="0.25">
      <c r="Q745">
        <f>IF(E745="USD",CONFIG!$B$5,1)</f>
        <v>1</v>
      </c>
      <c r="R745" t="str">
        <f t="shared" si="55"/>
        <v>✗ ERROR: Revisa datos</v>
      </c>
      <c r="S745" t="str">
        <f t="shared" ca="1" si="56"/>
        <v/>
      </c>
      <c r="T745" t="str">
        <f>IF(E745="USD",F745,IF(E745="CRC",F745/CONFIG!$B$5,""))</f>
        <v/>
      </c>
      <c r="U745" t="str">
        <f t="shared" si="57"/>
        <v/>
      </c>
      <c r="V745" t="str">
        <f t="shared" ca="1" si="58"/>
        <v/>
      </c>
      <c r="W745" t="str">
        <f t="shared" ca="1" si="59"/>
        <v/>
      </c>
    </row>
    <row r="746" spans="17:23" x14ac:dyDescent="0.25">
      <c r="Q746">
        <f>IF(E746="USD",CONFIG!$B$5,1)</f>
        <v>1</v>
      </c>
      <c r="R746" t="str">
        <f t="shared" si="55"/>
        <v>✗ ERROR: Revisa datos</v>
      </c>
      <c r="S746" t="str">
        <f t="shared" ca="1" si="56"/>
        <v/>
      </c>
      <c r="T746" t="str">
        <f>IF(E746="USD",F746,IF(E746="CRC",F746/CONFIG!$B$5,""))</f>
        <v/>
      </c>
      <c r="U746" t="str">
        <f t="shared" si="57"/>
        <v/>
      </c>
      <c r="V746" t="str">
        <f t="shared" ca="1" si="58"/>
        <v/>
      </c>
      <c r="W746" t="str">
        <f t="shared" ca="1" si="59"/>
        <v/>
      </c>
    </row>
    <row r="747" spans="17:23" x14ac:dyDescent="0.25">
      <c r="Q747">
        <f>IF(E747="USD",CONFIG!$B$5,1)</f>
        <v>1</v>
      </c>
      <c r="R747" t="str">
        <f t="shared" si="55"/>
        <v>✗ ERROR: Revisa datos</v>
      </c>
      <c r="S747" t="str">
        <f t="shared" ca="1" si="56"/>
        <v/>
      </c>
      <c r="T747" t="str">
        <f>IF(E747="USD",F747,IF(E747="CRC",F747/CONFIG!$B$5,""))</f>
        <v/>
      </c>
      <c r="U747" t="str">
        <f t="shared" si="57"/>
        <v/>
      </c>
      <c r="V747" t="str">
        <f t="shared" ca="1" si="58"/>
        <v/>
      </c>
      <c r="W747" t="str">
        <f t="shared" ca="1" si="59"/>
        <v/>
      </c>
    </row>
    <row r="748" spans="17:23" x14ac:dyDescent="0.25">
      <c r="Q748">
        <f>IF(E748="USD",CONFIG!$B$5,1)</f>
        <v>1</v>
      </c>
      <c r="R748" t="str">
        <f t="shared" si="55"/>
        <v>✗ ERROR: Revisa datos</v>
      </c>
      <c r="S748" t="str">
        <f t="shared" ca="1" si="56"/>
        <v/>
      </c>
      <c r="T748" t="str">
        <f>IF(E748="USD",F748,IF(E748="CRC",F748/CONFIG!$B$5,""))</f>
        <v/>
      </c>
      <c r="U748" t="str">
        <f t="shared" si="57"/>
        <v/>
      </c>
      <c r="V748" t="str">
        <f t="shared" ca="1" si="58"/>
        <v/>
      </c>
      <c r="W748" t="str">
        <f t="shared" ca="1" si="59"/>
        <v/>
      </c>
    </row>
    <row r="749" spans="17:23" x14ac:dyDescent="0.25">
      <c r="Q749">
        <f>IF(E749="USD",CONFIG!$B$5,1)</f>
        <v>1</v>
      </c>
      <c r="R749" t="str">
        <f t="shared" si="55"/>
        <v>✗ ERROR: Revisa datos</v>
      </c>
      <c r="S749" t="str">
        <f t="shared" ca="1" si="56"/>
        <v/>
      </c>
      <c r="T749" t="str">
        <f>IF(E749="USD",F749,IF(E749="CRC",F749/CONFIG!$B$5,""))</f>
        <v/>
      </c>
      <c r="U749" t="str">
        <f t="shared" si="57"/>
        <v/>
      </c>
      <c r="V749" t="str">
        <f t="shared" ca="1" si="58"/>
        <v/>
      </c>
      <c r="W749" t="str">
        <f t="shared" ca="1" si="59"/>
        <v/>
      </c>
    </row>
    <row r="750" spans="17:23" x14ac:dyDescent="0.25">
      <c r="Q750">
        <f>IF(E750="USD",CONFIG!$B$5,1)</f>
        <v>1</v>
      </c>
      <c r="R750" t="str">
        <f t="shared" si="55"/>
        <v>✗ ERROR: Revisa datos</v>
      </c>
      <c r="S750" t="str">
        <f t="shared" ca="1" si="56"/>
        <v/>
      </c>
      <c r="T750" t="str">
        <f>IF(E750="USD",F750,IF(E750="CRC",F750/CONFIG!$B$5,""))</f>
        <v/>
      </c>
      <c r="U750" t="str">
        <f t="shared" si="57"/>
        <v/>
      </c>
      <c r="V750" t="str">
        <f t="shared" ca="1" si="58"/>
        <v/>
      </c>
      <c r="W750" t="str">
        <f t="shared" ca="1" si="59"/>
        <v/>
      </c>
    </row>
    <row r="751" spans="17:23" x14ac:dyDescent="0.25">
      <c r="Q751">
        <f>IF(E751="USD",CONFIG!$B$5,1)</f>
        <v>1</v>
      </c>
      <c r="R751" t="str">
        <f t="shared" si="55"/>
        <v>✗ ERROR: Revisa datos</v>
      </c>
      <c r="S751" t="str">
        <f t="shared" ca="1" si="56"/>
        <v/>
      </c>
      <c r="T751" t="str">
        <f>IF(E751="USD",F751,IF(E751="CRC",F751/CONFIG!$B$5,""))</f>
        <v/>
      </c>
      <c r="U751" t="str">
        <f t="shared" si="57"/>
        <v/>
      </c>
      <c r="V751" t="str">
        <f t="shared" ca="1" si="58"/>
        <v/>
      </c>
      <c r="W751" t="str">
        <f t="shared" ca="1" si="59"/>
        <v/>
      </c>
    </row>
    <row r="752" spans="17:23" x14ac:dyDescent="0.25">
      <c r="Q752">
        <f>IF(E752="USD",CONFIG!$B$5,1)</f>
        <v>1</v>
      </c>
      <c r="R752" t="str">
        <f t="shared" si="55"/>
        <v>✗ ERROR: Revisa datos</v>
      </c>
      <c r="S752" t="str">
        <f t="shared" ca="1" si="56"/>
        <v/>
      </c>
      <c r="T752" t="str">
        <f>IF(E752="USD",F752,IF(E752="CRC",F752/CONFIG!$B$5,""))</f>
        <v/>
      </c>
      <c r="U752" t="str">
        <f t="shared" si="57"/>
        <v/>
      </c>
      <c r="V752" t="str">
        <f t="shared" ca="1" si="58"/>
        <v/>
      </c>
      <c r="W752" t="str">
        <f t="shared" ca="1" si="59"/>
        <v/>
      </c>
    </row>
    <row r="753" spans="17:23" x14ac:dyDescent="0.25">
      <c r="Q753">
        <f>IF(E753="USD",CONFIG!$B$5,1)</f>
        <v>1</v>
      </c>
      <c r="R753" t="str">
        <f t="shared" si="55"/>
        <v>✗ ERROR: Revisa datos</v>
      </c>
      <c r="S753" t="str">
        <f t="shared" ca="1" si="56"/>
        <v/>
      </c>
      <c r="T753" t="str">
        <f>IF(E753="USD",F753,IF(E753="CRC",F753/CONFIG!$B$5,""))</f>
        <v/>
      </c>
      <c r="U753" t="str">
        <f t="shared" si="57"/>
        <v/>
      </c>
      <c r="V753" t="str">
        <f t="shared" ca="1" si="58"/>
        <v/>
      </c>
      <c r="W753" t="str">
        <f t="shared" ca="1" si="59"/>
        <v/>
      </c>
    </row>
    <row r="754" spans="17:23" x14ac:dyDescent="0.25">
      <c r="Q754">
        <f>IF(E754="USD",CONFIG!$B$5,1)</f>
        <v>1</v>
      </c>
      <c r="R754" t="str">
        <f t="shared" si="55"/>
        <v>✗ ERROR: Revisa datos</v>
      </c>
      <c r="S754" t="str">
        <f t="shared" ca="1" si="56"/>
        <v/>
      </c>
      <c r="T754" t="str">
        <f>IF(E754="USD",F754,IF(E754="CRC",F754/CONFIG!$B$5,""))</f>
        <v/>
      </c>
      <c r="U754" t="str">
        <f t="shared" si="57"/>
        <v/>
      </c>
      <c r="V754" t="str">
        <f t="shared" ca="1" si="58"/>
        <v/>
      </c>
      <c r="W754" t="str">
        <f t="shared" ca="1" si="59"/>
        <v/>
      </c>
    </row>
    <row r="755" spans="17:23" x14ac:dyDescent="0.25">
      <c r="Q755">
        <f>IF(E755="USD",CONFIG!$B$5,1)</f>
        <v>1</v>
      </c>
      <c r="R755" t="str">
        <f t="shared" si="55"/>
        <v>✗ ERROR: Revisa datos</v>
      </c>
      <c r="S755" t="str">
        <f t="shared" ca="1" si="56"/>
        <v/>
      </c>
      <c r="T755" t="str">
        <f>IF(E755="USD",F755,IF(E755="CRC",F755/CONFIG!$B$5,""))</f>
        <v/>
      </c>
      <c r="U755" t="str">
        <f t="shared" si="57"/>
        <v/>
      </c>
      <c r="V755" t="str">
        <f t="shared" ca="1" si="58"/>
        <v/>
      </c>
      <c r="W755" t="str">
        <f t="shared" ca="1" si="59"/>
        <v/>
      </c>
    </row>
    <row r="756" spans="17:23" x14ac:dyDescent="0.25">
      <c r="Q756">
        <f>IF(E756="USD",CONFIG!$B$5,1)</f>
        <v>1</v>
      </c>
      <c r="R756" t="str">
        <f t="shared" si="55"/>
        <v>✗ ERROR: Revisa datos</v>
      </c>
      <c r="S756" t="str">
        <f t="shared" ca="1" si="56"/>
        <v/>
      </c>
      <c r="T756" t="str">
        <f>IF(E756="USD",F756,IF(E756="CRC",F756/CONFIG!$B$5,""))</f>
        <v/>
      </c>
      <c r="U756" t="str">
        <f t="shared" si="57"/>
        <v/>
      </c>
      <c r="V756" t="str">
        <f t="shared" ca="1" si="58"/>
        <v/>
      </c>
      <c r="W756" t="str">
        <f t="shared" ca="1" si="59"/>
        <v/>
      </c>
    </row>
    <row r="757" spans="17:23" x14ac:dyDescent="0.25">
      <c r="Q757">
        <f>IF(E757="USD",CONFIG!$B$5,1)</f>
        <v>1</v>
      </c>
      <c r="R757" t="str">
        <f t="shared" si="55"/>
        <v>✗ ERROR: Revisa datos</v>
      </c>
      <c r="S757" t="str">
        <f t="shared" ca="1" si="56"/>
        <v/>
      </c>
      <c r="T757" t="str">
        <f>IF(E757="USD",F757,IF(E757="CRC",F757/CONFIG!$B$5,""))</f>
        <v/>
      </c>
      <c r="U757" t="str">
        <f t="shared" si="57"/>
        <v/>
      </c>
      <c r="V757" t="str">
        <f t="shared" ca="1" si="58"/>
        <v/>
      </c>
      <c r="W757" t="str">
        <f t="shared" ca="1" si="59"/>
        <v/>
      </c>
    </row>
    <row r="758" spans="17:23" x14ac:dyDescent="0.25">
      <c r="Q758">
        <f>IF(E758="USD",CONFIG!$B$5,1)</f>
        <v>1</v>
      </c>
      <c r="R758" t="str">
        <f t="shared" si="55"/>
        <v>✗ ERROR: Revisa datos</v>
      </c>
      <c r="S758" t="str">
        <f t="shared" ca="1" si="56"/>
        <v/>
      </c>
      <c r="T758" t="str">
        <f>IF(E758="USD",F758,IF(E758="CRC",F758/CONFIG!$B$5,""))</f>
        <v/>
      </c>
      <c r="U758" t="str">
        <f t="shared" si="57"/>
        <v/>
      </c>
      <c r="V758" t="str">
        <f t="shared" ca="1" si="58"/>
        <v/>
      </c>
      <c r="W758" t="str">
        <f t="shared" ca="1" si="59"/>
        <v/>
      </c>
    </row>
    <row r="759" spans="17:23" x14ac:dyDescent="0.25">
      <c r="Q759">
        <f>IF(E759="USD",CONFIG!$B$5,1)</f>
        <v>1</v>
      </c>
      <c r="R759" t="str">
        <f t="shared" si="55"/>
        <v>✗ ERROR: Revisa datos</v>
      </c>
      <c r="S759" t="str">
        <f t="shared" ca="1" si="56"/>
        <v/>
      </c>
      <c r="T759" t="str">
        <f>IF(E759="USD",F759,IF(E759="CRC",F759/CONFIG!$B$5,""))</f>
        <v/>
      </c>
      <c r="U759" t="str">
        <f t="shared" si="57"/>
        <v/>
      </c>
      <c r="V759" t="str">
        <f t="shared" ca="1" si="58"/>
        <v/>
      </c>
      <c r="W759" t="str">
        <f t="shared" ca="1" si="59"/>
        <v/>
      </c>
    </row>
    <row r="760" spans="17:23" x14ac:dyDescent="0.25">
      <c r="Q760">
        <f>IF(E760="USD",CONFIG!$B$5,1)</f>
        <v>1</v>
      </c>
      <c r="R760" t="str">
        <f t="shared" si="55"/>
        <v>✗ ERROR: Revisa datos</v>
      </c>
      <c r="S760" t="str">
        <f t="shared" ca="1" si="56"/>
        <v/>
      </c>
      <c r="T760" t="str">
        <f>IF(E760="USD",F760,IF(E760="CRC",F760/CONFIG!$B$5,""))</f>
        <v/>
      </c>
      <c r="U760" t="str">
        <f t="shared" si="57"/>
        <v/>
      </c>
      <c r="V760" t="str">
        <f t="shared" ca="1" si="58"/>
        <v/>
      </c>
      <c r="W760" t="str">
        <f t="shared" ca="1" si="59"/>
        <v/>
      </c>
    </row>
    <row r="761" spans="17:23" x14ac:dyDescent="0.25">
      <c r="Q761">
        <f>IF(E761="USD",CONFIG!$B$5,1)</f>
        <v>1</v>
      </c>
      <c r="R761" t="str">
        <f t="shared" si="55"/>
        <v>✗ ERROR: Revisa datos</v>
      </c>
      <c r="S761" t="str">
        <f t="shared" ca="1" si="56"/>
        <v/>
      </c>
      <c r="T761" t="str">
        <f>IF(E761="USD",F761,IF(E761="CRC",F761/CONFIG!$B$5,""))</f>
        <v/>
      </c>
      <c r="U761" t="str">
        <f t="shared" si="57"/>
        <v/>
      </c>
      <c r="V761" t="str">
        <f t="shared" ca="1" si="58"/>
        <v/>
      </c>
      <c r="W761" t="str">
        <f t="shared" ca="1" si="59"/>
        <v/>
      </c>
    </row>
    <row r="762" spans="17:23" x14ac:dyDescent="0.25">
      <c r="Q762">
        <f>IF(E762="USD",CONFIG!$B$5,1)</f>
        <v>1</v>
      </c>
      <c r="R762" t="str">
        <f t="shared" si="55"/>
        <v>✗ ERROR: Revisa datos</v>
      </c>
      <c r="S762" t="str">
        <f t="shared" ca="1" si="56"/>
        <v/>
      </c>
      <c r="T762" t="str">
        <f>IF(E762="USD",F762,IF(E762="CRC",F762/CONFIG!$B$5,""))</f>
        <v/>
      </c>
      <c r="U762" t="str">
        <f t="shared" si="57"/>
        <v/>
      </c>
      <c r="V762" t="str">
        <f t="shared" ca="1" si="58"/>
        <v/>
      </c>
      <c r="W762" t="str">
        <f t="shared" ca="1" si="59"/>
        <v/>
      </c>
    </row>
    <row r="763" spans="17:23" x14ac:dyDescent="0.25">
      <c r="Q763">
        <f>IF(E763="USD",CONFIG!$B$5,1)</f>
        <v>1</v>
      </c>
      <c r="R763" t="str">
        <f t="shared" si="55"/>
        <v>✗ ERROR: Revisa datos</v>
      </c>
      <c r="S763" t="str">
        <f t="shared" ca="1" si="56"/>
        <v/>
      </c>
      <c r="T763" t="str">
        <f>IF(E763="USD",F763,IF(E763="CRC",F763/CONFIG!$B$5,""))</f>
        <v/>
      </c>
      <c r="U763" t="str">
        <f t="shared" si="57"/>
        <v/>
      </c>
      <c r="V763" t="str">
        <f t="shared" ca="1" si="58"/>
        <v/>
      </c>
      <c r="W763" t="str">
        <f t="shared" ca="1" si="59"/>
        <v/>
      </c>
    </row>
    <row r="764" spans="17:23" x14ac:dyDescent="0.25">
      <c r="Q764">
        <f>IF(E764="USD",CONFIG!$B$5,1)</f>
        <v>1</v>
      </c>
      <c r="R764" t="str">
        <f t="shared" si="55"/>
        <v>✗ ERROR: Revisa datos</v>
      </c>
      <c r="S764" t="str">
        <f t="shared" ca="1" si="56"/>
        <v/>
      </c>
      <c r="T764" t="str">
        <f>IF(E764="USD",F764,IF(E764="CRC",F764/CONFIG!$B$5,""))</f>
        <v/>
      </c>
      <c r="U764" t="str">
        <f t="shared" si="57"/>
        <v/>
      </c>
      <c r="V764" t="str">
        <f t="shared" ca="1" si="58"/>
        <v/>
      </c>
      <c r="W764" t="str">
        <f t="shared" ca="1" si="59"/>
        <v/>
      </c>
    </row>
    <row r="765" spans="17:23" x14ac:dyDescent="0.25">
      <c r="Q765">
        <f>IF(E765="USD",CONFIG!$B$5,1)</f>
        <v>1</v>
      </c>
      <c r="R765" t="str">
        <f t="shared" si="55"/>
        <v>✗ ERROR: Revisa datos</v>
      </c>
      <c r="S765" t="str">
        <f t="shared" ca="1" si="56"/>
        <v/>
      </c>
      <c r="T765" t="str">
        <f>IF(E765="USD",F765,IF(E765="CRC",F765/CONFIG!$B$5,""))</f>
        <v/>
      </c>
      <c r="U765" t="str">
        <f t="shared" si="57"/>
        <v/>
      </c>
      <c r="V765" t="str">
        <f t="shared" ca="1" si="58"/>
        <v/>
      </c>
      <c r="W765" t="str">
        <f t="shared" ca="1" si="59"/>
        <v/>
      </c>
    </row>
    <row r="766" spans="17:23" x14ac:dyDescent="0.25">
      <c r="Q766">
        <f>IF(E766="USD",CONFIG!$B$5,1)</f>
        <v>1</v>
      </c>
      <c r="R766" t="str">
        <f t="shared" si="55"/>
        <v>✗ ERROR: Revisa datos</v>
      </c>
      <c r="S766" t="str">
        <f t="shared" ca="1" si="56"/>
        <v/>
      </c>
      <c r="T766" t="str">
        <f>IF(E766="USD",F766,IF(E766="CRC",F766/CONFIG!$B$5,""))</f>
        <v/>
      </c>
      <c r="U766" t="str">
        <f t="shared" si="57"/>
        <v/>
      </c>
      <c r="V766" t="str">
        <f t="shared" ca="1" si="58"/>
        <v/>
      </c>
      <c r="W766" t="str">
        <f t="shared" ca="1" si="59"/>
        <v/>
      </c>
    </row>
    <row r="767" spans="17:23" x14ac:dyDescent="0.25">
      <c r="Q767">
        <f>IF(E767="USD",CONFIG!$B$5,1)</f>
        <v>1</v>
      </c>
      <c r="R767" t="str">
        <f t="shared" si="55"/>
        <v>✗ ERROR: Revisa datos</v>
      </c>
      <c r="S767" t="str">
        <f t="shared" ca="1" si="56"/>
        <v/>
      </c>
      <c r="T767" t="str">
        <f>IF(E767="USD",F767,IF(E767="CRC",F767/CONFIG!$B$5,""))</f>
        <v/>
      </c>
      <c r="U767" t="str">
        <f t="shared" si="57"/>
        <v/>
      </c>
      <c r="V767" t="str">
        <f t="shared" ca="1" si="58"/>
        <v/>
      </c>
      <c r="W767" t="str">
        <f t="shared" ca="1" si="59"/>
        <v/>
      </c>
    </row>
    <row r="768" spans="17:23" x14ac:dyDescent="0.25">
      <c r="Q768">
        <f>IF(E768="USD",CONFIG!$B$5,1)</f>
        <v>1</v>
      </c>
      <c r="R768" t="str">
        <f t="shared" si="55"/>
        <v>✗ ERROR: Revisa datos</v>
      </c>
      <c r="S768" t="str">
        <f t="shared" ca="1" si="56"/>
        <v/>
      </c>
      <c r="T768" t="str">
        <f>IF(E768="USD",F768,IF(E768="CRC",F768/CONFIG!$B$5,""))</f>
        <v/>
      </c>
      <c r="U768" t="str">
        <f t="shared" si="57"/>
        <v/>
      </c>
      <c r="V768" t="str">
        <f t="shared" ca="1" si="58"/>
        <v/>
      </c>
      <c r="W768" t="str">
        <f t="shared" ca="1" si="59"/>
        <v/>
      </c>
    </row>
    <row r="769" spans="17:23" x14ac:dyDescent="0.25">
      <c r="Q769">
        <f>IF(E769="USD",CONFIG!$B$5,1)</f>
        <v>1</v>
      </c>
      <c r="R769" t="str">
        <f t="shared" si="55"/>
        <v>✗ ERROR: Revisa datos</v>
      </c>
      <c r="S769" t="str">
        <f t="shared" ca="1" si="56"/>
        <v/>
      </c>
      <c r="T769" t="str">
        <f>IF(E769="USD",F769,IF(E769="CRC",F769/CONFIG!$B$5,""))</f>
        <v/>
      </c>
      <c r="U769" t="str">
        <f t="shared" si="57"/>
        <v/>
      </c>
      <c r="V769" t="str">
        <f t="shared" ca="1" si="58"/>
        <v/>
      </c>
      <c r="W769" t="str">
        <f t="shared" ca="1" si="59"/>
        <v/>
      </c>
    </row>
    <row r="770" spans="17:23" x14ac:dyDescent="0.25">
      <c r="Q770">
        <f>IF(E770="USD",CONFIG!$B$5,1)</f>
        <v>1</v>
      </c>
      <c r="R770" t="str">
        <f t="shared" si="55"/>
        <v>✗ ERROR: Revisa datos</v>
      </c>
      <c r="S770" t="str">
        <f t="shared" ca="1" si="56"/>
        <v/>
      </c>
      <c r="T770" t="str">
        <f>IF(E770="USD",F770,IF(E770="CRC",F770/CONFIG!$B$5,""))</f>
        <v/>
      </c>
      <c r="U770" t="str">
        <f t="shared" si="57"/>
        <v/>
      </c>
      <c r="V770" t="str">
        <f t="shared" ca="1" si="58"/>
        <v/>
      </c>
      <c r="W770" t="str">
        <f t="shared" ca="1" si="59"/>
        <v/>
      </c>
    </row>
    <row r="771" spans="17:23" x14ac:dyDescent="0.25">
      <c r="Q771">
        <f>IF(E771="USD",CONFIG!$B$5,1)</f>
        <v>1</v>
      </c>
      <c r="R771" t="str">
        <f t="shared" ref="R771:R834" si="60">IF(AND(A771&lt;&gt;"",ISNUMBER(A771),B771&lt;&gt;"",C771&lt;&gt;"",OR(E771="USD",E771="CRC"),F771&gt;0,ISNUMBER(Q771),Q771&gt;0),"✓ OK","✗ ERROR: Revisa datos")</f>
        <v>✗ ERROR: Revisa datos</v>
      </c>
      <c r="S771" t="str">
        <f t="shared" ca="1" si="56"/>
        <v/>
      </c>
      <c r="T771" t="str">
        <f>IF(E771="USD",F771,IF(E771="CRC",F771/CONFIG!$B$5,""))</f>
        <v/>
      </c>
      <c r="U771" t="str">
        <f t="shared" si="57"/>
        <v/>
      </c>
      <c r="V771" t="str">
        <f t="shared" ca="1" si="58"/>
        <v/>
      </c>
      <c r="W771" t="str">
        <f t="shared" ca="1" si="59"/>
        <v/>
      </c>
    </row>
    <row r="772" spans="17:23" x14ac:dyDescent="0.25">
      <c r="Q772">
        <f>IF(E772="USD",CONFIG!$B$5,1)</f>
        <v>1</v>
      </c>
      <c r="R772" t="str">
        <f t="shared" si="60"/>
        <v>✗ ERROR: Revisa datos</v>
      </c>
      <c r="S772" t="str">
        <f t="shared" ca="1" si="56"/>
        <v/>
      </c>
      <c r="T772" t="str">
        <f>IF(E772="USD",F772,IF(E772="CRC",F772/CONFIG!$B$5,""))</f>
        <v/>
      </c>
      <c r="U772" t="str">
        <f t="shared" si="57"/>
        <v/>
      </c>
      <c r="V772" t="str">
        <f t="shared" ca="1" si="58"/>
        <v/>
      </c>
      <c r="W772" t="str">
        <f t="shared" ca="1" si="59"/>
        <v/>
      </c>
    </row>
    <row r="773" spans="17:23" x14ac:dyDescent="0.25">
      <c r="Q773">
        <f>IF(E773="USD",CONFIG!$B$5,1)</f>
        <v>1</v>
      </c>
      <c r="R773" t="str">
        <f t="shared" si="60"/>
        <v>✗ ERROR: Revisa datos</v>
      </c>
      <c r="S773" t="str">
        <f t="shared" ca="1" si="56"/>
        <v/>
      </c>
      <c r="T773" t="str">
        <f>IF(E773="USD",F773,IF(E773="CRC",F773/CONFIG!$B$5,""))</f>
        <v/>
      </c>
      <c r="U773" t="str">
        <f t="shared" si="57"/>
        <v/>
      </c>
      <c r="V773" t="str">
        <f t="shared" ca="1" si="58"/>
        <v/>
      </c>
      <c r="W773" t="str">
        <f t="shared" ca="1" si="59"/>
        <v/>
      </c>
    </row>
    <row r="774" spans="17:23" x14ac:dyDescent="0.25">
      <c r="Q774">
        <f>IF(E774="USD",CONFIG!$B$5,1)</f>
        <v>1</v>
      </c>
      <c r="R774" t="str">
        <f t="shared" si="60"/>
        <v>✗ ERROR: Revisa datos</v>
      </c>
      <c r="S774" t="str">
        <f t="shared" ca="1" si="56"/>
        <v/>
      </c>
      <c r="T774" t="str">
        <f>IF(E774="USD",F774,IF(E774="CRC",F774/CONFIG!$B$5,""))</f>
        <v/>
      </c>
      <c r="U774" t="str">
        <f t="shared" si="57"/>
        <v/>
      </c>
      <c r="V774" t="str">
        <f t="shared" ca="1" si="58"/>
        <v/>
      </c>
      <c r="W774" t="str">
        <f t="shared" ca="1" si="59"/>
        <v/>
      </c>
    </row>
    <row r="775" spans="17:23" x14ac:dyDescent="0.25">
      <c r="Q775">
        <f>IF(E775="USD",CONFIG!$B$5,1)</f>
        <v>1</v>
      </c>
      <c r="R775" t="str">
        <f t="shared" si="60"/>
        <v>✗ ERROR: Revisa datos</v>
      </c>
      <c r="S775" t="str">
        <f t="shared" ref="S775:S838" ca="1" si="61">IF(A775&lt;&gt;"",TODAY()-A775,"")</f>
        <v/>
      </c>
      <c r="T775" t="str">
        <f>IF(E775="USD",F775,IF(E775="CRC",F775/CONFIG!$B$5,""))</f>
        <v/>
      </c>
      <c r="U775" t="str">
        <f t="shared" ref="U775:U838" si="62">IF(A775&lt;&gt;"",A775+30,"")</f>
        <v/>
      </c>
      <c r="V775" t="str">
        <f t="shared" ref="V775:V838" ca="1" si="63">IF(AND(C775="CxP",S775&gt;60),"Alta",IF(AND(C775="CxP",S775&gt;30),"Media",IF(C775="CxP","Baja","")))</f>
        <v/>
      </c>
      <c r="W775" t="str">
        <f t="shared" ref="W775:W838" ca="1" si="64">IF(AND(C775="CxC",S775&gt;90),"Alta",IF(AND(C775="CxC",S775&gt;60),"Media",IF(C775="CxC","Baja","")))</f>
        <v/>
      </c>
    </row>
    <row r="776" spans="17:23" x14ac:dyDescent="0.25">
      <c r="Q776">
        <f>IF(E776="USD",CONFIG!$B$5,1)</f>
        <v>1</v>
      </c>
      <c r="R776" t="str">
        <f t="shared" si="60"/>
        <v>✗ ERROR: Revisa datos</v>
      </c>
      <c r="S776" t="str">
        <f t="shared" ca="1" si="61"/>
        <v/>
      </c>
      <c r="T776" t="str">
        <f>IF(E776="USD",F776,IF(E776="CRC",F776/CONFIG!$B$5,""))</f>
        <v/>
      </c>
      <c r="U776" t="str">
        <f t="shared" si="62"/>
        <v/>
      </c>
      <c r="V776" t="str">
        <f t="shared" ca="1" si="63"/>
        <v/>
      </c>
      <c r="W776" t="str">
        <f t="shared" ca="1" si="64"/>
        <v/>
      </c>
    </row>
    <row r="777" spans="17:23" x14ac:dyDescent="0.25">
      <c r="Q777">
        <f>IF(E777="USD",CONFIG!$B$5,1)</f>
        <v>1</v>
      </c>
      <c r="R777" t="str">
        <f t="shared" si="60"/>
        <v>✗ ERROR: Revisa datos</v>
      </c>
      <c r="S777" t="str">
        <f t="shared" ca="1" si="61"/>
        <v/>
      </c>
      <c r="T777" t="str">
        <f>IF(E777="USD",F777,IF(E777="CRC",F777/CONFIG!$B$5,""))</f>
        <v/>
      </c>
      <c r="U777" t="str">
        <f t="shared" si="62"/>
        <v/>
      </c>
      <c r="V777" t="str">
        <f t="shared" ca="1" si="63"/>
        <v/>
      </c>
      <c r="W777" t="str">
        <f t="shared" ca="1" si="64"/>
        <v/>
      </c>
    </row>
    <row r="778" spans="17:23" x14ac:dyDescent="0.25">
      <c r="Q778">
        <f>IF(E778="USD",CONFIG!$B$5,1)</f>
        <v>1</v>
      </c>
      <c r="R778" t="str">
        <f t="shared" si="60"/>
        <v>✗ ERROR: Revisa datos</v>
      </c>
      <c r="S778" t="str">
        <f t="shared" ca="1" si="61"/>
        <v/>
      </c>
      <c r="T778" t="str">
        <f>IF(E778="USD",F778,IF(E778="CRC",F778/CONFIG!$B$5,""))</f>
        <v/>
      </c>
      <c r="U778" t="str">
        <f t="shared" si="62"/>
        <v/>
      </c>
      <c r="V778" t="str">
        <f t="shared" ca="1" si="63"/>
        <v/>
      </c>
      <c r="W778" t="str">
        <f t="shared" ca="1" si="64"/>
        <v/>
      </c>
    </row>
    <row r="779" spans="17:23" x14ac:dyDescent="0.25">
      <c r="Q779">
        <f>IF(E779="USD",CONFIG!$B$5,1)</f>
        <v>1</v>
      </c>
      <c r="R779" t="str">
        <f t="shared" si="60"/>
        <v>✗ ERROR: Revisa datos</v>
      </c>
      <c r="S779" t="str">
        <f t="shared" ca="1" si="61"/>
        <v/>
      </c>
      <c r="T779" t="str">
        <f>IF(E779="USD",F779,IF(E779="CRC",F779/CONFIG!$B$5,""))</f>
        <v/>
      </c>
      <c r="U779" t="str">
        <f t="shared" si="62"/>
        <v/>
      </c>
      <c r="V779" t="str">
        <f t="shared" ca="1" si="63"/>
        <v/>
      </c>
      <c r="W779" t="str">
        <f t="shared" ca="1" si="64"/>
        <v/>
      </c>
    </row>
    <row r="780" spans="17:23" x14ac:dyDescent="0.25">
      <c r="Q780">
        <f>IF(E780="USD",CONFIG!$B$5,1)</f>
        <v>1</v>
      </c>
      <c r="R780" t="str">
        <f t="shared" si="60"/>
        <v>✗ ERROR: Revisa datos</v>
      </c>
      <c r="S780" t="str">
        <f t="shared" ca="1" si="61"/>
        <v/>
      </c>
      <c r="T780" t="str">
        <f>IF(E780="USD",F780,IF(E780="CRC",F780/CONFIG!$B$5,""))</f>
        <v/>
      </c>
      <c r="U780" t="str">
        <f t="shared" si="62"/>
        <v/>
      </c>
      <c r="V780" t="str">
        <f t="shared" ca="1" si="63"/>
        <v/>
      </c>
      <c r="W780" t="str">
        <f t="shared" ca="1" si="64"/>
        <v/>
      </c>
    </row>
    <row r="781" spans="17:23" x14ac:dyDescent="0.25">
      <c r="Q781">
        <f>IF(E781="USD",CONFIG!$B$5,1)</f>
        <v>1</v>
      </c>
      <c r="R781" t="str">
        <f t="shared" si="60"/>
        <v>✗ ERROR: Revisa datos</v>
      </c>
      <c r="S781" t="str">
        <f t="shared" ca="1" si="61"/>
        <v/>
      </c>
      <c r="T781" t="str">
        <f>IF(E781="USD",F781,IF(E781="CRC",F781/CONFIG!$B$5,""))</f>
        <v/>
      </c>
      <c r="U781" t="str">
        <f t="shared" si="62"/>
        <v/>
      </c>
      <c r="V781" t="str">
        <f t="shared" ca="1" si="63"/>
        <v/>
      </c>
      <c r="W781" t="str">
        <f t="shared" ca="1" si="64"/>
        <v/>
      </c>
    </row>
    <row r="782" spans="17:23" x14ac:dyDescent="0.25">
      <c r="Q782">
        <f>IF(E782="USD",CONFIG!$B$5,1)</f>
        <v>1</v>
      </c>
      <c r="R782" t="str">
        <f t="shared" si="60"/>
        <v>✗ ERROR: Revisa datos</v>
      </c>
      <c r="S782" t="str">
        <f t="shared" ca="1" si="61"/>
        <v/>
      </c>
      <c r="T782" t="str">
        <f>IF(E782="USD",F782,IF(E782="CRC",F782/CONFIG!$B$5,""))</f>
        <v/>
      </c>
      <c r="U782" t="str">
        <f t="shared" si="62"/>
        <v/>
      </c>
      <c r="V782" t="str">
        <f t="shared" ca="1" si="63"/>
        <v/>
      </c>
      <c r="W782" t="str">
        <f t="shared" ca="1" si="64"/>
        <v/>
      </c>
    </row>
    <row r="783" spans="17:23" x14ac:dyDescent="0.25">
      <c r="Q783">
        <f>IF(E783="USD",CONFIG!$B$5,1)</f>
        <v>1</v>
      </c>
      <c r="R783" t="str">
        <f t="shared" si="60"/>
        <v>✗ ERROR: Revisa datos</v>
      </c>
      <c r="S783" t="str">
        <f t="shared" ca="1" si="61"/>
        <v/>
      </c>
      <c r="T783" t="str">
        <f>IF(E783="USD",F783,IF(E783="CRC",F783/CONFIG!$B$5,""))</f>
        <v/>
      </c>
      <c r="U783" t="str">
        <f t="shared" si="62"/>
        <v/>
      </c>
      <c r="V783" t="str">
        <f t="shared" ca="1" si="63"/>
        <v/>
      </c>
      <c r="W783" t="str">
        <f t="shared" ca="1" si="64"/>
        <v/>
      </c>
    </row>
    <row r="784" spans="17:23" x14ac:dyDescent="0.25">
      <c r="Q784">
        <f>IF(E784="USD",CONFIG!$B$5,1)</f>
        <v>1</v>
      </c>
      <c r="R784" t="str">
        <f t="shared" si="60"/>
        <v>✗ ERROR: Revisa datos</v>
      </c>
      <c r="S784" t="str">
        <f t="shared" ca="1" si="61"/>
        <v/>
      </c>
      <c r="T784" t="str">
        <f>IF(E784="USD",F784,IF(E784="CRC",F784/CONFIG!$B$5,""))</f>
        <v/>
      </c>
      <c r="U784" t="str">
        <f t="shared" si="62"/>
        <v/>
      </c>
      <c r="V784" t="str">
        <f t="shared" ca="1" si="63"/>
        <v/>
      </c>
      <c r="W784" t="str">
        <f t="shared" ca="1" si="64"/>
        <v/>
      </c>
    </row>
    <row r="785" spans="17:23" x14ac:dyDescent="0.25">
      <c r="Q785">
        <f>IF(E785="USD",CONFIG!$B$5,1)</f>
        <v>1</v>
      </c>
      <c r="R785" t="str">
        <f t="shared" si="60"/>
        <v>✗ ERROR: Revisa datos</v>
      </c>
      <c r="S785" t="str">
        <f t="shared" ca="1" si="61"/>
        <v/>
      </c>
      <c r="T785" t="str">
        <f>IF(E785="USD",F785,IF(E785="CRC",F785/CONFIG!$B$5,""))</f>
        <v/>
      </c>
      <c r="U785" t="str">
        <f t="shared" si="62"/>
        <v/>
      </c>
      <c r="V785" t="str">
        <f t="shared" ca="1" si="63"/>
        <v/>
      </c>
      <c r="W785" t="str">
        <f t="shared" ca="1" si="64"/>
        <v/>
      </c>
    </row>
    <row r="786" spans="17:23" x14ac:dyDescent="0.25">
      <c r="Q786">
        <f>IF(E786="USD",CONFIG!$B$5,1)</f>
        <v>1</v>
      </c>
      <c r="R786" t="str">
        <f t="shared" si="60"/>
        <v>✗ ERROR: Revisa datos</v>
      </c>
      <c r="S786" t="str">
        <f t="shared" ca="1" si="61"/>
        <v/>
      </c>
      <c r="T786" t="str">
        <f>IF(E786="USD",F786,IF(E786="CRC",F786/CONFIG!$B$5,""))</f>
        <v/>
      </c>
      <c r="U786" t="str">
        <f t="shared" si="62"/>
        <v/>
      </c>
      <c r="V786" t="str">
        <f t="shared" ca="1" si="63"/>
        <v/>
      </c>
      <c r="W786" t="str">
        <f t="shared" ca="1" si="64"/>
        <v/>
      </c>
    </row>
    <row r="787" spans="17:23" x14ac:dyDescent="0.25">
      <c r="Q787">
        <f>IF(E787="USD",CONFIG!$B$5,1)</f>
        <v>1</v>
      </c>
      <c r="R787" t="str">
        <f t="shared" si="60"/>
        <v>✗ ERROR: Revisa datos</v>
      </c>
      <c r="S787" t="str">
        <f t="shared" ca="1" si="61"/>
        <v/>
      </c>
      <c r="T787" t="str">
        <f>IF(E787="USD",F787,IF(E787="CRC",F787/CONFIG!$B$5,""))</f>
        <v/>
      </c>
      <c r="U787" t="str">
        <f t="shared" si="62"/>
        <v/>
      </c>
      <c r="V787" t="str">
        <f t="shared" ca="1" si="63"/>
        <v/>
      </c>
      <c r="W787" t="str">
        <f t="shared" ca="1" si="64"/>
        <v/>
      </c>
    </row>
    <row r="788" spans="17:23" x14ac:dyDescent="0.25">
      <c r="Q788">
        <f>IF(E788="USD",CONFIG!$B$5,1)</f>
        <v>1</v>
      </c>
      <c r="R788" t="str">
        <f t="shared" si="60"/>
        <v>✗ ERROR: Revisa datos</v>
      </c>
      <c r="S788" t="str">
        <f t="shared" ca="1" si="61"/>
        <v/>
      </c>
      <c r="T788" t="str">
        <f>IF(E788="USD",F788,IF(E788="CRC",F788/CONFIG!$B$5,""))</f>
        <v/>
      </c>
      <c r="U788" t="str">
        <f t="shared" si="62"/>
        <v/>
      </c>
      <c r="V788" t="str">
        <f t="shared" ca="1" si="63"/>
        <v/>
      </c>
      <c r="W788" t="str">
        <f t="shared" ca="1" si="64"/>
        <v/>
      </c>
    </row>
    <row r="789" spans="17:23" x14ac:dyDescent="0.25">
      <c r="Q789">
        <f>IF(E789="USD",CONFIG!$B$5,1)</f>
        <v>1</v>
      </c>
      <c r="R789" t="str">
        <f t="shared" si="60"/>
        <v>✗ ERROR: Revisa datos</v>
      </c>
      <c r="S789" t="str">
        <f t="shared" ca="1" si="61"/>
        <v/>
      </c>
      <c r="T789" t="str">
        <f>IF(E789="USD",F789,IF(E789="CRC",F789/CONFIG!$B$5,""))</f>
        <v/>
      </c>
      <c r="U789" t="str">
        <f t="shared" si="62"/>
        <v/>
      </c>
      <c r="V789" t="str">
        <f t="shared" ca="1" si="63"/>
        <v/>
      </c>
      <c r="W789" t="str">
        <f t="shared" ca="1" si="64"/>
        <v/>
      </c>
    </row>
    <row r="790" spans="17:23" x14ac:dyDescent="0.25">
      <c r="Q790">
        <f>IF(E790="USD",CONFIG!$B$5,1)</f>
        <v>1</v>
      </c>
      <c r="R790" t="str">
        <f t="shared" si="60"/>
        <v>✗ ERROR: Revisa datos</v>
      </c>
      <c r="S790" t="str">
        <f t="shared" ca="1" si="61"/>
        <v/>
      </c>
      <c r="T790" t="str">
        <f>IF(E790="USD",F790,IF(E790="CRC",F790/CONFIG!$B$5,""))</f>
        <v/>
      </c>
      <c r="U790" t="str">
        <f t="shared" si="62"/>
        <v/>
      </c>
      <c r="V790" t="str">
        <f t="shared" ca="1" si="63"/>
        <v/>
      </c>
      <c r="W790" t="str">
        <f t="shared" ca="1" si="64"/>
        <v/>
      </c>
    </row>
    <row r="791" spans="17:23" x14ac:dyDescent="0.25">
      <c r="Q791">
        <f>IF(E791="USD",CONFIG!$B$5,1)</f>
        <v>1</v>
      </c>
      <c r="R791" t="str">
        <f t="shared" si="60"/>
        <v>✗ ERROR: Revisa datos</v>
      </c>
      <c r="S791" t="str">
        <f t="shared" ca="1" si="61"/>
        <v/>
      </c>
      <c r="T791" t="str">
        <f>IF(E791="USD",F791,IF(E791="CRC",F791/CONFIG!$B$5,""))</f>
        <v/>
      </c>
      <c r="U791" t="str">
        <f t="shared" si="62"/>
        <v/>
      </c>
      <c r="V791" t="str">
        <f t="shared" ca="1" si="63"/>
        <v/>
      </c>
      <c r="W791" t="str">
        <f t="shared" ca="1" si="64"/>
        <v/>
      </c>
    </row>
    <row r="792" spans="17:23" x14ac:dyDescent="0.25">
      <c r="Q792">
        <f>IF(E792="USD",CONFIG!$B$5,1)</f>
        <v>1</v>
      </c>
      <c r="R792" t="str">
        <f t="shared" si="60"/>
        <v>✗ ERROR: Revisa datos</v>
      </c>
      <c r="S792" t="str">
        <f t="shared" ca="1" si="61"/>
        <v/>
      </c>
      <c r="T792" t="str">
        <f>IF(E792="USD",F792,IF(E792="CRC",F792/CONFIG!$B$5,""))</f>
        <v/>
      </c>
      <c r="U792" t="str">
        <f t="shared" si="62"/>
        <v/>
      </c>
      <c r="V792" t="str">
        <f t="shared" ca="1" si="63"/>
        <v/>
      </c>
      <c r="W792" t="str">
        <f t="shared" ca="1" si="64"/>
        <v/>
      </c>
    </row>
    <row r="793" spans="17:23" x14ac:dyDescent="0.25">
      <c r="Q793">
        <f>IF(E793="USD",CONFIG!$B$5,1)</f>
        <v>1</v>
      </c>
      <c r="R793" t="str">
        <f t="shared" si="60"/>
        <v>✗ ERROR: Revisa datos</v>
      </c>
      <c r="S793" t="str">
        <f t="shared" ca="1" si="61"/>
        <v/>
      </c>
      <c r="T793" t="str">
        <f>IF(E793="USD",F793,IF(E793="CRC",F793/CONFIG!$B$5,""))</f>
        <v/>
      </c>
      <c r="U793" t="str">
        <f t="shared" si="62"/>
        <v/>
      </c>
      <c r="V793" t="str">
        <f t="shared" ca="1" si="63"/>
        <v/>
      </c>
      <c r="W793" t="str">
        <f t="shared" ca="1" si="64"/>
        <v/>
      </c>
    </row>
    <row r="794" spans="17:23" x14ac:dyDescent="0.25">
      <c r="Q794">
        <f>IF(E794="USD",CONFIG!$B$5,1)</f>
        <v>1</v>
      </c>
      <c r="R794" t="str">
        <f t="shared" si="60"/>
        <v>✗ ERROR: Revisa datos</v>
      </c>
      <c r="S794" t="str">
        <f t="shared" ca="1" si="61"/>
        <v/>
      </c>
      <c r="T794" t="str">
        <f>IF(E794="USD",F794,IF(E794="CRC",F794/CONFIG!$B$5,""))</f>
        <v/>
      </c>
      <c r="U794" t="str">
        <f t="shared" si="62"/>
        <v/>
      </c>
      <c r="V794" t="str">
        <f t="shared" ca="1" si="63"/>
        <v/>
      </c>
      <c r="W794" t="str">
        <f t="shared" ca="1" si="64"/>
        <v/>
      </c>
    </row>
    <row r="795" spans="17:23" x14ac:dyDescent="0.25">
      <c r="Q795">
        <f>IF(E795="USD",CONFIG!$B$5,1)</f>
        <v>1</v>
      </c>
      <c r="R795" t="str">
        <f t="shared" si="60"/>
        <v>✗ ERROR: Revisa datos</v>
      </c>
      <c r="S795" t="str">
        <f t="shared" ca="1" si="61"/>
        <v/>
      </c>
      <c r="T795" t="str">
        <f>IF(E795="USD",F795,IF(E795="CRC",F795/CONFIG!$B$5,""))</f>
        <v/>
      </c>
      <c r="U795" t="str">
        <f t="shared" si="62"/>
        <v/>
      </c>
      <c r="V795" t="str">
        <f t="shared" ca="1" si="63"/>
        <v/>
      </c>
      <c r="W795" t="str">
        <f t="shared" ca="1" si="64"/>
        <v/>
      </c>
    </row>
    <row r="796" spans="17:23" x14ac:dyDescent="0.25">
      <c r="Q796">
        <f>IF(E796="USD",CONFIG!$B$5,1)</f>
        <v>1</v>
      </c>
      <c r="R796" t="str">
        <f t="shared" si="60"/>
        <v>✗ ERROR: Revisa datos</v>
      </c>
      <c r="S796" t="str">
        <f t="shared" ca="1" si="61"/>
        <v/>
      </c>
      <c r="T796" t="str">
        <f>IF(E796="USD",F796,IF(E796="CRC",F796/CONFIG!$B$5,""))</f>
        <v/>
      </c>
      <c r="U796" t="str">
        <f t="shared" si="62"/>
        <v/>
      </c>
      <c r="V796" t="str">
        <f t="shared" ca="1" si="63"/>
        <v/>
      </c>
      <c r="W796" t="str">
        <f t="shared" ca="1" si="64"/>
        <v/>
      </c>
    </row>
    <row r="797" spans="17:23" x14ac:dyDescent="0.25">
      <c r="Q797">
        <f>IF(E797="USD",CONFIG!$B$5,1)</f>
        <v>1</v>
      </c>
      <c r="R797" t="str">
        <f t="shared" si="60"/>
        <v>✗ ERROR: Revisa datos</v>
      </c>
      <c r="S797" t="str">
        <f t="shared" ca="1" si="61"/>
        <v/>
      </c>
      <c r="T797" t="str">
        <f>IF(E797="USD",F797,IF(E797="CRC",F797/CONFIG!$B$5,""))</f>
        <v/>
      </c>
      <c r="U797" t="str">
        <f t="shared" si="62"/>
        <v/>
      </c>
      <c r="V797" t="str">
        <f t="shared" ca="1" si="63"/>
        <v/>
      </c>
      <c r="W797" t="str">
        <f t="shared" ca="1" si="64"/>
        <v/>
      </c>
    </row>
    <row r="798" spans="17:23" x14ac:dyDescent="0.25">
      <c r="Q798">
        <f>IF(E798="USD",CONFIG!$B$5,1)</f>
        <v>1</v>
      </c>
      <c r="R798" t="str">
        <f t="shared" si="60"/>
        <v>✗ ERROR: Revisa datos</v>
      </c>
      <c r="S798" t="str">
        <f t="shared" ca="1" si="61"/>
        <v/>
      </c>
      <c r="T798" t="str">
        <f>IF(E798="USD",F798,IF(E798="CRC",F798/CONFIG!$B$5,""))</f>
        <v/>
      </c>
      <c r="U798" t="str">
        <f t="shared" si="62"/>
        <v/>
      </c>
      <c r="V798" t="str">
        <f t="shared" ca="1" si="63"/>
        <v/>
      </c>
      <c r="W798" t="str">
        <f t="shared" ca="1" si="64"/>
        <v/>
      </c>
    </row>
    <row r="799" spans="17:23" x14ac:dyDescent="0.25">
      <c r="Q799">
        <f>IF(E799="USD",CONFIG!$B$5,1)</f>
        <v>1</v>
      </c>
      <c r="R799" t="str">
        <f t="shared" si="60"/>
        <v>✗ ERROR: Revisa datos</v>
      </c>
      <c r="S799" t="str">
        <f t="shared" ca="1" si="61"/>
        <v/>
      </c>
      <c r="T799" t="str">
        <f>IF(E799="USD",F799,IF(E799="CRC",F799/CONFIG!$B$5,""))</f>
        <v/>
      </c>
      <c r="U799" t="str">
        <f t="shared" si="62"/>
        <v/>
      </c>
      <c r="V799" t="str">
        <f t="shared" ca="1" si="63"/>
        <v/>
      </c>
      <c r="W799" t="str">
        <f t="shared" ca="1" si="64"/>
        <v/>
      </c>
    </row>
    <row r="800" spans="17:23" x14ac:dyDescent="0.25">
      <c r="Q800">
        <f>IF(E800="USD",CONFIG!$B$5,1)</f>
        <v>1</v>
      </c>
      <c r="R800" t="str">
        <f t="shared" si="60"/>
        <v>✗ ERROR: Revisa datos</v>
      </c>
      <c r="S800" t="str">
        <f t="shared" ca="1" si="61"/>
        <v/>
      </c>
      <c r="T800" t="str">
        <f>IF(E800="USD",F800,IF(E800="CRC",F800/CONFIG!$B$5,""))</f>
        <v/>
      </c>
      <c r="U800" t="str">
        <f t="shared" si="62"/>
        <v/>
      </c>
      <c r="V800" t="str">
        <f t="shared" ca="1" si="63"/>
        <v/>
      </c>
      <c r="W800" t="str">
        <f t="shared" ca="1" si="64"/>
        <v/>
      </c>
    </row>
    <row r="801" spans="17:23" x14ac:dyDescent="0.25">
      <c r="Q801">
        <f>IF(E801="USD",CONFIG!$B$5,1)</f>
        <v>1</v>
      </c>
      <c r="R801" t="str">
        <f t="shared" si="60"/>
        <v>✗ ERROR: Revisa datos</v>
      </c>
      <c r="S801" t="str">
        <f t="shared" ca="1" si="61"/>
        <v/>
      </c>
      <c r="T801" t="str">
        <f>IF(E801="USD",F801,IF(E801="CRC",F801/CONFIG!$B$5,""))</f>
        <v/>
      </c>
      <c r="U801" t="str">
        <f t="shared" si="62"/>
        <v/>
      </c>
      <c r="V801" t="str">
        <f t="shared" ca="1" si="63"/>
        <v/>
      </c>
      <c r="W801" t="str">
        <f t="shared" ca="1" si="64"/>
        <v/>
      </c>
    </row>
    <row r="802" spans="17:23" x14ac:dyDescent="0.25">
      <c r="Q802">
        <f>IF(E802="USD",CONFIG!$B$5,1)</f>
        <v>1</v>
      </c>
      <c r="R802" t="str">
        <f t="shared" si="60"/>
        <v>✗ ERROR: Revisa datos</v>
      </c>
      <c r="S802" t="str">
        <f t="shared" ca="1" si="61"/>
        <v/>
      </c>
      <c r="T802" t="str">
        <f>IF(E802="USD",F802,IF(E802="CRC",F802/CONFIG!$B$5,""))</f>
        <v/>
      </c>
      <c r="U802" t="str">
        <f t="shared" si="62"/>
        <v/>
      </c>
      <c r="V802" t="str">
        <f t="shared" ca="1" si="63"/>
        <v/>
      </c>
      <c r="W802" t="str">
        <f t="shared" ca="1" si="64"/>
        <v/>
      </c>
    </row>
    <row r="803" spans="17:23" x14ac:dyDescent="0.25">
      <c r="Q803">
        <f>IF(E803="USD",CONFIG!$B$5,1)</f>
        <v>1</v>
      </c>
      <c r="R803" t="str">
        <f t="shared" si="60"/>
        <v>✗ ERROR: Revisa datos</v>
      </c>
      <c r="S803" t="str">
        <f t="shared" ca="1" si="61"/>
        <v/>
      </c>
      <c r="T803" t="str">
        <f>IF(E803="USD",F803,IF(E803="CRC",F803/CONFIG!$B$5,""))</f>
        <v/>
      </c>
      <c r="U803" t="str">
        <f t="shared" si="62"/>
        <v/>
      </c>
      <c r="V803" t="str">
        <f t="shared" ca="1" si="63"/>
        <v/>
      </c>
      <c r="W803" t="str">
        <f t="shared" ca="1" si="64"/>
        <v/>
      </c>
    </row>
    <row r="804" spans="17:23" x14ac:dyDescent="0.25">
      <c r="Q804">
        <f>IF(E804="USD",CONFIG!$B$5,1)</f>
        <v>1</v>
      </c>
      <c r="R804" t="str">
        <f t="shared" si="60"/>
        <v>✗ ERROR: Revisa datos</v>
      </c>
      <c r="S804" t="str">
        <f t="shared" ca="1" si="61"/>
        <v/>
      </c>
      <c r="T804" t="str">
        <f>IF(E804="USD",F804,IF(E804="CRC",F804/CONFIG!$B$5,""))</f>
        <v/>
      </c>
      <c r="U804" t="str">
        <f t="shared" si="62"/>
        <v/>
      </c>
      <c r="V804" t="str">
        <f t="shared" ca="1" si="63"/>
        <v/>
      </c>
      <c r="W804" t="str">
        <f t="shared" ca="1" si="64"/>
        <v/>
      </c>
    </row>
    <row r="805" spans="17:23" x14ac:dyDescent="0.25">
      <c r="Q805">
        <f>IF(E805="USD",CONFIG!$B$5,1)</f>
        <v>1</v>
      </c>
      <c r="R805" t="str">
        <f t="shared" si="60"/>
        <v>✗ ERROR: Revisa datos</v>
      </c>
      <c r="S805" t="str">
        <f t="shared" ca="1" si="61"/>
        <v/>
      </c>
      <c r="T805" t="str">
        <f>IF(E805="USD",F805,IF(E805="CRC",F805/CONFIG!$B$5,""))</f>
        <v/>
      </c>
      <c r="U805" t="str">
        <f t="shared" si="62"/>
        <v/>
      </c>
      <c r="V805" t="str">
        <f t="shared" ca="1" si="63"/>
        <v/>
      </c>
      <c r="W805" t="str">
        <f t="shared" ca="1" si="64"/>
        <v/>
      </c>
    </row>
    <row r="806" spans="17:23" x14ac:dyDescent="0.25">
      <c r="Q806">
        <f>IF(E806="USD",CONFIG!$B$5,1)</f>
        <v>1</v>
      </c>
      <c r="R806" t="str">
        <f t="shared" si="60"/>
        <v>✗ ERROR: Revisa datos</v>
      </c>
      <c r="S806" t="str">
        <f t="shared" ca="1" si="61"/>
        <v/>
      </c>
      <c r="T806" t="str">
        <f>IF(E806="USD",F806,IF(E806="CRC",F806/CONFIG!$B$5,""))</f>
        <v/>
      </c>
      <c r="U806" t="str">
        <f t="shared" si="62"/>
        <v/>
      </c>
      <c r="V806" t="str">
        <f t="shared" ca="1" si="63"/>
        <v/>
      </c>
      <c r="W806" t="str">
        <f t="shared" ca="1" si="64"/>
        <v/>
      </c>
    </row>
    <row r="807" spans="17:23" x14ac:dyDescent="0.25">
      <c r="Q807">
        <f>IF(E807="USD",CONFIG!$B$5,1)</f>
        <v>1</v>
      </c>
      <c r="R807" t="str">
        <f t="shared" si="60"/>
        <v>✗ ERROR: Revisa datos</v>
      </c>
      <c r="S807" t="str">
        <f t="shared" ca="1" si="61"/>
        <v/>
      </c>
      <c r="T807" t="str">
        <f>IF(E807="USD",F807,IF(E807="CRC",F807/CONFIG!$B$5,""))</f>
        <v/>
      </c>
      <c r="U807" t="str">
        <f t="shared" si="62"/>
        <v/>
      </c>
      <c r="V807" t="str">
        <f t="shared" ca="1" si="63"/>
        <v/>
      </c>
      <c r="W807" t="str">
        <f t="shared" ca="1" si="64"/>
        <v/>
      </c>
    </row>
    <row r="808" spans="17:23" x14ac:dyDescent="0.25">
      <c r="Q808">
        <f>IF(E808="USD",CONFIG!$B$5,1)</f>
        <v>1</v>
      </c>
      <c r="R808" t="str">
        <f t="shared" si="60"/>
        <v>✗ ERROR: Revisa datos</v>
      </c>
      <c r="S808" t="str">
        <f t="shared" ca="1" si="61"/>
        <v/>
      </c>
      <c r="T808" t="str">
        <f>IF(E808="USD",F808,IF(E808="CRC",F808/CONFIG!$B$5,""))</f>
        <v/>
      </c>
      <c r="U808" t="str">
        <f t="shared" si="62"/>
        <v/>
      </c>
      <c r="V808" t="str">
        <f t="shared" ca="1" si="63"/>
        <v/>
      </c>
      <c r="W808" t="str">
        <f t="shared" ca="1" si="64"/>
        <v/>
      </c>
    </row>
    <row r="809" spans="17:23" x14ac:dyDescent="0.25">
      <c r="Q809">
        <f>IF(E809="USD",CONFIG!$B$5,1)</f>
        <v>1</v>
      </c>
      <c r="R809" t="str">
        <f t="shared" si="60"/>
        <v>✗ ERROR: Revisa datos</v>
      </c>
      <c r="S809" t="str">
        <f t="shared" ca="1" si="61"/>
        <v/>
      </c>
      <c r="T809" t="str">
        <f>IF(E809="USD",F809,IF(E809="CRC",F809/CONFIG!$B$5,""))</f>
        <v/>
      </c>
      <c r="U809" t="str">
        <f t="shared" si="62"/>
        <v/>
      </c>
      <c r="V809" t="str">
        <f t="shared" ca="1" si="63"/>
        <v/>
      </c>
      <c r="W809" t="str">
        <f t="shared" ca="1" si="64"/>
        <v/>
      </c>
    </row>
    <row r="810" spans="17:23" x14ac:dyDescent="0.25">
      <c r="Q810">
        <f>IF(E810="USD",CONFIG!$B$5,1)</f>
        <v>1</v>
      </c>
      <c r="R810" t="str">
        <f t="shared" si="60"/>
        <v>✗ ERROR: Revisa datos</v>
      </c>
      <c r="S810" t="str">
        <f t="shared" ca="1" si="61"/>
        <v/>
      </c>
      <c r="T810" t="str">
        <f>IF(E810="USD",F810,IF(E810="CRC",F810/CONFIG!$B$5,""))</f>
        <v/>
      </c>
      <c r="U810" t="str">
        <f t="shared" si="62"/>
        <v/>
      </c>
      <c r="V810" t="str">
        <f t="shared" ca="1" si="63"/>
        <v/>
      </c>
      <c r="W810" t="str">
        <f t="shared" ca="1" si="64"/>
        <v/>
      </c>
    </row>
    <row r="811" spans="17:23" x14ac:dyDescent="0.25">
      <c r="Q811">
        <f>IF(E811="USD",CONFIG!$B$5,1)</f>
        <v>1</v>
      </c>
      <c r="R811" t="str">
        <f t="shared" si="60"/>
        <v>✗ ERROR: Revisa datos</v>
      </c>
      <c r="S811" t="str">
        <f t="shared" ca="1" si="61"/>
        <v/>
      </c>
      <c r="T811" t="str">
        <f>IF(E811="USD",F811,IF(E811="CRC",F811/CONFIG!$B$5,""))</f>
        <v/>
      </c>
      <c r="U811" t="str">
        <f t="shared" si="62"/>
        <v/>
      </c>
      <c r="V811" t="str">
        <f t="shared" ca="1" si="63"/>
        <v/>
      </c>
      <c r="W811" t="str">
        <f t="shared" ca="1" si="64"/>
        <v/>
      </c>
    </row>
    <row r="812" spans="17:23" x14ac:dyDescent="0.25">
      <c r="Q812">
        <f>IF(E812="USD",CONFIG!$B$5,1)</f>
        <v>1</v>
      </c>
      <c r="R812" t="str">
        <f t="shared" si="60"/>
        <v>✗ ERROR: Revisa datos</v>
      </c>
      <c r="S812" t="str">
        <f t="shared" ca="1" si="61"/>
        <v/>
      </c>
      <c r="T812" t="str">
        <f>IF(E812="USD",F812,IF(E812="CRC",F812/CONFIG!$B$5,""))</f>
        <v/>
      </c>
      <c r="U812" t="str">
        <f t="shared" si="62"/>
        <v/>
      </c>
      <c r="V812" t="str">
        <f t="shared" ca="1" si="63"/>
        <v/>
      </c>
      <c r="W812" t="str">
        <f t="shared" ca="1" si="64"/>
        <v/>
      </c>
    </row>
    <row r="813" spans="17:23" x14ac:dyDescent="0.25">
      <c r="Q813">
        <f>IF(E813="USD",CONFIG!$B$5,1)</f>
        <v>1</v>
      </c>
      <c r="R813" t="str">
        <f t="shared" si="60"/>
        <v>✗ ERROR: Revisa datos</v>
      </c>
      <c r="S813" t="str">
        <f t="shared" ca="1" si="61"/>
        <v/>
      </c>
      <c r="T813" t="str">
        <f>IF(E813="USD",F813,IF(E813="CRC",F813/CONFIG!$B$5,""))</f>
        <v/>
      </c>
      <c r="U813" t="str">
        <f t="shared" si="62"/>
        <v/>
      </c>
      <c r="V813" t="str">
        <f t="shared" ca="1" si="63"/>
        <v/>
      </c>
      <c r="W813" t="str">
        <f t="shared" ca="1" si="64"/>
        <v/>
      </c>
    </row>
    <row r="814" spans="17:23" x14ac:dyDescent="0.25">
      <c r="Q814">
        <f>IF(E814="USD",CONFIG!$B$5,1)</f>
        <v>1</v>
      </c>
      <c r="R814" t="str">
        <f t="shared" si="60"/>
        <v>✗ ERROR: Revisa datos</v>
      </c>
      <c r="S814" t="str">
        <f t="shared" ca="1" si="61"/>
        <v/>
      </c>
      <c r="T814" t="str">
        <f>IF(E814="USD",F814,IF(E814="CRC",F814/CONFIG!$B$5,""))</f>
        <v/>
      </c>
      <c r="U814" t="str">
        <f t="shared" si="62"/>
        <v/>
      </c>
      <c r="V814" t="str">
        <f t="shared" ca="1" si="63"/>
        <v/>
      </c>
      <c r="W814" t="str">
        <f t="shared" ca="1" si="64"/>
        <v/>
      </c>
    </row>
    <row r="815" spans="17:23" x14ac:dyDescent="0.25">
      <c r="Q815">
        <f>IF(E815="USD",CONFIG!$B$5,1)</f>
        <v>1</v>
      </c>
      <c r="R815" t="str">
        <f t="shared" si="60"/>
        <v>✗ ERROR: Revisa datos</v>
      </c>
      <c r="S815" t="str">
        <f t="shared" ca="1" si="61"/>
        <v/>
      </c>
      <c r="T815" t="str">
        <f>IF(E815="USD",F815,IF(E815="CRC",F815/CONFIG!$B$5,""))</f>
        <v/>
      </c>
      <c r="U815" t="str">
        <f t="shared" si="62"/>
        <v/>
      </c>
      <c r="V815" t="str">
        <f t="shared" ca="1" si="63"/>
        <v/>
      </c>
      <c r="W815" t="str">
        <f t="shared" ca="1" si="64"/>
        <v/>
      </c>
    </row>
    <row r="816" spans="17:23" x14ac:dyDescent="0.25">
      <c r="Q816">
        <f>IF(E816="USD",CONFIG!$B$5,1)</f>
        <v>1</v>
      </c>
      <c r="R816" t="str">
        <f t="shared" si="60"/>
        <v>✗ ERROR: Revisa datos</v>
      </c>
      <c r="S816" t="str">
        <f t="shared" ca="1" si="61"/>
        <v/>
      </c>
      <c r="T816" t="str">
        <f>IF(E816="USD",F816,IF(E816="CRC",F816/CONFIG!$B$5,""))</f>
        <v/>
      </c>
      <c r="U816" t="str">
        <f t="shared" si="62"/>
        <v/>
      </c>
      <c r="V816" t="str">
        <f t="shared" ca="1" si="63"/>
        <v/>
      </c>
      <c r="W816" t="str">
        <f t="shared" ca="1" si="64"/>
        <v/>
      </c>
    </row>
    <row r="817" spans="17:23" x14ac:dyDescent="0.25">
      <c r="Q817">
        <f>IF(E817="USD",CONFIG!$B$5,1)</f>
        <v>1</v>
      </c>
      <c r="R817" t="str">
        <f t="shared" si="60"/>
        <v>✗ ERROR: Revisa datos</v>
      </c>
      <c r="S817" t="str">
        <f t="shared" ca="1" si="61"/>
        <v/>
      </c>
      <c r="T817" t="str">
        <f>IF(E817="USD",F817,IF(E817="CRC",F817/CONFIG!$B$5,""))</f>
        <v/>
      </c>
      <c r="U817" t="str">
        <f t="shared" si="62"/>
        <v/>
      </c>
      <c r="V817" t="str">
        <f t="shared" ca="1" si="63"/>
        <v/>
      </c>
      <c r="W817" t="str">
        <f t="shared" ca="1" si="64"/>
        <v/>
      </c>
    </row>
    <row r="818" spans="17:23" x14ac:dyDescent="0.25">
      <c r="Q818">
        <f>IF(E818="USD",CONFIG!$B$5,1)</f>
        <v>1</v>
      </c>
      <c r="R818" t="str">
        <f t="shared" si="60"/>
        <v>✗ ERROR: Revisa datos</v>
      </c>
      <c r="S818" t="str">
        <f t="shared" ca="1" si="61"/>
        <v/>
      </c>
      <c r="T818" t="str">
        <f>IF(E818="USD",F818,IF(E818="CRC",F818/CONFIG!$B$5,""))</f>
        <v/>
      </c>
      <c r="U818" t="str">
        <f t="shared" si="62"/>
        <v/>
      </c>
      <c r="V818" t="str">
        <f t="shared" ca="1" si="63"/>
        <v/>
      </c>
      <c r="W818" t="str">
        <f t="shared" ca="1" si="64"/>
        <v/>
      </c>
    </row>
    <row r="819" spans="17:23" x14ac:dyDescent="0.25">
      <c r="Q819">
        <f>IF(E819="USD",CONFIG!$B$5,1)</f>
        <v>1</v>
      </c>
      <c r="R819" t="str">
        <f t="shared" si="60"/>
        <v>✗ ERROR: Revisa datos</v>
      </c>
      <c r="S819" t="str">
        <f t="shared" ca="1" si="61"/>
        <v/>
      </c>
      <c r="T819" t="str">
        <f>IF(E819="USD",F819,IF(E819="CRC",F819/CONFIG!$B$5,""))</f>
        <v/>
      </c>
      <c r="U819" t="str">
        <f t="shared" si="62"/>
        <v/>
      </c>
      <c r="V819" t="str">
        <f t="shared" ca="1" si="63"/>
        <v/>
      </c>
      <c r="W819" t="str">
        <f t="shared" ca="1" si="64"/>
        <v/>
      </c>
    </row>
    <row r="820" spans="17:23" x14ac:dyDescent="0.25">
      <c r="Q820">
        <f>IF(E820="USD",CONFIG!$B$5,1)</f>
        <v>1</v>
      </c>
      <c r="R820" t="str">
        <f t="shared" si="60"/>
        <v>✗ ERROR: Revisa datos</v>
      </c>
      <c r="S820" t="str">
        <f t="shared" ca="1" si="61"/>
        <v/>
      </c>
      <c r="T820" t="str">
        <f>IF(E820="USD",F820,IF(E820="CRC",F820/CONFIG!$B$5,""))</f>
        <v/>
      </c>
      <c r="U820" t="str">
        <f t="shared" si="62"/>
        <v/>
      </c>
      <c r="V820" t="str">
        <f t="shared" ca="1" si="63"/>
        <v/>
      </c>
      <c r="W820" t="str">
        <f t="shared" ca="1" si="64"/>
        <v/>
      </c>
    </row>
    <row r="821" spans="17:23" x14ac:dyDescent="0.25">
      <c r="Q821">
        <f>IF(E821="USD",CONFIG!$B$5,1)</f>
        <v>1</v>
      </c>
      <c r="R821" t="str">
        <f t="shared" si="60"/>
        <v>✗ ERROR: Revisa datos</v>
      </c>
      <c r="S821" t="str">
        <f t="shared" ca="1" si="61"/>
        <v/>
      </c>
      <c r="T821" t="str">
        <f>IF(E821="USD",F821,IF(E821="CRC",F821/CONFIG!$B$5,""))</f>
        <v/>
      </c>
      <c r="U821" t="str">
        <f t="shared" si="62"/>
        <v/>
      </c>
      <c r="V821" t="str">
        <f t="shared" ca="1" si="63"/>
        <v/>
      </c>
      <c r="W821" t="str">
        <f t="shared" ca="1" si="64"/>
        <v/>
      </c>
    </row>
    <row r="822" spans="17:23" x14ac:dyDescent="0.25">
      <c r="Q822">
        <f>IF(E822="USD",CONFIG!$B$5,1)</f>
        <v>1</v>
      </c>
      <c r="R822" t="str">
        <f t="shared" si="60"/>
        <v>✗ ERROR: Revisa datos</v>
      </c>
      <c r="S822" t="str">
        <f t="shared" ca="1" si="61"/>
        <v/>
      </c>
      <c r="T822" t="str">
        <f>IF(E822="USD",F822,IF(E822="CRC",F822/CONFIG!$B$5,""))</f>
        <v/>
      </c>
      <c r="U822" t="str">
        <f t="shared" si="62"/>
        <v/>
      </c>
      <c r="V822" t="str">
        <f t="shared" ca="1" si="63"/>
        <v/>
      </c>
      <c r="W822" t="str">
        <f t="shared" ca="1" si="64"/>
        <v/>
      </c>
    </row>
    <row r="823" spans="17:23" x14ac:dyDescent="0.25">
      <c r="Q823">
        <f>IF(E823="USD",CONFIG!$B$5,1)</f>
        <v>1</v>
      </c>
      <c r="R823" t="str">
        <f t="shared" si="60"/>
        <v>✗ ERROR: Revisa datos</v>
      </c>
      <c r="S823" t="str">
        <f t="shared" ca="1" si="61"/>
        <v/>
      </c>
      <c r="T823" t="str">
        <f>IF(E823="USD",F823,IF(E823="CRC",F823/CONFIG!$B$5,""))</f>
        <v/>
      </c>
      <c r="U823" t="str">
        <f t="shared" si="62"/>
        <v/>
      </c>
      <c r="V823" t="str">
        <f t="shared" ca="1" si="63"/>
        <v/>
      </c>
      <c r="W823" t="str">
        <f t="shared" ca="1" si="64"/>
        <v/>
      </c>
    </row>
    <row r="824" spans="17:23" x14ac:dyDescent="0.25">
      <c r="Q824">
        <f>IF(E824="USD",CONFIG!$B$5,1)</f>
        <v>1</v>
      </c>
      <c r="R824" t="str">
        <f t="shared" si="60"/>
        <v>✗ ERROR: Revisa datos</v>
      </c>
      <c r="S824" t="str">
        <f t="shared" ca="1" si="61"/>
        <v/>
      </c>
      <c r="T824" t="str">
        <f>IF(E824="USD",F824,IF(E824="CRC",F824/CONFIG!$B$5,""))</f>
        <v/>
      </c>
      <c r="U824" t="str">
        <f t="shared" si="62"/>
        <v/>
      </c>
      <c r="V824" t="str">
        <f t="shared" ca="1" si="63"/>
        <v/>
      </c>
      <c r="W824" t="str">
        <f t="shared" ca="1" si="64"/>
        <v/>
      </c>
    </row>
    <row r="825" spans="17:23" x14ac:dyDescent="0.25">
      <c r="Q825">
        <f>IF(E825="USD",CONFIG!$B$5,1)</f>
        <v>1</v>
      </c>
      <c r="R825" t="str">
        <f t="shared" si="60"/>
        <v>✗ ERROR: Revisa datos</v>
      </c>
      <c r="S825" t="str">
        <f t="shared" ca="1" si="61"/>
        <v/>
      </c>
      <c r="T825" t="str">
        <f>IF(E825="USD",F825,IF(E825="CRC",F825/CONFIG!$B$5,""))</f>
        <v/>
      </c>
      <c r="U825" t="str">
        <f t="shared" si="62"/>
        <v/>
      </c>
      <c r="V825" t="str">
        <f t="shared" ca="1" si="63"/>
        <v/>
      </c>
      <c r="W825" t="str">
        <f t="shared" ca="1" si="64"/>
        <v/>
      </c>
    </row>
    <row r="826" spans="17:23" x14ac:dyDescent="0.25">
      <c r="Q826">
        <f>IF(E826="USD",CONFIG!$B$5,1)</f>
        <v>1</v>
      </c>
      <c r="R826" t="str">
        <f t="shared" si="60"/>
        <v>✗ ERROR: Revisa datos</v>
      </c>
      <c r="S826" t="str">
        <f t="shared" ca="1" si="61"/>
        <v/>
      </c>
      <c r="T826" t="str">
        <f>IF(E826="USD",F826,IF(E826="CRC",F826/CONFIG!$B$5,""))</f>
        <v/>
      </c>
      <c r="U826" t="str">
        <f t="shared" si="62"/>
        <v/>
      </c>
      <c r="V826" t="str">
        <f t="shared" ca="1" si="63"/>
        <v/>
      </c>
      <c r="W826" t="str">
        <f t="shared" ca="1" si="64"/>
        <v/>
      </c>
    </row>
    <row r="827" spans="17:23" x14ac:dyDescent="0.25">
      <c r="Q827">
        <f>IF(E827="USD",CONFIG!$B$5,1)</f>
        <v>1</v>
      </c>
      <c r="R827" t="str">
        <f t="shared" si="60"/>
        <v>✗ ERROR: Revisa datos</v>
      </c>
      <c r="S827" t="str">
        <f t="shared" ca="1" si="61"/>
        <v/>
      </c>
      <c r="T827" t="str">
        <f>IF(E827="USD",F827,IF(E827="CRC",F827/CONFIG!$B$5,""))</f>
        <v/>
      </c>
      <c r="U827" t="str">
        <f t="shared" si="62"/>
        <v/>
      </c>
      <c r="V827" t="str">
        <f t="shared" ca="1" si="63"/>
        <v/>
      </c>
      <c r="W827" t="str">
        <f t="shared" ca="1" si="64"/>
        <v/>
      </c>
    </row>
    <row r="828" spans="17:23" x14ac:dyDescent="0.25">
      <c r="Q828">
        <f>IF(E828="USD",CONFIG!$B$5,1)</f>
        <v>1</v>
      </c>
      <c r="R828" t="str">
        <f t="shared" si="60"/>
        <v>✗ ERROR: Revisa datos</v>
      </c>
      <c r="S828" t="str">
        <f t="shared" ca="1" si="61"/>
        <v/>
      </c>
      <c r="T828" t="str">
        <f>IF(E828="USD",F828,IF(E828="CRC",F828/CONFIG!$B$5,""))</f>
        <v/>
      </c>
      <c r="U828" t="str">
        <f t="shared" si="62"/>
        <v/>
      </c>
      <c r="V828" t="str">
        <f t="shared" ca="1" si="63"/>
        <v/>
      </c>
      <c r="W828" t="str">
        <f t="shared" ca="1" si="64"/>
        <v/>
      </c>
    </row>
    <row r="829" spans="17:23" x14ac:dyDescent="0.25">
      <c r="Q829">
        <f>IF(E829="USD",CONFIG!$B$5,1)</f>
        <v>1</v>
      </c>
      <c r="R829" t="str">
        <f t="shared" si="60"/>
        <v>✗ ERROR: Revisa datos</v>
      </c>
      <c r="S829" t="str">
        <f t="shared" ca="1" si="61"/>
        <v/>
      </c>
      <c r="T829" t="str">
        <f>IF(E829="USD",F829,IF(E829="CRC",F829/CONFIG!$B$5,""))</f>
        <v/>
      </c>
      <c r="U829" t="str">
        <f t="shared" si="62"/>
        <v/>
      </c>
      <c r="V829" t="str">
        <f t="shared" ca="1" si="63"/>
        <v/>
      </c>
      <c r="W829" t="str">
        <f t="shared" ca="1" si="64"/>
        <v/>
      </c>
    </row>
    <row r="830" spans="17:23" x14ac:dyDescent="0.25">
      <c r="Q830">
        <f>IF(E830="USD",CONFIG!$B$5,1)</f>
        <v>1</v>
      </c>
      <c r="R830" t="str">
        <f t="shared" si="60"/>
        <v>✗ ERROR: Revisa datos</v>
      </c>
      <c r="S830" t="str">
        <f t="shared" ca="1" si="61"/>
        <v/>
      </c>
      <c r="T830" t="str">
        <f>IF(E830="USD",F830,IF(E830="CRC",F830/CONFIG!$B$5,""))</f>
        <v/>
      </c>
      <c r="U830" t="str">
        <f t="shared" si="62"/>
        <v/>
      </c>
      <c r="V830" t="str">
        <f t="shared" ca="1" si="63"/>
        <v/>
      </c>
      <c r="W830" t="str">
        <f t="shared" ca="1" si="64"/>
        <v/>
      </c>
    </row>
    <row r="831" spans="17:23" x14ac:dyDescent="0.25">
      <c r="Q831">
        <f>IF(E831="USD",CONFIG!$B$5,1)</f>
        <v>1</v>
      </c>
      <c r="R831" t="str">
        <f t="shared" si="60"/>
        <v>✗ ERROR: Revisa datos</v>
      </c>
      <c r="S831" t="str">
        <f t="shared" ca="1" si="61"/>
        <v/>
      </c>
      <c r="T831" t="str">
        <f>IF(E831="USD",F831,IF(E831="CRC",F831/CONFIG!$B$5,""))</f>
        <v/>
      </c>
      <c r="U831" t="str">
        <f t="shared" si="62"/>
        <v/>
      </c>
      <c r="V831" t="str">
        <f t="shared" ca="1" si="63"/>
        <v/>
      </c>
      <c r="W831" t="str">
        <f t="shared" ca="1" si="64"/>
        <v/>
      </c>
    </row>
    <row r="832" spans="17:23" x14ac:dyDescent="0.25">
      <c r="Q832">
        <f>IF(E832="USD",CONFIG!$B$5,1)</f>
        <v>1</v>
      </c>
      <c r="R832" t="str">
        <f t="shared" si="60"/>
        <v>✗ ERROR: Revisa datos</v>
      </c>
      <c r="S832" t="str">
        <f t="shared" ca="1" si="61"/>
        <v/>
      </c>
      <c r="T832" t="str">
        <f>IF(E832="USD",F832,IF(E832="CRC",F832/CONFIG!$B$5,""))</f>
        <v/>
      </c>
      <c r="U832" t="str">
        <f t="shared" si="62"/>
        <v/>
      </c>
      <c r="V832" t="str">
        <f t="shared" ca="1" si="63"/>
        <v/>
      </c>
      <c r="W832" t="str">
        <f t="shared" ca="1" si="64"/>
        <v/>
      </c>
    </row>
    <row r="833" spans="17:23" x14ac:dyDescent="0.25">
      <c r="Q833">
        <f>IF(E833="USD",CONFIG!$B$5,1)</f>
        <v>1</v>
      </c>
      <c r="R833" t="str">
        <f t="shared" si="60"/>
        <v>✗ ERROR: Revisa datos</v>
      </c>
      <c r="S833" t="str">
        <f t="shared" ca="1" si="61"/>
        <v/>
      </c>
      <c r="T833" t="str">
        <f>IF(E833="USD",F833,IF(E833="CRC",F833/CONFIG!$B$5,""))</f>
        <v/>
      </c>
      <c r="U833" t="str">
        <f t="shared" si="62"/>
        <v/>
      </c>
      <c r="V833" t="str">
        <f t="shared" ca="1" si="63"/>
        <v/>
      </c>
      <c r="W833" t="str">
        <f t="shared" ca="1" si="64"/>
        <v/>
      </c>
    </row>
    <row r="834" spans="17:23" x14ac:dyDescent="0.25">
      <c r="Q834">
        <f>IF(E834="USD",CONFIG!$B$5,1)</f>
        <v>1</v>
      </c>
      <c r="R834" t="str">
        <f t="shared" si="60"/>
        <v>✗ ERROR: Revisa datos</v>
      </c>
      <c r="S834" t="str">
        <f t="shared" ca="1" si="61"/>
        <v/>
      </c>
      <c r="T834" t="str">
        <f>IF(E834="USD",F834,IF(E834="CRC",F834/CONFIG!$B$5,""))</f>
        <v/>
      </c>
      <c r="U834" t="str">
        <f t="shared" si="62"/>
        <v/>
      </c>
      <c r="V834" t="str">
        <f t="shared" ca="1" si="63"/>
        <v/>
      </c>
      <c r="W834" t="str">
        <f t="shared" ca="1" si="64"/>
        <v/>
      </c>
    </row>
    <row r="835" spans="17:23" x14ac:dyDescent="0.25">
      <c r="Q835">
        <f>IF(E835="USD",CONFIG!$B$5,1)</f>
        <v>1</v>
      </c>
      <c r="R835" t="str">
        <f t="shared" ref="R835:R898" si="65">IF(AND(A835&lt;&gt;"",ISNUMBER(A835),B835&lt;&gt;"",C835&lt;&gt;"",OR(E835="USD",E835="CRC"),F835&gt;0,ISNUMBER(Q835),Q835&gt;0),"✓ OK","✗ ERROR: Revisa datos")</f>
        <v>✗ ERROR: Revisa datos</v>
      </c>
      <c r="S835" t="str">
        <f t="shared" ca="1" si="61"/>
        <v/>
      </c>
      <c r="T835" t="str">
        <f>IF(E835="USD",F835,IF(E835="CRC",F835/CONFIG!$B$5,""))</f>
        <v/>
      </c>
      <c r="U835" t="str">
        <f t="shared" si="62"/>
        <v/>
      </c>
      <c r="V835" t="str">
        <f t="shared" ca="1" si="63"/>
        <v/>
      </c>
      <c r="W835" t="str">
        <f t="shared" ca="1" si="64"/>
        <v/>
      </c>
    </row>
    <row r="836" spans="17:23" x14ac:dyDescent="0.25">
      <c r="Q836">
        <f>IF(E836="USD",CONFIG!$B$5,1)</f>
        <v>1</v>
      </c>
      <c r="R836" t="str">
        <f t="shared" si="65"/>
        <v>✗ ERROR: Revisa datos</v>
      </c>
      <c r="S836" t="str">
        <f t="shared" ca="1" si="61"/>
        <v/>
      </c>
      <c r="T836" t="str">
        <f>IF(E836="USD",F836,IF(E836="CRC",F836/CONFIG!$B$5,""))</f>
        <v/>
      </c>
      <c r="U836" t="str">
        <f t="shared" si="62"/>
        <v/>
      </c>
      <c r="V836" t="str">
        <f t="shared" ca="1" si="63"/>
        <v/>
      </c>
      <c r="W836" t="str">
        <f t="shared" ca="1" si="64"/>
        <v/>
      </c>
    </row>
    <row r="837" spans="17:23" x14ac:dyDescent="0.25">
      <c r="Q837">
        <f>IF(E837="USD",CONFIG!$B$5,1)</f>
        <v>1</v>
      </c>
      <c r="R837" t="str">
        <f t="shared" si="65"/>
        <v>✗ ERROR: Revisa datos</v>
      </c>
      <c r="S837" t="str">
        <f t="shared" ca="1" si="61"/>
        <v/>
      </c>
      <c r="T837" t="str">
        <f>IF(E837="USD",F837,IF(E837="CRC",F837/CONFIG!$B$5,""))</f>
        <v/>
      </c>
      <c r="U837" t="str">
        <f t="shared" si="62"/>
        <v/>
      </c>
      <c r="V837" t="str">
        <f t="shared" ca="1" si="63"/>
        <v/>
      </c>
      <c r="W837" t="str">
        <f t="shared" ca="1" si="64"/>
        <v/>
      </c>
    </row>
    <row r="838" spans="17:23" x14ac:dyDescent="0.25">
      <c r="Q838">
        <f>IF(E838="USD",CONFIG!$B$5,1)</f>
        <v>1</v>
      </c>
      <c r="R838" t="str">
        <f t="shared" si="65"/>
        <v>✗ ERROR: Revisa datos</v>
      </c>
      <c r="S838" t="str">
        <f t="shared" ca="1" si="61"/>
        <v/>
      </c>
      <c r="T838" t="str">
        <f>IF(E838="USD",F838,IF(E838="CRC",F838/CONFIG!$B$5,""))</f>
        <v/>
      </c>
      <c r="U838" t="str">
        <f t="shared" si="62"/>
        <v/>
      </c>
      <c r="V838" t="str">
        <f t="shared" ca="1" si="63"/>
        <v/>
      </c>
      <c r="W838" t="str">
        <f t="shared" ca="1" si="64"/>
        <v/>
      </c>
    </row>
    <row r="839" spans="17:23" x14ac:dyDescent="0.25">
      <c r="Q839">
        <f>IF(E839="USD",CONFIG!$B$5,1)</f>
        <v>1</v>
      </c>
      <c r="R839" t="str">
        <f t="shared" si="65"/>
        <v>✗ ERROR: Revisa datos</v>
      </c>
      <c r="S839" t="str">
        <f t="shared" ref="S839:S902" ca="1" si="66">IF(A839&lt;&gt;"",TODAY()-A839,"")</f>
        <v/>
      </c>
      <c r="T839" t="str">
        <f>IF(E839="USD",F839,IF(E839="CRC",F839/CONFIG!$B$5,""))</f>
        <v/>
      </c>
      <c r="U839" t="str">
        <f t="shared" ref="U839:U902" si="67">IF(A839&lt;&gt;"",A839+30,"")</f>
        <v/>
      </c>
      <c r="V839" t="str">
        <f t="shared" ref="V839:V902" ca="1" si="68">IF(AND(C839="CxP",S839&gt;60),"Alta",IF(AND(C839="CxP",S839&gt;30),"Media",IF(C839="CxP","Baja","")))</f>
        <v/>
      </c>
      <c r="W839" t="str">
        <f t="shared" ref="W839:W902" ca="1" si="69">IF(AND(C839="CxC",S839&gt;90),"Alta",IF(AND(C839="CxC",S839&gt;60),"Media",IF(C839="CxC","Baja","")))</f>
        <v/>
      </c>
    </row>
    <row r="840" spans="17:23" x14ac:dyDescent="0.25">
      <c r="Q840">
        <f>IF(E840="USD",CONFIG!$B$5,1)</f>
        <v>1</v>
      </c>
      <c r="R840" t="str">
        <f t="shared" si="65"/>
        <v>✗ ERROR: Revisa datos</v>
      </c>
      <c r="S840" t="str">
        <f t="shared" ca="1" si="66"/>
        <v/>
      </c>
      <c r="T840" t="str">
        <f>IF(E840="USD",F840,IF(E840="CRC",F840/CONFIG!$B$5,""))</f>
        <v/>
      </c>
      <c r="U840" t="str">
        <f t="shared" si="67"/>
        <v/>
      </c>
      <c r="V840" t="str">
        <f t="shared" ca="1" si="68"/>
        <v/>
      </c>
      <c r="W840" t="str">
        <f t="shared" ca="1" si="69"/>
        <v/>
      </c>
    </row>
    <row r="841" spans="17:23" x14ac:dyDescent="0.25">
      <c r="Q841">
        <f>IF(E841="USD",CONFIG!$B$5,1)</f>
        <v>1</v>
      </c>
      <c r="R841" t="str">
        <f t="shared" si="65"/>
        <v>✗ ERROR: Revisa datos</v>
      </c>
      <c r="S841" t="str">
        <f t="shared" ca="1" si="66"/>
        <v/>
      </c>
      <c r="T841" t="str">
        <f>IF(E841="USD",F841,IF(E841="CRC",F841/CONFIG!$B$5,""))</f>
        <v/>
      </c>
      <c r="U841" t="str">
        <f t="shared" si="67"/>
        <v/>
      </c>
      <c r="V841" t="str">
        <f t="shared" ca="1" si="68"/>
        <v/>
      </c>
      <c r="W841" t="str">
        <f t="shared" ca="1" si="69"/>
        <v/>
      </c>
    </row>
    <row r="842" spans="17:23" x14ac:dyDescent="0.25">
      <c r="Q842">
        <f>IF(E842="USD",CONFIG!$B$5,1)</f>
        <v>1</v>
      </c>
      <c r="R842" t="str">
        <f t="shared" si="65"/>
        <v>✗ ERROR: Revisa datos</v>
      </c>
      <c r="S842" t="str">
        <f t="shared" ca="1" si="66"/>
        <v/>
      </c>
      <c r="T842" t="str">
        <f>IF(E842="USD",F842,IF(E842="CRC",F842/CONFIG!$B$5,""))</f>
        <v/>
      </c>
      <c r="U842" t="str">
        <f t="shared" si="67"/>
        <v/>
      </c>
      <c r="V842" t="str">
        <f t="shared" ca="1" si="68"/>
        <v/>
      </c>
      <c r="W842" t="str">
        <f t="shared" ca="1" si="69"/>
        <v/>
      </c>
    </row>
    <row r="843" spans="17:23" x14ac:dyDescent="0.25">
      <c r="Q843">
        <f>IF(E843="USD",CONFIG!$B$5,1)</f>
        <v>1</v>
      </c>
      <c r="R843" t="str">
        <f t="shared" si="65"/>
        <v>✗ ERROR: Revisa datos</v>
      </c>
      <c r="S843" t="str">
        <f t="shared" ca="1" si="66"/>
        <v/>
      </c>
      <c r="T843" t="str">
        <f>IF(E843="USD",F843,IF(E843="CRC",F843/CONFIG!$B$5,""))</f>
        <v/>
      </c>
      <c r="U843" t="str">
        <f t="shared" si="67"/>
        <v/>
      </c>
      <c r="V843" t="str">
        <f t="shared" ca="1" si="68"/>
        <v/>
      </c>
      <c r="W843" t="str">
        <f t="shared" ca="1" si="69"/>
        <v/>
      </c>
    </row>
    <row r="844" spans="17:23" x14ac:dyDescent="0.25">
      <c r="Q844">
        <f>IF(E844="USD",CONFIG!$B$5,1)</f>
        <v>1</v>
      </c>
      <c r="R844" t="str">
        <f t="shared" si="65"/>
        <v>✗ ERROR: Revisa datos</v>
      </c>
      <c r="S844" t="str">
        <f t="shared" ca="1" si="66"/>
        <v/>
      </c>
      <c r="T844" t="str">
        <f>IF(E844="USD",F844,IF(E844="CRC",F844/CONFIG!$B$5,""))</f>
        <v/>
      </c>
      <c r="U844" t="str">
        <f t="shared" si="67"/>
        <v/>
      </c>
      <c r="V844" t="str">
        <f t="shared" ca="1" si="68"/>
        <v/>
      </c>
      <c r="W844" t="str">
        <f t="shared" ca="1" si="69"/>
        <v/>
      </c>
    </row>
    <row r="845" spans="17:23" x14ac:dyDescent="0.25">
      <c r="Q845">
        <f>IF(E845="USD",CONFIG!$B$5,1)</f>
        <v>1</v>
      </c>
      <c r="R845" t="str">
        <f t="shared" si="65"/>
        <v>✗ ERROR: Revisa datos</v>
      </c>
      <c r="S845" t="str">
        <f t="shared" ca="1" si="66"/>
        <v/>
      </c>
      <c r="T845" t="str">
        <f>IF(E845="USD",F845,IF(E845="CRC",F845/CONFIG!$B$5,""))</f>
        <v/>
      </c>
      <c r="U845" t="str">
        <f t="shared" si="67"/>
        <v/>
      </c>
      <c r="V845" t="str">
        <f t="shared" ca="1" si="68"/>
        <v/>
      </c>
      <c r="W845" t="str">
        <f t="shared" ca="1" si="69"/>
        <v/>
      </c>
    </row>
    <row r="846" spans="17:23" x14ac:dyDescent="0.25">
      <c r="Q846">
        <f>IF(E846="USD",CONFIG!$B$5,1)</f>
        <v>1</v>
      </c>
      <c r="R846" t="str">
        <f t="shared" si="65"/>
        <v>✗ ERROR: Revisa datos</v>
      </c>
      <c r="S846" t="str">
        <f t="shared" ca="1" si="66"/>
        <v/>
      </c>
      <c r="T846" t="str">
        <f>IF(E846="USD",F846,IF(E846="CRC",F846/CONFIG!$B$5,""))</f>
        <v/>
      </c>
      <c r="U846" t="str">
        <f t="shared" si="67"/>
        <v/>
      </c>
      <c r="V846" t="str">
        <f t="shared" ca="1" si="68"/>
        <v/>
      </c>
      <c r="W846" t="str">
        <f t="shared" ca="1" si="69"/>
        <v/>
      </c>
    </row>
    <row r="847" spans="17:23" x14ac:dyDescent="0.25">
      <c r="Q847">
        <f>IF(E847="USD",CONFIG!$B$5,1)</f>
        <v>1</v>
      </c>
      <c r="R847" t="str">
        <f t="shared" si="65"/>
        <v>✗ ERROR: Revisa datos</v>
      </c>
      <c r="S847" t="str">
        <f t="shared" ca="1" si="66"/>
        <v/>
      </c>
      <c r="T847" t="str">
        <f>IF(E847="USD",F847,IF(E847="CRC",F847/CONFIG!$B$5,""))</f>
        <v/>
      </c>
      <c r="U847" t="str">
        <f t="shared" si="67"/>
        <v/>
      </c>
      <c r="V847" t="str">
        <f t="shared" ca="1" si="68"/>
        <v/>
      </c>
      <c r="W847" t="str">
        <f t="shared" ca="1" si="69"/>
        <v/>
      </c>
    </row>
    <row r="848" spans="17:23" x14ac:dyDescent="0.25">
      <c r="Q848">
        <f>IF(E848="USD",CONFIG!$B$5,1)</f>
        <v>1</v>
      </c>
      <c r="R848" t="str">
        <f t="shared" si="65"/>
        <v>✗ ERROR: Revisa datos</v>
      </c>
      <c r="S848" t="str">
        <f t="shared" ca="1" si="66"/>
        <v/>
      </c>
      <c r="T848" t="str">
        <f>IF(E848="USD",F848,IF(E848="CRC",F848/CONFIG!$B$5,""))</f>
        <v/>
      </c>
      <c r="U848" t="str">
        <f t="shared" si="67"/>
        <v/>
      </c>
      <c r="V848" t="str">
        <f t="shared" ca="1" si="68"/>
        <v/>
      </c>
      <c r="W848" t="str">
        <f t="shared" ca="1" si="69"/>
        <v/>
      </c>
    </row>
    <row r="849" spans="17:23" x14ac:dyDescent="0.25">
      <c r="Q849">
        <f>IF(E849="USD",CONFIG!$B$5,1)</f>
        <v>1</v>
      </c>
      <c r="R849" t="str">
        <f t="shared" si="65"/>
        <v>✗ ERROR: Revisa datos</v>
      </c>
      <c r="S849" t="str">
        <f t="shared" ca="1" si="66"/>
        <v/>
      </c>
      <c r="T849" t="str">
        <f>IF(E849="USD",F849,IF(E849="CRC",F849/CONFIG!$B$5,""))</f>
        <v/>
      </c>
      <c r="U849" t="str">
        <f t="shared" si="67"/>
        <v/>
      </c>
      <c r="V849" t="str">
        <f t="shared" ca="1" si="68"/>
        <v/>
      </c>
      <c r="W849" t="str">
        <f t="shared" ca="1" si="69"/>
        <v/>
      </c>
    </row>
    <row r="850" spans="17:23" x14ac:dyDescent="0.25">
      <c r="Q850">
        <f>IF(E850="USD",CONFIG!$B$5,1)</f>
        <v>1</v>
      </c>
      <c r="R850" t="str">
        <f t="shared" si="65"/>
        <v>✗ ERROR: Revisa datos</v>
      </c>
      <c r="S850" t="str">
        <f t="shared" ca="1" si="66"/>
        <v/>
      </c>
      <c r="T850" t="str">
        <f>IF(E850="USD",F850,IF(E850="CRC",F850/CONFIG!$B$5,""))</f>
        <v/>
      </c>
      <c r="U850" t="str">
        <f t="shared" si="67"/>
        <v/>
      </c>
      <c r="V850" t="str">
        <f t="shared" ca="1" si="68"/>
        <v/>
      </c>
      <c r="W850" t="str">
        <f t="shared" ca="1" si="69"/>
        <v/>
      </c>
    </row>
    <row r="851" spans="17:23" x14ac:dyDescent="0.25">
      <c r="Q851">
        <f>IF(E851="USD",CONFIG!$B$5,1)</f>
        <v>1</v>
      </c>
      <c r="R851" t="str">
        <f t="shared" si="65"/>
        <v>✗ ERROR: Revisa datos</v>
      </c>
      <c r="S851" t="str">
        <f t="shared" ca="1" si="66"/>
        <v/>
      </c>
      <c r="T851" t="str">
        <f>IF(E851="USD",F851,IF(E851="CRC",F851/CONFIG!$B$5,""))</f>
        <v/>
      </c>
      <c r="U851" t="str">
        <f t="shared" si="67"/>
        <v/>
      </c>
      <c r="V851" t="str">
        <f t="shared" ca="1" si="68"/>
        <v/>
      </c>
      <c r="W851" t="str">
        <f t="shared" ca="1" si="69"/>
        <v/>
      </c>
    </row>
    <row r="852" spans="17:23" x14ac:dyDescent="0.25">
      <c r="Q852">
        <f>IF(E852="USD",CONFIG!$B$5,1)</f>
        <v>1</v>
      </c>
      <c r="R852" t="str">
        <f t="shared" si="65"/>
        <v>✗ ERROR: Revisa datos</v>
      </c>
      <c r="S852" t="str">
        <f t="shared" ca="1" si="66"/>
        <v/>
      </c>
      <c r="T852" t="str">
        <f>IF(E852="USD",F852,IF(E852="CRC",F852/CONFIG!$B$5,""))</f>
        <v/>
      </c>
      <c r="U852" t="str">
        <f t="shared" si="67"/>
        <v/>
      </c>
      <c r="V852" t="str">
        <f t="shared" ca="1" si="68"/>
        <v/>
      </c>
      <c r="W852" t="str">
        <f t="shared" ca="1" si="69"/>
        <v/>
      </c>
    </row>
    <row r="853" spans="17:23" x14ac:dyDescent="0.25">
      <c r="Q853">
        <f>IF(E853="USD",CONFIG!$B$5,1)</f>
        <v>1</v>
      </c>
      <c r="R853" t="str">
        <f t="shared" si="65"/>
        <v>✗ ERROR: Revisa datos</v>
      </c>
      <c r="S853" t="str">
        <f t="shared" ca="1" si="66"/>
        <v/>
      </c>
      <c r="T853" t="str">
        <f>IF(E853="USD",F853,IF(E853="CRC",F853/CONFIG!$B$5,""))</f>
        <v/>
      </c>
      <c r="U853" t="str">
        <f t="shared" si="67"/>
        <v/>
      </c>
      <c r="V853" t="str">
        <f t="shared" ca="1" si="68"/>
        <v/>
      </c>
      <c r="W853" t="str">
        <f t="shared" ca="1" si="69"/>
        <v/>
      </c>
    </row>
    <row r="854" spans="17:23" x14ac:dyDescent="0.25">
      <c r="Q854">
        <f>IF(E854="USD",CONFIG!$B$5,1)</f>
        <v>1</v>
      </c>
      <c r="R854" t="str">
        <f t="shared" si="65"/>
        <v>✗ ERROR: Revisa datos</v>
      </c>
      <c r="S854" t="str">
        <f t="shared" ca="1" si="66"/>
        <v/>
      </c>
      <c r="T854" t="str">
        <f>IF(E854="USD",F854,IF(E854="CRC",F854/CONFIG!$B$5,""))</f>
        <v/>
      </c>
      <c r="U854" t="str">
        <f t="shared" si="67"/>
        <v/>
      </c>
      <c r="V854" t="str">
        <f t="shared" ca="1" si="68"/>
        <v/>
      </c>
      <c r="W854" t="str">
        <f t="shared" ca="1" si="69"/>
        <v/>
      </c>
    </row>
    <row r="855" spans="17:23" x14ac:dyDescent="0.25">
      <c r="Q855">
        <f>IF(E855="USD",CONFIG!$B$5,1)</f>
        <v>1</v>
      </c>
      <c r="R855" t="str">
        <f t="shared" si="65"/>
        <v>✗ ERROR: Revisa datos</v>
      </c>
      <c r="S855" t="str">
        <f t="shared" ca="1" si="66"/>
        <v/>
      </c>
      <c r="T855" t="str">
        <f>IF(E855="USD",F855,IF(E855="CRC",F855/CONFIG!$B$5,""))</f>
        <v/>
      </c>
      <c r="U855" t="str">
        <f t="shared" si="67"/>
        <v/>
      </c>
      <c r="V855" t="str">
        <f t="shared" ca="1" si="68"/>
        <v/>
      </c>
      <c r="W855" t="str">
        <f t="shared" ca="1" si="69"/>
        <v/>
      </c>
    </row>
    <row r="856" spans="17:23" x14ac:dyDescent="0.25">
      <c r="Q856">
        <f>IF(E856="USD",CONFIG!$B$5,1)</f>
        <v>1</v>
      </c>
      <c r="R856" t="str">
        <f t="shared" si="65"/>
        <v>✗ ERROR: Revisa datos</v>
      </c>
      <c r="S856" t="str">
        <f t="shared" ca="1" si="66"/>
        <v/>
      </c>
      <c r="T856" t="str">
        <f>IF(E856="USD",F856,IF(E856="CRC",F856/CONFIG!$B$5,""))</f>
        <v/>
      </c>
      <c r="U856" t="str">
        <f t="shared" si="67"/>
        <v/>
      </c>
      <c r="V856" t="str">
        <f t="shared" ca="1" si="68"/>
        <v/>
      </c>
      <c r="W856" t="str">
        <f t="shared" ca="1" si="69"/>
        <v/>
      </c>
    </row>
    <row r="857" spans="17:23" x14ac:dyDescent="0.25">
      <c r="Q857">
        <f>IF(E857="USD",CONFIG!$B$5,1)</f>
        <v>1</v>
      </c>
      <c r="R857" t="str">
        <f t="shared" si="65"/>
        <v>✗ ERROR: Revisa datos</v>
      </c>
      <c r="S857" t="str">
        <f t="shared" ca="1" si="66"/>
        <v/>
      </c>
      <c r="T857" t="str">
        <f>IF(E857="USD",F857,IF(E857="CRC",F857/CONFIG!$B$5,""))</f>
        <v/>
      </c>
      <c r="U857" t="str">
        <f t="shared" si="67"/>
        <v/>
      </c>
      <c r="V857" t="str">
        <f t="shared" ca="1" si="68"/>
        <v/>
      </c>
      <c r="W857" t="str">
        <f t="shared" ca="1" si="69"/>
        <v/>
      </c>
    </row>
    <row r="858" spans="17:23" x14ac:dyDescent="0.25">
      <c r="Q858">
        <f>IF(E858="USD",CONFIG!$B$5,1)</f>
        <v>1</v>
      </c>
      <c r="R858" t="str">
        <f t="shared" si="65"/>
        <v>✗ ERROR: Revisa datos</v>
      </c>
      <c r="S858" t="str">
        <f t="shared" ca="1" si="66"/>
        <v/>
      </c>
      <c r="T858" t="str">
        <f>IF(E858="USD",F858,IF(E858="CRC",F858/CONFIG!$B$5,""))</f>
        <v/>
      </c>
      <c r="U858" t="str">
        <f t="shared" si="67"/>
        <v/>
      </c>
      <c r="V858" t="str">
        <f t="shared" ca="1" si="68"/>
        <v/>
      </c>
      <c r="W858" t="str">
        <f t="shared" ca="1" si="69"/>
        <v/>
      </c>
    </row>
    <row r="859" spans="17:23" x14ac:dyDescent="0.25">
      <c r="Q859">
        <f>IF(E859="USD",CONFIG!$B$5,1)</f>
        <v>1</v>
      </c>
      <c r="R859" t="str">
        <f t="shared" si="65"/>
        <v>✗ ERROR: Revisa datos</v>
      </c>
      <c r="S859" t="str">
        <f t="shared" ca="1" si="66"/>
        <v/>
      </c>
      <c r="T859" t="str">
        <f>IF(E859="USD",F859,IF(E859="CRC",F859/CONFIG!$B$5,""))</f>
        <v/>
      </c>
      <c r="U859" t="str">
        <f t="shared" si="67"/>
        <v/>
      </c>
      <c r="V859" t="str">
        <f t="shared" ca="1" si="68"/>
        <v/>
      </c>
      <c r="W859" t="str">
        <f t="shared" ca="1" si="69"/>
        <v/>
      </c>
    </row>
    <row r="860" spans="17:23" x14ac:dyDescent="0.25">
      <c r="Q860">
        <f>IF(E860="USD",CONFIG!$B$5,1)</f>
        <v>1</v>
      </c>
      <c r="R860" t="str">
        <f t="shared" si="65"/>
        <v>✗ ERROR: Revisa datos</v>
      </c>
      <c r="S860" t="str">
        <f t="shared" ca="1" si="66"/>
        <v/>
      </c>
      <c r="T860" t="str">
        <f>IF(E860="USD",F860,IF(E860="CRC",F860/CONFIG!$B$5,""))</f>
        <v/>
      </c>
      <c r="U860" t="str">
        <f t="shared" si="67"/>
        <v/>
      </c>
      <c r="V860" t="str">
        <f t="shared" ca="1" si="68"/>
        <v/>
      </c>
      <c r="W860" t="str">
        <f t="shared" ca="1" si="69"/>
        <v/>
      </c>
    </row>
    <row r="861" spans="17:23" x14ac:dyDescent="0.25">
      <c r="Q861">
        <f>IF(E861="USD",CONFIG!$B$5,1)</f>
        <v>1</v>
      </c>
      <c r="R861" t="str">
        <f t="shared" si="65"/>
        <v>✗ ERROR: Revisa datos</v>
      </c>
      <c r="S861" t="str">
        <f t="shared" ca="1" si="66"/>
        <v/>
      </c>
      <c r="T861" t="str">
        <f>IF(E861="USD",F861,IF(E861="CRC",F861/CONFIG!$B$5,""))</f>
        <v/>
      </c>
      <c r="U861" t="str">
        <f t="shared" si="67"/>
        <v/>
      </c>
      <c r="V861" t="str">
        <f t="shared" ca="1" si="68"/>
        <v/>
      </c>
      <c r="W861" t="str">
        <f t="shared" ca="1" si="69"/>
        <v/>
      </c>
    </row>
    <row r="862" spans="17:23" x14ac:dyDescent="0.25">
      <c r="Q862">
        <f>IF(E862="USD",CONFIG!$B$5,1)</f>
        <v>1</v>
      </c>
      <c r="R862" t="str">
        <f t="shared" si="65"/>
        <v>✗ ERROR: Revisa datos</v>
      </c>
      <c r="S862" t="str">
        <f t="shared" ca="1" si="66"/>
        <v/>
      </c>
      <c r="T862" t="str">
        <f>IF(E862="USD",F862,IF(E862="CRC",F862/CONFIG!$B$5,""))</f>
        <v/>
      </c>
      <c r="U862" t="str">
        <f t="shared" si="67"/>
        <v/>
      </c>
      <c r="V862" t="str">
        <f t="shared" ca="1" si="68"/>
        <v/>
      </c>
      <c r="W862" t="str">
        <f t="shared" ca="1" si="69"/>
        <v/>
      </c>
    </row>
    <row r="863" spans="17:23" x14ac:dyDescent="0.25">
      <c r="Q863">
        <f>IF(E863="USD",CONFIG!$B$5,1)</f>
        <v>1</v>
      </c>
      <c r="R863" t="str">
        <f t="shared" si="65"/>
        <v>✗ ERROR: Revisa datos</v>
      </c>
      <c r="S863" t="str">
        <f t="shared" ca="1" si="66"/>
        <v/>
      </c>
      <c r="T863" t="str">
        <f>IF(E863="USD",F863,IF(E863="CRC",F863/CONFIG!$B$5,""))</f>
        <v/>
      </c>
      <c r="U863" t="str">
        <f t="shared" si="67"/>
        <v/>
      </c>
      <c r="V863" t="str">
        <f t="shared" ca="1" si="68"/>
        <v/>
      </c>
      <c r="W863" t="str">
        <f t="shared" ca="1" si="69"/>
        <v/>
      </c>
    </row>
    <row r="864" spans="17:23" x14ac:dyDescent="0.25">
      <c r="Q864">
        <f>IF(E864="USD",CONFIG!$B$5,1)</f>
        <v>1</v>
      </c>
      <c r="R864" t="str">
        <f t="shared" si="65"/>
        <v>✗ ERROR: Revisa datos</v>
      </c>
      <c r="S864" t="str">
        <f t="shared" ca="1" si="66"/>
        <v/>
      </c>
      <c r="T864" t="str">
        <f>IF(E864="USD",F864,IF(E864="CRC",F864/CONFIG!$B$5,""))</f>
        <v/>
      </c>
      <c r="U864" t="str">
        <f t="shared" si="67"/>
        <v/>
      </c>
      <c r="V864" t="str">
        <f t="shared" ca="1" si="68"/>
        <v/>
      </c>
      <c r="W864" t="str">
        <f t="shared" ca="1" si="69"/>
        <v/>
      </c>
    </row>
    <row r="865" spans="17:23" x14ac:dyDescent="0.25">
      <c r="Q865">
        <f>IF(E865="USD",CONFIG!$B$5,1)</f>
        <v>1</v>
      </c>
      <c r="R865" t="str">
        <f t="shared" si="65"/>
        <v>✗ ERROR: Revisa datos</v>
      </c>
      <c r="S865" t="str">
        <f t="shared" ca="1" si="66"/>
        <v/>
      </c>
      <c r="T865" t="str">
        <f>IF(E865="USD",F865,IF(E865="CRC",F865/CONFIG!$B$5,""))</f>
        <v/>
      </c>
      <c r="U865" t="str">
        <f t="shared" si="67"/>
        <v/>
      </c>
      <c r="V865" t="str">
        <f t="shared" ca="1" si="68"/>
        <v/>
      </c>
      <c r="W865" t="str">
        <f t="shared" ca="1" si="69"/>
        <v/>
      </c>
    </row>
    <row r="866" spans="17:23" x14ac:dyDescent="0.25">
      <c r="Q866">
        <f>IF(E866="USD",CONFIG!$B$5,1)</f>
        <v>1</v>
      </c>
      <c r="R866" t="str">
        <f t="shared" si="65"/>
        <v>✗ ERROR: Revisa datos</v>
      </c>
      <c r="S866" t="str">
        <f t="shared" ca="1" si="66"/>
        <v/>
      </c>
      <c r="T866" t="str">
        <f>IF(E866="USD",F866,IF(E866="CRC",F866/CONFIG!$B$5,""))</f>
        <v/>
      </c>
      <c r="U866" t="str">
        <f t="shared" si="67"/>
        <v/>
      </c>
      <c r="V866" t="str">
        <f t="shared" ca="1" si="68"/>
        <v/>
      </c>
      <c r="W866" t="str">
        <f t="shared" ca="1" si="69"/>
        <v/>
      </c>
    </row>
    <row r="867" spans="17:23" x14ac:dyDescent="0.25">
      <c r="Q867">
        <f>IF(E867="USD",CONFIG!$B$5,1)</f>
        <v>1</v>
      </c>
      <c r="R867" t="str">
        <f t="shared" si="65"/>
        <v>✗ ERROR: Revisa datos</v>
      </c>
      <c r="S867" t="str">
        <f t="shared" ca="1" si="66"/>
        <v/>
      </c>
      <c r="T867" t="str">
        <f>IF(E867="USD",F867,IF(E867="CRC",F867/CONFIG!$B$5,""))</f>
        <v/>
      </c>
      <c r="U867" t="str">
        <f t="shared" si="67"/>
        <v/>
      </c>
      <c r="V867" t="str">
        <f t="shared" ca="1" si="68"/>
        <v/>
      </c>
      <c r="W867" t="str">
        <f t="shared" ca="1" si="69"/>
        <v/>
      </c>
    </row>
    <row r="868" spans="17:23" x14ac:dyDescent="0.25">
      <c r="Q868">
        <f>IF(E868="USD",CONFIG!$B$5,1)</f>
        <v>1</v>
      </c>
      <c r="R868" t="str">
        <f t="shared" si="65"/>
        <v>✗ ERROR: Revisa datos</v>
      </c>
      <c r="S868" t="str">
        <f t="shared" ca="1" si="66"/>
        <v/>
      </c>
      <c r="T868" t="str">
        <f>IF(E868="USD",F868,IF(E868="CRC",F868/CONFIG!$B$5,""))</f>
        <v/>
      </c>
      <c r="U868" t="str">
        <f t="shared" si="67"/>
        <v/>
      </c>
      <c r="V868" t="str">
        <f t="shared" ca="1" si="68"/>
        <v/>
      </c>
      <c r="W868" t="str">
        <f t="shared" ca="1" si="69"/>
        <v/>
      </c>
    </row>
    <row r="869" spans="17:23" x14ac:dyDescent="0.25">
      <c r="Q869">
        <f>IF(E869="USD",CONFIG!$B$5,1)</f>
        <v>1</v>
      </c>
      <c r="R869" t="str">
        <f t="shared" si="65"/>
        <v>✗ ERROR: Revisa datos</v>
      </c>
      <c r="S869" t="str">
        <f t="shared" ca="1" si="66"/>
        <v/>
      </c>
      <c r="T869" t="str">
        <f>IF(E869="USD",F869,IF(E869="CRC",F869/CONFIG!$B$5,""))</f>
        <v/>
      </c>
      <c r="U869" t="str">
        <f t="shared" si="67"/>
        <v/>
      </c>
      <c r="V869" t="str">
        <f t="shared" ca="1" si="68"/>
        <v/>
      </c>
      <c r="W869" t="str">
        <f t="shared" ca="1" si="69"/>
        <v/>
      </c>
    </row>
    <row r="870" spans="17:23" x14ac:dyDescent="0.25">
      <c r="Q870">
        <f>IF(E870="USD",CONFIG!$B$5,1)</f>
        <v>1</v>
      </c>
      <c r="R870" t="str">
        <f t="shared" si="65"/>
        <v>✗ ERROR: Revisa datos</v>
      </c>
      <c r="S870" t="str">
        <f t="shared" ca="1" si="66"/>
        <v/>
      </c>
      <c r="T870" t="str">
        <f>IF(E870="USD",F870,IF(E870="CRC",F870/CONFIG!$B$5,""))</f>
        <v/>
      </c>
      <c r="U870" t="str">
        <f t="shared" si="67"/>
        <v/>
      </c>
      <c r="V870" t="str">
        <f t="shared" ca="1" si="68"/>
        <v/>
      </c>
      <c r="W870" t="str">
        <f t="shared" ca="1" si="69"/>
        <v/>
      </c>
    </row>
    <row r="871" spans="17:23" x14ac:dyDescent="0.25">
      <c r="Q871">
        <f>IF(E871="USD",CONFIG!$B$5,1)</f>
        <v>1</v>
      </c>
      <c r="R871" t="str">
        <f t="shared" si="65"/>
        <v>✗ ERROR: Revisa datos</v>
      </c>
      <c r="S871" t="str">
        <f t="shared" ca="1" si="66"/>
        <v/>
      </c>
      <c r="T871" t="str">
        <f>IF(E871="USD",F871,IF(E871="CRC",F871/CONFIG!$B$5,""))</f>
        <v/>
      </c>
      <c r="U871" t="str">
        <f t="shared" si="67"/>
        <v/>
      </c>
      <c r="V871" t="str">
        <f t="shared" ca="1" si="68"/>
        <v/>
      </c>
      <c r="W871" t="str">
        <f t="shared" ca="1" si="69"/>
        <v/>
      </c>
    </row>
    <row r="872" spans="17:23" x14ac:dyDescent="0.25">
      <c r="Q872">
        <f>IF(E872="USD",CONFIG!$B$5,1)</f>
        <v>1</v>
      </c>
      <c r="R872" t="str">
        <f t="shared" si="65"/>
        <v>✗ ERROR: Revisa datos</v>
      </c>
      <c r="S872" t="str">
        <f t="shared" ca="1" si="66"/>
        <v/>
      </c>
      <c r="T872" t="str">
        <f>IF(E872="USD",F872,IF(E872="CRC",F872/CONFIG!$B$5,""))</f>
        <v/>
      </c>
      <c r="U872" t="str">
        <f t="shared" si="67"/>
        <v/>
      </c>
      <c r="V872" t="str">
        <f t="shared" ca="1" si="68"/>
        <v/>
      </c>
      <c r="W872" t="str">
        <f t="shared" ca="1" si="69"/>
        <v/>
      </c>
    </row>
    <row r="873" spans="17:23" x14ac:dyDescent="0.25">
      <c r="Q873">
        <f>IF(E873="USD",CONFIG!$B$5,1)</f>
        <v>1</v>
      </c>
      <c r="R873" t="str">
        <f t="shared" si="65"/>
        <v>✗ ERROR: Revisa datos</v>
      </c>
      <c r="S873" t="str">
        <f t="shared" ca="1" si="66"/>
        <v/>
      </c>
      <c r="T873" t="str">
        <f>IF(E873="USD",F873,IF(E873="CRC",F873/CONFIG!$B$5,""))</f>
        <v/>
      </c>
      <c r="U873" t="str">
        <f t="shared" si="67"/>
        <v/>
      </c>
      <c r="V873" t="str">
        <f t="shared" ca="1" si="68"/>
        <v/>
      </c>
      <c r="W873" t="str">
        <f t="shared" ca="1" si="69"/>
        <v/>
      </c>
    </row>
    <row r="874" spans="17:23" x14ac:dyDescent="0.25">
      <c r="Q874">
        <f>IF(E874="USD",CONFIG!$B$5,1)</f>
        <v>1</v>
      </c>
      <c r="R874" t="str">
        <f t="shared" si="65"/>
        <v>✗ ERROR: Revisa datos</v>
      </c>
      <c r="S874" t="str">
        <f t="shared" ca="1" si="66"/>
        <v/>
      </c>
      <c r="T874" t="str">
        <f>IF(E874="USD",F874,IF(E874="CRC",F874/CONFIG!$B$5,""))</f>
        <v/>
      </c>
      <c r="U874" t="str">
        <f t="shared" si="67"/>
        <v/>
      </c>
      <c r="V874" t="str">
        <f t="shared" ca="1" si="68"/>
        <v/>
      </c>
      <c r="W874" t="str">
        <f t="shared" ca="1" si="69"/>
        <v/>
      </c>
    </row>
    <row r="875" spans="17:23" x14ac:dyDescent="0.25">
      <c r="Q875">
        <f>IF(E875="USD",CONFIG!$B$5,1)</f>
        <v>1</v>
      </c>
      <c r="R875" t="str">
        <f t="shared" si="65"/>
        <v>✗ ERROR: Revisa datos</v>
      </c>
      <c r="S875" t="str">
        <f t="shared" ca="1" si="66"/>
        <v/>
      </c>
      <c r="T875" t="str">
        <f>IF(E875="USD",F875,IF(E875="CRC",F875/CONFIG!$B$5,""))</f>
        <v/>
      </c>
      <c r="U875" t="str">
        <f t="shared" si="67"/>
        <v/>
      </c>
      <c r="V875" t="str">
        <f t="shared" ca="1" si="68"/>
        <v/>
      </c>
      <c r="W875" t="str">
        <f t="shared" ca="1" si="69"/>
        <v/>
      </c>
    </row>
    <row r="876" spans="17:23" x14ac:dyDescent="0.25">
      <c r="Q876">
        <f>IF(E876="USD",CONFIG!$B$5,1)</f>
        <v>1</v>
      </c>
      <c r="R876" t="str">
        <f t="shared" si="65"/>
        <v>✗ ERROR: Revisa datos</v>
      </c>
      <c r="S876" t="str">
        <f t="shared" ca="1" si="66"/>
        <v/>
      </c>
      <c r="T876" t="str">
        <f>IF(E876="USD",F876,IF(E876="CRC",F876/CONFIG!$B$5,""))</f>
        <v/>
      </c>
      <c r="U876" t="str">
        <f t="shared" si="67"/>
        <v/>
      </c>
      <c r="V876" t="str">
        <f t="shared" ca="1" si="68"/>
        <v/>
      </c>
      <c r="W876" t="str">
        <f t="shared" ca="1" si="69"/>
        <v/>
      </c>
    </row>
    <row r="877" spans="17:23" x14ac:dyDescent="0.25">
      <c r="Q877">
        <f>IF(E877="USD",CONFIG!$B$5,1)</f>
        <v>1</v>
      </c>
      <c r="R877" t="str">
        <f t="shared" si="65"/>
        <v>✗ ERROR: Revisa datos</v>
      </c>
      <c r="S877" t="str">
        <f t="shared" ca="1" si="66"/>
        <v/>
      </c>
      <c r="T877" t="str">
        <f>IF(E877="USD",F877,IF(E877="CRC",F877/CONFIG!$B$5,""))</f>
        <v/>
      </c>
      <c r="U877" t="str">
        <f t="shared" si="67"/>
        <v/>
      </c>
      <c r="V877" t="str">
        <f t="shared" ca="1" si="68"/>
        <v/>
      </c>
      <c r="W877" t="str">
        <f t="shared" ca="1" si="69"/>
        <v/>
      </c>
    </row>
    <row r="878" spans="17:23" x14ac:dyDescent="0.25">
      <c r="Q878">
        <f>IF(E878="USD",CONFIG!$B$5,1)</f>
        <v>1</v>
      </c>
      <c r="R878" t="str">
        <f t="shared" si="65"/>
        <v>✗ ERROR: Revisa datos</v>
      </c>
      <c r="S878" t="str">
        <f t="shared" ca="1" si="66"/>
        <v/>
      </c>
      <c r="T878" t="str">
        <f>IF(E878="USD",F878,IF(E878="CRC",F878/CONFIG!$B$5,""))</f>
        <v/>
      </c>
      <c r="U878" t="str">
        <f t="shared" si="67"/>
        <v/>
      </c>
      <c r="V878" t="str">
        <f t="shared" ca="1" si="68"/>
        <v/>
      </c>
      <c r="W878" t="str">
        <f t="shared" ca="1" si="69"/>
        <v/>
      </c>
    </row>
    <row r="879" spans="17:23" x14ac:dyDescent="0.25">
      <c r="Q879">
        <f>IF(E879="USD",CONFIG!$B$5,1)</f>
        <v>1</v>
      </c>
      <c r="R879" t="str">
        <f t="shared" si="65"/>
        <v>✗ ERROR: Revisa datos</v>
      </c>
      <c r="S879" t="str">
        <f t="shared" ca="1" si="66"/>
        <v/>
      </c>
      <c r="T879" t="str">
        <f>IF(E879="USD",F879,IF(E879="CRC",F879/CONFIG!$B$5,""))</f>
        <v/>
      </c>
      <c r="U879" t="str">
        <f t="shared" si="67"/>
        <v/>
      </c>
      <c r="V879" t="str">
        <f t="shared" ca="1" si="68"/>
        <v/>
      </c>
      <c r="W879" t="str">
        <f t="shared" ca="1" si="69"/>
        <v/>
      </c>
    </row>
    <row r="880" spans="17:23" x14ac:dyDescent="0.25">
      <c r="Q880">
        <f>IF(E880="USD",CONFIG!$B$5,1)</f>
        <v>1</v>
      </c>
      <c r="R880" t="str">
        <f t="shared" si="65"/>
        <v>✗ ERROR: Revisa datos</v>
      </c>
      <c r="S880" t="str">
        <f t="shared" ca="1" si="66"/>
        <v/>
      </c>
      <c r="T880" t="str">
        <f>IF(E880="USD",F880,IF(E880="CRC",F880/CONFIG!$B$5,""))</f>
        <v/>
      </c>
      <c r="U880" t="str">
        <f t="shared" si="67"/>
        <v/>
      </c>
      <c r="V880" t="str">
        <f t="shared" ca="1" si="68"/>
        <v/>
      </c>
      <c r="W880" t="str">
        <f t="shared" ca="1" si="69"/>
        <v/>
      </c>
    </row>
    <row r="881" spans="17:23" x14ac:dyDescent="0.25">
      <c r="Q881">
        <f>IF(E881="USD",CONFIG!$B$5,1)</f>
        <v>1</v>
      </c>
      <c r="R881" t="str">
        <f t="shared" si="65"/>
        <v>✗ ERROR: Revisa datos</v>
      </c>
      <c r="S881" t="str">
        <f t="shared" ca="1" si="66"/>
        <v/>
      </c>
      <c r="T881" t="str">
        <f>IF(E881="USD",F881,IF(E881="CRC",F881/CONFIG!$B$5,""))</f>
        <v/>
      </c>
      <c r="U881" t="str">
        <f t="shared" si="67"/>
        <v/>
      </c>
      <c r="V881" t="str">
        <f t="shared" ca="1" si="68"/>
        <v/>
      </c>
      <c r="W881" t="str">
        <f t="shared" ca="1" si="69"/>
        <v/>
      </c>
    </row>
    <row r="882" spans="17:23" x14ac:dyDescent="0.25">
      <c r="Q882">
        <f>IF(E882="USD",CONFIG!$B$5,1)</f>
        <v>1</v>
      </c>
      <c r="R882" t="str">
        <f t="shared" si="65"/>
        <v>✗ ERROR: Revisa datos</v>
      </c>
      <c r="S882" t="str">
        <f t="shared" ca="1" si="66"/>
        <v/>
      </c>
      <c r="T882" t="str">
        <f>IF(E882="USD",F882,IF(E882="CRC",F882/CONFIG!$B$5,""))</f>
        <v/>
      </c>
      <c r="U882" t="str">
        <f t="shared" si="67"/>
        <v/>
      </c>
      <c r="V882" t="str">
        <f t="shared" ca="1" si="68"/>
        <v/>
      </c>
      <c r="W882" t="str">
        <f t="shared" ca="1" si="69"/>
        <v/>
      </c>
    </row>
    <row r="883" spans="17:23" x14ac:dyDescent="0.25">
      <c r="Q883">
        <f>IF(E883="USD",CONFIG!$B$5,1)</f>
        <v>1</v>
      </c>
      <c r="R883" t="str">
        <f t="shared" si="65"/>
        <v>✗ ERROR: Revisa datos</v>
      </c>
      <c r="S883" t="str">
        <f t="shared" ca="1" si="66"/>
        <v/>
      </c>
      <c r="T883" t="str">
        <f>IF(E883="USD",F883,IF(E883="CRC",F883/CONFIG!$B$5,""))</f>
        <v/>
      </c>
      <c r="U883" t="str">
        <f t="shared" si="67"/>
        <v/>
      </c>
      <c r="V883" t="str">
        <f t="shared" ca="1" si="68"/>
        <v/>
      </c>
      <c r="W883" t="str">
        <f t="shared" ca="1" si="69"/>
        <v/>
      </c>
    </row>
    <row r="884" spans="17:23" x14ac:dyDescent="0.25">
      <c r="Q884">
        <f>IF(E884="USD",CONFIG!$B$5,1)</f>
        <v>1</v>
      </c>
      <c r="R884" t="str">
        <f t="shared" si="65"/>
        <v>✗ ERROR: Revisa datos</v>
      </c>
      <c r="S884" t="str">
        <f t="shared" ca="1" si="66"/>
        <v/>
      </c>
      <c r="T884" t="str">
        <f>IF(E884="USD",F884,IF(E884="CRC",F884/CONFIG!$B$5,""))</f>
        <v/>
      </c>
      <c r="U884" t="str">
        <f t="shared" si="67"/>
        <v/>
      </c>
      <c r="V884" t="str">
        <f t="shared" ca="1" si="68"/>
        <v/>
      </c>
      <c r="W884" t="str">
        <f t="shared" ca="1" si="69"/>
        <v/>
      </c>
    </row>
    <row r="885" spans="17:23" x14ac:dyDescent="0.25">
      <c r="Q885">
        <f>IF(E885="USD",CONFIG!$B$5,1)</f>
        <v>1</v>
      </c>
      <c r="R885" t="str">
        <f t="shared" si="65"/>
        <v>✗ ERROR: Revisa datos</v>
      </c>
      <c r="S885" t="str">
        <f t="shared" ca="1" si="66"/>
        <v/>
      </c>
      <c r="T885" t="str">
        <f>IF(E885="USD",F885,IF(E885="CRC",F885/CONFIG!$B$5,""))</f>
        <v/>
      </c>
      <c r="U885" t="str">
        <f t="shared" si="67"/>
        <v/>
      </c>
      <c r="V885" t="str">
        <f t="shared" ca="1" si="68"/>
        <v/>
      </c>
      <c r="W885" t="str">
        <f t="shared" ca="1" si="69"/>
        <v/>
      </c>
    </row>
    <row r="886" spans="17:23" x14ac:dyDescent="0.25">
      <c r="Q886">
        <f>IF(E886="USD",CONFIG!$B$5,1)</f>
        <v>1</v>
      </c>
      <c r="R886" t="str">
        <f t="shared" si="65"/>
        <v>✗ ERROR: Revisa datos</v>
      </c>
      <c r="S886" t="str">
        <f t="shared" ca="1" si="66"/>
        <v/>
      </c>
      <c r="T886" t="str">
        <f>IF(E886="USD",F886,IF(E886="CRC",F886/CONFIG!$B$5,""))</f>
        <v/>
      </c>
      <c r="U886" t="str">
        <f t="shared" si="67"/>
        <v/>
      </c>
      <c r="V886" t="str">
        <f t="shared" ca="1" si="68"/>
        <v/>
      </c>
      <c r="W886" t="str">
        <f t="shared" ca="1" si="69"/>
        <v/>
      </c>
    </row>
    <row r="887" spans="17:23" x14ac:dyDescent="0.25">
      <c r="Q887">
        <f>IF(E887="USD",CONFIG!$B$5,1)</f>
        <v>1</v>
      </c>
      <c r="R887" t="str">
        <f t="shared" si="65"/>
        <v>✗ ERROR: Revisa datos</v>
      </c>
      <c r="S887" t="str">
        <f t="shared" ca="1" si="66"/>
        <v/>
      </c>
      <c r="T887" t="str">
        <f>IF(E887="USD",F887,IF(E887="CRC",F887/CONFIG!$B$5,""))</f>
        <v/>
      </c>
      <c r="U887" t="str">
        <f t="shared" si="67"/>
        <v/>
      </c>
      <c r="V887" t="str">
        <f t="shared" ca="1" si="68"/>
        <v/>
      </c>
      <c r="W887" t="str">
        <f t="shared" ca="1" si="69"/>
        <v/>
      </c>
    </row>
    <row r="888" spans="17:23" x14ac:dyDescent="0.25">
      <c r="Q888">
        <f>IF(E888="USD",CONFIG!$B$5,1)</f>
        <v>1</v>
      </c>
      <c r="R888" t="str">
        <f t="shared" si="65"/>
        <v>✗ ERROR: Revisa datos</v>
      </c>
      <c r="S888" t="str">
        <f t="shared" ca="1" si="66"/>
        <v/>
      </c>
      <c r="T888" t="str">
        <f>IF(E888="USD",F888,IF(E888="CRC",F888/CONFIG!$B$5,""))</f>
        <v/>
      </c>
      <c r="U888" t="str">
        <f t="shared" si="67"/>
        <v/>
      </c>
      <c r="V888" t="str">
        <f t="shared" ca="1" si="68"/>
        <v/>
      </c>
      <c r="W888" t="str">
        <f t="shared" ca="1" si="69"/>
        <v/>
      </c>
    </row>
    <row r="889" spans="17:23" x14ac:dyDescent="0.25">
      <c r="Q889">
        <f>IF(E889="USD",CONFIG!$B$5,1)</f>
        <v>1</v>
      </c>
      <c r="R889" t="str">
        <f t="shared" si="65"/>
        <v>✗ ERROR: Revisa datos</v>
      </c>
      <c r="S889" t="str">
        <f t="shared" ca="1" si="66"/>
        <v/>
      </c>
      <c r="T889" t="str">
        <f>IF(E889="USD",F889,IF(E889="CRC",F889/CONFIG!$B$5,""))</f>
        <v/>
      </c>
      <c r="U889" t="str">
        <f t="shared" si="67"/>
        <v/>
      </c>
      <c r="V889" t="str">
        <f t="shared" ca="1" si="68"/>
        <v/>
      </c>
      <c r="W889" t="str">
        <f t="shared" ca="1" si="69"/>
        <v/>
      </c>
    </row>
    <row r="890" spans="17:23" x14ac:dyDescent="0.25">
      <c r="Q890">
        <f>IF(E890="USD",CONFIG!$B$5,1)</f>
        <v>1</v>
      </c>
      <c r="R890" t="str">
        <f t="shared" si="65"/>
        <v>✗ ERROR: Revisa datos</v>
      </c>
      <c r="S890" t="str">
        <f t="shared" ca="1" si="66"/>
        <v/>
      </c>
      <c r="T890" t="str">
        <f>IF(E890="USD",F890,IF(E890="CRC",F890/CONFIG!$B$5,""))</f>
        <v/>
      </c>
      <c r="U890" t="str">
        <f t="shared" si="67"/>
        <v/>
      </c>
      <c r="V890" t="str">
        <f t="shared" ca="1" si="68"/>
        <v/>
      </c>
      <c r="W890" t="str">
        <f t="shared" ca="1" si="69"/>
        <v/>
      </c>
    </row>
    <row r="891" spans="17:23" x14ac:dyDescent="0.25">
      <c r="Q891">
        <f>IF(E891="USD",CONFIG!$B$5,1)</f>
        <v>1</v>
      </c>
      <c r="R891" t="str">
        <f t="shared" si="65"/>
        <v>✗ ERROR: Revisa datos</v>
      </c>
      <c r="S891" t="str">
        <f t="shared" ca="1" si="66"/>
        <v/>
      </c>
      <c r="T891" t="str">
        <f>IF(E891="USD",F891,IF(E891="CRC",F891/CONFIG!$B$5,""))</f>
        <v/>
      </c>
      <c r="U891" t="str">
        <f t="shared" si="67"/>
        <v/>
      </c>
      <c r="V891" t="str">
        <f t="shared" ca="1" si="68"/>
        <v/>
      </c>
      <c r="W891" t="str">
        <f t="shared" ca="1" si="69"/>
        <v/>
      </c>
    </row>
    <row r="892" spans="17:23" x14ac:dyDescent="0.25">
      <c r="Q892">
        <f>IF(E892="USD",CONFIG!$B$5,1)</f>
        <v>1</v>
      </c>
      <c r="R892" t="str">
        <f t="shared" si="65"/>
        <v>✗ ERROR: Revisa datos</v>
      </c>
      <c r="S892" t="str">
        <f t="shared" ca="1" si="66"/>
        <v/>
      </c>
      <c r="T892" t="str">
        <f>IF(E892="USD",F892,IF(E892="CRC",F892/CONFIG!$B$5,""))</f>
        <v/>
      </c>
      <c r="U892" t="str">
        <f t="shared" si="67"/>
        <v/>
      </c>
      <c r="V892" t="str">
        <f t="shared" ca="1" si="68"/>
        <v/>
      </c>
      <c r="W892" t="str">
        <f t="shared" ca="1" si="69"/>
        <v/>
      </c>
    </row>
    <row r="893" spans="17:23" x14ac:dyDescent="0.25">
      <c r="Q893">
        <f>IF(E893="USD",CONFIG!$B$5,1)</f>
        <v>1</v>
      </c>
      <c r="R893" t="str">
        <f t="shared" si="65"/>
        <v>✗ ERROR: Revisa datos</v>
      </c>
      <c r="S893" t="str">
        <f t="shared" ca="1" si="66"/>
        <v/>
      </c>
      <c r="T893" t="str">
        <f>IF(E893="USD",F893,IF(E893="CRC",F893/CONFIG!$B$5,""))</f>
        <v/>
      </c>
      <c r="U893" t="str">
        <f t="shared" si="67"/>
        <v/>
      </c>
      <c r="V893" t="str">
        <f t="shared" ca="1" si="68"/>
        <v/>
      </c>
      <c r="W893" t="str">
        <f t="shared" ca="1" si="69"/>
        <v/>
      </c>
    </row>
    <row r="894" spans="17:23" x14ac:dyDescent="0.25">
      <c r="Q894">
        <f>IF(E894="USD",CONFIG!$B$5,1)</f>
        <v>1</v>
      </c>
      <c r="R894" t="str">
        <f t="shared" si="65"/>
        <v>✗ ERROR: Revisa datos</v>
      </c>
      <c r="S894" t="str">
        <f t="shared" ca="1" si="66"/>
        <v/>
      </c>
      <c r="T894" t="str">
        <f>IF(E894="USD",F894,IF(E894="CRC",F894/CONFIG!$B$5,""))</f>
        <v/>
      </c>
      <c r="U894" t="str">
        <f t="shared" si="67"/>
        <v/>
      </c>
      <c r="V894" t="str">
        <f t="shared" ca="1" si="68"/>
        <v/>
      </c>
      <c r="W894" t="str">
        <f t="shared" ca="1" si="69"/>
        <v/>
      </c>
    </row>
    <row r="895" spans="17:23" x14ac:dyDescent="0.25">
      <c r="Q895">
        <f>IF(E895="USD",CONFIG!$B$5,1)</f>
        <v>1</v>
      </c>
      <c r="R895" t="str">
        <f t="shared" si="65"/>
        <v>✗ ERROR: Revisa datos</v>
      </c>
      <c r="S895" t="str">
        <f t="shared" ca="1" si="66"/>
        <v/>
      </c>
      <c r="T895" t="str">
        <f>IF(E895="USD",F895,IF(E895="CRC",F895/CONFIG!$B$5,""))</f>
        <v/>
      </c>
      <c r="U895" t="str">
        <f t="shared" si="67"/>
        <v/>
      </c>
      <c r="V895" t="str">
        <f t="shared" ca="1" si="68"/>
        <v/>
      </c>
      <c r="W895" t="str">
        <f t="shared" ca="1" si="69"/>
        <v/>
      </c>
    </row>
    <row r="896" spans="17:23" x14ac:dyDescent="0.25">
      <c r="Q896">
        <f>IF(E896="USD",CONFIG!$B$5,1)</f>
        <v>1</v>
      </c>
      <c r="R896" t="str">
        <f t="shared" si="65"/>
        <v>✗ ERROR: Revisa datos</v>
      </c>
      <c r="S896" t="str">
        <f t="shared" ca="1" si="66"/>
        <v/>
      </c>
      <c r="T896" t="str">
        <f>IF(E896="USD",F896,IF(E896="CRC",F896/CONFIG!$B$5,""))</f>
        <v/>
      </c>
      <c r="U896" t="str">
        <f t="shared" si="67"/>
        <v/>
      </c>
      <c r="V896" t="str">
        <f t="shared" ca="1" si="68"/>
        <v/>
      </c>
      <c r="W896" t="str">
        <f t="shared" ca="1" si="69"/>
        <v/>
      </c>
    </row>
    <row r="897" spans="17:23" x14ac:dyDescent="0.25">
      <c r="Q897">
        <f>IF(E897="USD",CONFIG!$B$5,1)</f>
        <v>1</v>
      </c>
      <c r="R897" t="str">
        <f t="shared" si="65"/>
        <v>✗ ERROR: Revisa datos</v>
      </c>
      <c r="S897" t="str">
        <f t="shared" ca="1" si="66"/>
        <v/>
      </c>
      <c r="T897" t="str">
        <f>IF(E897="USD",F897,IF(E897="CRC",F897/CONFIG!$B$5,""))</f>
        <v/>
      </c>
      <c r="U897" t="str">
        <f t="shared" si="67"/>
        <v/>
      </c>
      <c r="V897" t="str">
        <f t="shared" ca="1" si="68"/>
        <v/>
      </c>
      <c r="W897" t="str">
        <f t="shared" ca="1" si="69"/>
        <v/>
      </c>
    </row>
    <row r="898" spans="17:23" x14ac:dyDescent="0.25">
      <c r="Q898">
        <f>IF(E898="USD",CONFIG!$B$5,1)</f>
        <v>1</v>
      </c>
      <c r="R898" t="str">
        <f t="shared" si="65"/>
        <v>✗ ERROR: Revisa datos</v>
      </c>
      <c r="S898" t="str">
        <f t="shared" ca="1" si="66"/>
        <v/>
      </c>
      <c r="T898" t="str">
        <f>IF(E898="USD",F898,IF(E898="CRC",F898/CONFIG!$B$5,""))</f>
        <v/>
      </c>
      <c r="U898" t="str">
        <f t="shared" si="67"/>
        <v/>
      </c>
      <c r="V898" t="str">
        <f t="shared" ca="1" si="68"/>
        <v/>
      </c>
      <c r="W898" t="str">
        <f t="shared" ca="1" si="69"/>
        <v/>
      </c>
    </row>
    <row r="899" spans="17:23" x14ac:dyDescent="0.25">
      <c r="Q899">
        <f>IF(E899="USD",CONFIG!$B$5,1)</f>
        <v>1</v>
      </c>
      <c r="R899" t="str">
        <f t="shared" ref="R899:R962" si="70">IF(AND(A899&lt;&gt;"",ISNUMBER(A899),B899&lt;&gt;"",C899&lt;&gt;"",OR(E899="USD",E899="CRC"),F899&gt;0,ISNUMBER(Q899),Q899&gt;0),"✓ OK","✗ ERROR: Revisa datos")</f>
        <v>✗ ERROR: Revisa datos</v>
      </c>
      <c r="S899" t="str">
        <f t="shared" ca="1" si="66"/>
        <v/>
      </c>
      <c r="T899" t="str">
        <f>IF(E899="USD",F899,IF(E899="CRC",F899/CONFIG!$B$5,""))</f>
        <v/>
      </c>
      <c r="U899" t="str">
        <f t="shared" si="67"/>
        <v/>
      </c>
      <c r="V899" t="str">
        <f t="shared" ca="1" si="68"/>
        <v/>
      </c>
      <c r="W899" t="str">
        <f t="shared" ca="1" si="69"/>
        <v/>
      </c>
    </row>
    <row r="900" spans="17:23" x14ac:dyDescent="0.25">
      <c r="Q900">
        <f>IF(E900="USD",CONFIG!$B$5,1)</f>
        <v>1</v>
      </c>
      <c r="R900" t="str">
        <f t="shared" si="70"/>
        <v>✗ ERROR: Revisa datos</v>
      </c>
      <c r="S900" t="str">
        <f t="shared" ca="1" si="66"/>
        <v/>
      </c>
      <c r="T900" t="str">
        <f>IF(E900="USD",F900,IF(E900="CRC",F900/CONFIG!$B$5,""))</f>
        <v/>
      </c>
      <c r="U900" t="str">
        <f t="shared" si="67"/>
        <v/>
      </c>
      <c r="V900" t="str">
        <f t="shared" ca="1" si="68"/>
        <v/>
      </c>
      <c r="W900" t="str">
        <f t="shared" ca="1" si="69"/>
        <v/>
      </c>
    </row>
    <row r="901" spans="17:23" x14ac:dyDescent="0.25">
      <c r="Q901">
        <f>IF(E901="USD",CONFIG!$B$5,1)</f>
        <v>1</v>
      </c>
      <c r="R901" t="str">
        <f t="shared" si="70"/>
        <v>✗ ERROR: Revisa datos</v>
      </c>
      <c r="S901" t="str">
        <f t="shared" ca="1" si="66"/>
        <v/>
      </c>
      <c r="T901" t="str">
        <f>IF(E901="USD",F901,IF(E901="CRC",F901/CONFIG!$B$5,""))</f>
        <v/>
      </c>
      <c r="U901" t="str">
        <f t="shared" si="67"/>
        <v/>
      </c>
      <c r="V901" t="str">
        <f t="shared" ca="1" si="68"/>
        <v/>
      </c>
      <c r="W901" t="str">
        <f t="shared" ca="1" si="69"/>
        <v/>
      </c>
    </row>
    <row r="902" spans="17:23" x14ac:dyDescent="0.25">
      <c r="Q902">
        <f>IF(E902="USD",CONFIG!$B$5,1)</f>
        <v>1</v>
      </c>
      <c r="R902" t="str">
        <f t="shared" si="70"/>
        <v>✗ ERROR: Revisa datos</v>
      </c>
      <c r="S902" t="str">
        <f t="shared" ca="1" si="66"/>
        <v/>
      </c>
      <c r="T902" t="str">
        <f>IF(E902="USD",F902,IF(E902="CRC",F902/CONFIG!$B$5,""))</f>
        <v/>
      </c>
      <c r="U902" t="str">
        <f t="shared" si="67"/>
        <v/>
      </c>
      <c r="V902" t="str">
        <f t="shared" ca="1" si="68"/>
        <v/>
      </c>
      <c r="W902" t="str">
        <f t="shared" ca="1" si="69"/>
        <v/>
      </c>
    </row>
    <row r="903" spans="17:23" x14ac:dyDescent="0.25">
      <c r="Q903">
        <f>IF(E903="USD",CONFIG!$B$5,1)</f>
        <v>1</v>
      </c>
      <c r="R903" t="str">
        <f t="shared" si="70"/>
        <v>✗ ERROR: Revisa datos</v>
      </c>
      <c r="S903" t="str">
        <f t="shared" ref="S903:S966" ca="1" si="71">IF(A903&lt;&gt;"",TODAY()-A903,"")</f>
        <v/>
      </c>
      <c r="T903" t="str">
        <f>IF(E903="USD",F903,IF(E903="CRC",F903/CONFIG!$B$5,""))</f>
        <v/>
      </c>
      <c r="U903" t="str">
        <f t="shared" ref="U903:U966" si="72">IF(A903&lt;&gt;"",A903+30,"")</f>
        <v/>
      </c>
      <c r="V903" t="str">
        <f t="shared" ref="V903:V966" ca="1" si="73">IF(AND(C903="CxP",S903&gt;60),"Alta",IF(AND(C903="CxP",S903&gt;30),"Media",IF(C903="CxP","Baja","")))</f>
        <v/>
      </c>
      <c r="W903" t="str">
        <f t="shared" ref="W903:W966" ca="1" si="74">IF(AND(C903="CxC",S903&gt;90),"Alta",IF(AND(C903="CxC",S903&gt;60),"Media",IF(C903="CxC","Baja","")))</f>
        <v/>
      </c>
    </row>
    <row r="904" spans="17:23" x14ac:dyDescent="0.25">
      <c r="Q904">
        <f>IF(E904="USD",CONFIG!$B$5,1)</f>
        <v>1</v>
      </c>
      <c r="R904" t="str">
        <f t="shared" si="70"/>
        <v>✗ ERROR: Revisa datos</v>
      </c>
      <c r="S904" t="str">
        <f t="shared" ca="1" si="71"/>
        <v/>
      </c>
      <c r="T904" t="str">
        <f>IF(E904="USD",F904,IF(E904="CRC",F904/CONFIG!$B$5,""))</f>
        <v/>
      </c>
      <c r="U904" t="str">
        <f t="shared" si="72"/>
        <v/>
      </c>
      <c r="V904" t="str">
        <f t="shared" ca="1" si="73"/>
        <v/>
      </c>
      <c r="W904" t="str">
        <f t="shared" ca="1" si="74"/>
        <v/>
      </c>
    </row>
    <row r="905" spans="17:23" x14ac:dyDescent="0.25">
      <c r="Q905">
        <f>IF(E905="USD",CONFIG!$B$5,1)</f>
        <v>1</v>
      </c>
      <c r="R905" t="str">
        <f t="shared" si="70"/>
        <v>✗ ERROR: Revisa datos</v>
      </c>
      <c r="S905" t="str">
        <f t="shared" ca="1" si="71"/>
        <v/>
      </c>
      <c r="T905" t="str">
        <f>IF(E905="USD",F905,IF(E905="CRC",F905/CONFIG!$B$5,""))</f>
        <v/>
      </c>
      <c r="U905" t="str">
        <f t="shared" si="72"/>
        <v/>
      </c>
      <c r="V905" t="str">
        <f t="shared" ca="1" si="73"/>
        <v/>
      </c>
      <c r="W905" t="str">
        <f t="shared" ca="1" si="74"/>
        <v/>
      </c>
    </row>
    <row r="906" spans="17:23" x14ac:dyDescent="0.25">
      <c r="Q906">
        <f>IF(E906="USD",CONFIG!$B$5,1)</f>
        <v>1</v>
      </c>
      <c r="R906" t="str">
        <f t="shared" si="70"/>
        <v>✗ ERROR: Revisa datos</v>
      </c>
      <c r="S906" t="str">
        <f t="shared" ca="1" si="71"/>
        <v/>
      </c>
      <c r="T906" t="str">
        <f>IF(E906="USD",F906,IF(E906="CRC",F906/CONFIG!$B$5,""))</f>
        <v/>
      </c>
      <c r="U906" t="str">
        <f t="shared" si="72"/>
        <v/>
      </c>
      <c r="V906" t="str">
        <f t="shared" ca="1" si="73"/>
        <v/>
      </c>
      <c r="W906" t="str">
        <f t="shared" ca="1" si="74"/>
        <v/>
      </c>
    </row>
    <row r="907" spans="17:23" x14ac:dyDescent="0.25">
      <c r="Q907">
        <f>IF(E907="USD",CONFIG!$B$5,1)</f>
        <v>1</v>
      </c>
      <c r="R907" t="str">
        <f t="shared" si="70"/>
        <v>✗ ERROR: Revisa datos</v>
      </c>
      <c r="S907" t="str">
        <f t="shared" ca="1" si="71"/>
        <v/>
      </c>
      <c r="T907" t="str">
        <f>IF(E907="USD",F907,IF(E907="CRC",F907/CONFIG!$B$5,""))</f>
        <v/>
      </c>
      <c r="U907" t="str">
        <f t="shared" si="72"/>
        <v/>
      </c>
      <c r="V907" t="str">
        <f t="shared" ca="1" si="73"/>
        <v/>
      </c>
      <c r="W907" t="str">
        <f t="shared" ca="1" si="74"/>
        <v/>
      </c>
    </row>
    <row r="908" spans="17:23" x14ac:dyDescent="0.25">
      <c r="Q908">
        <f>IF(E908="USD",CONFIG!$B$5,1)</f>
        <v>1</v>
      </c>
      <c r="R908" t="str">
        <f t="shared" si="70"/>
        <v>✗ ERROR: Revisa datos</v>
      </c>
      <c r="S908" t="str">
        <f t="shared" ca="1" si="71"/>
        <v/>
      </c>
      <c r="T908" t="str">
        <f>IF(E908="USD",F908,IF(E908="CRC",F908/CONFIG!$B$5,""))</f>
        <v/>
      </c>
      <c r="U908" t="str">
        <f t="shared" si="72"/>
        <v/>
      </c>
      <c r="V908" t="str">
        <f t="shared" ca="1" si="73"/>
        <v/>
      </c>
      <c r="W908" t="str">
        <f t="shared" ca="1" si="74"/>
        <v/>
      </c>
    </row>
    <row r="909" spans="17:23" x14ac:dyDescent="0.25">
      <c r="Q909">
        <f>IF(E909="USD",CONFIG!$B$5,1)</f>
        <v>1</v>
      </c>
      <c r="R909" t="str">
        <f t="shared" si="70"/>
        <v>✗ ERROR: Revisa datos</v>
      </c>
      <c r="S909" t="str">
        <f t="shared" ca="1" si="71"/>
        <v/>
      </c>
      <c r="T909" t="str">
        <f>IF(E909="USD",F909,IF(E909="CRC",F909/CONFIG!$B$5,""))</f>
        <v/>
      </c>
      <c r="U909" t="str">
        <f t="shared" si="72"/>
        <v/>
      </c>
      <c r="V909" t="str">
        <f t="shared" ca="1" si="73"/>
        <v/>
      </c>
      <c r="W909" t="str">
        <f t="shared" ca="1" si="74"/>
        <v/>
      </c>
    </row>
    <row r="910" spans="17:23" x14ac:dyDescent="0.25">
      <c r="Q910">
        <f>IF(E910="USD",CONFIG!$B$5,1)</f>
        <v>1</v>
      </c>
      <c r="R910" t="str">
        <f t="shared" si="70"/>
        <v>✗ ERROR: Revisa datos</v>
      </c>
      <c r="S910" t="str">
        <f t="shared" ca="1" si="71"/>
        <v/>
      </c>
      <c r="T910" t="str">
        <f>IF(E910="USD",F910,IF(E910="CRC",F910/CONFIG!$B$5,""))</f>
        <v/>
      </c>
      <c r="U910" t="str">
        <f t="shared" si="72"/>
        <v/>
      </c>
      <c r="V910" t="str">
        <f t="shared" ca="1" si="73"/>
        <v/>
      </c>
      <c r="W910" t="str">
        <f t="shared" ca="1" si="74"/>
        <v/>
      </c>
    </row>
    <row r="911" spans="17:23" x14ac:dyDescent="0.25">
      <c r="Q911">
        <f>IF(E911="USD",CONFIG!$B$5,1)</f>
        <v>1</v>
      </c>
      <c r="R911" t="str">
        <f t="shared" si="70"/>
        <v>✗ ERROR: Revisa datos</v>
      </c>
      <c r="S911" t="str">
        <f t="shared" ca="1" si="71"/>
        <v/>
      </c>
      <c r="T911" t="str">
        <f>IF(E911="USD",F911,IF(E911="CRC",F911/CONFIG!$B$5,""))</f>
        <v/>
      </c>
      <c r="U911" t="str">
        <f t="shared" si="72"/>
        <v/>
      </c>
      <c r="V911" t="str">
        <f t="shared" ca="1" si="73"/>
        <v/>
      </c>
      <c r="W911" t="str">
        <f t="shared" ca="1" si="74"/>
        <v/>
      </c>
    </row>
    <row r="912" spans="17:23" x14ac:dyDescent="0.25">
      <c r="Q912">
        <f>IF(E912="USD",CONFIG!$B$5,1)</f>
        <v>1</v>
      </c>
      <c r="R912" t="str">
        <f t="shared" si="70"/>
        <v>✗ ERROR: Revisa datos</v>
      </c>
      <c r="S912" t="str">
        <f t="shared" ca="1" si="71"/>
        <v/>
      </c>
      <c r="T912" t="str">
        <f>IF(E912="USD",F912,IF(E912="CRC",F912/CONFIG!$B$5,""))</f>
        <v/>
      </c>
      <c r="U912" t="str">
        <f t="shared" si="72"/>
        <v/>
      </c>
      <c r="V912" t="str">
        <f t="shared" ca="1" si="73"/>
        <v/>
      </c>
      <c r="W912" t="str">
        <f t="shared" ca="1" si="74"/>
        <v/>
      </c>
    </row>
    <row r="913" spans="17:23" x14ac:dyDescent="0.25">
      <c r="Q913">
        <f>IF(E913="USD",CONFIG!$B$5,1)</f>
        <v>1</v>
      </c>
      <c r="R913" t="str">
        <f t="shared" si="70"/>
        <v>✗ ERROR: Revisa datos</v>
      </c>
      <c r="S913" t="str">
        <f t="shared" ca="1" si="71"/>
        <v/>
      </c>
      <c r="T913" t="str">
        <f>IF(E913="USD",F913,IF(E913="CRC",F913/CONFIG!$B$5,""))</f>
        <v/>
      </c>
      <c r="U913" t="str">
        <f t="shared" si="72"/>
        <v/>
      </c>
      <c r="V913" t="str">
        <f t="shared" ca="1" si="73"/>
        <v/>
      </c>
      <c r="W913" t="str">
        <f t="shared" ca="1" si="74"/>
        <v/>
      </c>
    </row>
    <row r="914" spans="17:23" x14ac:dyDescent="0.25">
      <c r="Q914">
        <f>IF(E914="USD",CONFIG!$B$5,1)</f>
        <v>1</v>
      </c>
      <c r="R914" t="str">
        <f t="shared" si="70"/>
        <v>✗ ERROR: Revisa datos</v>
      </c>
      <c r="S914" t="str">
        <f t="shared" ca="1" si="71"/>
        <v/>
      </c>
      <c r="T914" t="str">
        <f>IF(E914="USD",F914,IF(E914="CRC",F914/CONFIG!$B$5,""))</f>
        <v/>
      </c>
      <c r="U914" t="str">
        <f t="shared" si="72"/>
        <v/>
      </c>
      <c r="V914" t="str">
        <f t="shared" ca="1" si="73"/>
        <v/>
      </c>
      <c r="W914" t="str">
        <f t="shared" ca="1" si="74"/>
        <v/>
      </c>
    </row>
    <row r="915" spans="17:23" x14ac:dyDescent="0.25">
      <c r="Q915">
        <f>IF(E915="USD",CONFIG!$B$5,1)</f>
        <v>1</v>
      </c>
      <c r="R915" t="str">
        <f t="shared" si="70"/>
        <v>✗ ERROR: Revisa datos</v>
      </c>
      <c r="S915" t="str">
        <f t="shared" ca="1" si="71"/>
        <v/>
      </c>
      <c r="T915" t="str">
        <f>IF(E915="USD",F915,IF(E915="CRC",F915/CONFIG!$B$5,""))</f>
        <v/>
      </c>
      <c r="U915" t="str">
        <f t="shared" si="72"/>
        <v/>
      </c>
      <c r="V915" t="str">
        <f t="shared" ca="1" si="73"/>
        <v/>
      </c>
      <c r="W915" t="str">
        <f t="shared" ca="1" si="74"/>
        <v/>
      </c>
    </row>
    <row r="916" spans="17:23" x14ac:dyDescent="0.25">
      <c r="Q916">
        <f>IF(E916="USD",CONFIG!$B$5,1)</f>
        <v>1</v>
      </c>
      <c r="R916" t="str">
        <f t="shared" si="70"/>
        <v>✗ ERROR: Revisa datos</v>
      </c>
      <c r="S916" t="str">
        <f t="shared" ca="1" si="71"/>
        <v/>
      </c>
      <c r="T916" t="str">
        <f>IF(E916="USD",F916,IF(E916="CRC",F916/CONFIG!$B$5,""))</f>
        <v/>
      </c>
      <c r="U916" t="str">
        <f t="shared" si="72"/>
        <v/>
      </c>
      <c r="V916" t="str">
        <f t="shared" ca="1" si="73"/>
        <v/>
      </c>
      <c r="W916" t="str">
        <f t="shared" ca="1" si="74"/>
        <v/>
      </c>
    </row>
    <row r="917" spans="17:23" x14ac:dyDescent="0.25">
      <c r="Q917">
        <f>IF(E917="USD",CONFIG!$B$5,1)</f>
        <v>1</v>
      </c>
      <c r="R917" t="str">
        <f t="shared" si="70"/>
        <v>✗ ERROR: Revisa datos</v>
      </c>
      <c r="S917" t="str">
        <f t="shared" ca="1" si="71"/>
        <v/>
      </c>
      <c r="T917" t="str">
        <f>IF(E917="USD",F917,IF(E917="CRC",F917/CONFIG!$B$5,""))</f>
        <v/>
      </c>
      <c r="U917" t="str">
        <f t="shared" si="72"/>
        <v/>
      </c>
      <c r="V917" t="str">
        <f t="shared" ca="1" si="73"/>
        <v/>
      </c>
      <c r="W917" t="str">
        <f t="shared" ca="1" si="74"/>
        <v/>
      </c>
    </row>
    <row r="918" spans="17:23" x14ac:dyDescent="0.25">
      <c r="Q918">
        <f>IF(E918="USD",CONFIG!$B$5,1)</f>
        <v>1</v>
      </c>
      <c r="R918" t="str">
        <f t="shared" si="70"/>
        <v>✗ ERROR: Revisa datos</v>
      </c>
      <c r="S918" t="str">
        <f t="shared" ca="1" si="71"/>
        <v/>
      </c>
      <c r="T918" t="str">
        <f>IF(E918="USD",F918,IF(E918="CRC",F918/CONFIG!$B$5,""))</f>
        <v/>
      </c>
      <c r="U918" t="str">
        <f t="shared" si="72"/>
        <v/>
      </c>
      <c r="V918" t="str">
        <f t="shared" ca="1" si="73"/>
        <v/>
      </c>
      <c r="W918" t="str">
        <f t="shared" ca="1" si="74"/>
        <v/>
      </c>
    </row>
    <row r="919" spans="17:23" x14ac:dyDescent="0.25">
      <c r="Q919">
        <f>IF(E919="USD",CONFIG!$B$5,1)</f>
        <v>1</v>
      </c>
      <c r="R919" t="str">
        <f t="shared" si="70"/>
        <v>✗ ERROR: Revisa datos</v>
      </c>
      <c r="S919" t="str">
        <f t="shared" ca="1" si="71"/>
        <v/>
      </c>
      <c r="T919" t="str">
        <f>IF(E919="USD",F919,IF(E919="CRC",F919/CONFIG!$B$5,""))</f>
        <v/>
      </c>
      <c r="U919" t="str">
        <f t="shared" si="72"/>
        <v/>
      </c>
      <c r="V919" t="str">
        <f t="shared" ca="1" si="73"/>
        <v/>
      </c>
      <c r="W919" t="str">
        <f t="shared" ca="1" si="74"/>
        <v/>
      </c>
    </row>
    <row r="920" spans="17:23" x14ac:dyDescent="0.25">
      <c r="Q920">
        <f>IF(E920="USD",CONFIG!$B$5,1)</f>
        <v>1</v>
      </c>
      <c r="R920" t="str">
        <f t="shared" si="70"/>
        <v>✗ ERROR: Revisa datos</v>
      </c>
      <c r="S920" t="str">
        <f t="shared" ca="1" si="71"/>
        <v/>
      </c>
      <c r="T920" t="str">
        <f>IF(E920="USD",F920,IF(E920="CRC",F920/CONFIG!$B$5,""))</f>
        <v/>
      </c>
      <c r="U920" t="str">
        <f t="shared" si="72"/>
        <v/>
      </c>
      <c r="V920" t="str">
        <f t="shared" ca="1" si="73"/>
        <v/>
      </c>
      <c r="W920" t="str">
        <f t="shared" ca="1" si="74"/>
        <v/>
      </c>
    </row>
    <row r="921" spans="17:23" x14ac:dyDescent="0.25">
      <c r="Q921">
        <f>IF(E921="USD",CONFIG!$B$5,1)</f>
        <v>1</v>
      </c>
      <c r="R921" t="str">
        <f t="shared" si="70"/>
        <v>✗ ERROR: Revisa datos</v>
      </c>
      <c r="S921" t="str">
        <f t="shared" ca="1" si="71"/>
        <v/>
      </c>
      <c r="T921" t="str">
        <f>IF(E921="USD",F921,IF(E921="CRC",F921/CONFIG!$B$5,""))</f>
        <v/>
      </c>
      <c r="U921" t="str">
        <f t="shared" si="72"/>
        <v/>
      </c>
      <c r="V921" t="str">
        <f t="shared" ca="1" si="73"/>
        <v/>
      </c>
      <c r="W921" t="str">
        <f t="shared" ca="1" si="74"/>
        <v/>
      </c>
    </row>
    <row r="922" spans="17:23" x14ac:dyDescent="0.25">
      <c r="Q922">
        <f>IF(E922="USD",CONFIG!$B$5,1)</f>
        <v>1</v>
      </c>
      <c r="R922" t="str">
        <f t="shared" si="70"/>
        <v>✗ ERROR: Revisa datos</v>
      </c>
      <c r="S922" t="str">
        <f t="shared" ca="1" si="71"/>
        <v/>
      </c>
      <c r="T922" t="str">
        <f>IF(E922="USD",F922,IF(E922="CRC",F922/CONFIG!$B$5,""))</f>
        <v/>
      </c>
      <c r="U922" t="str">
        <f t="shared" si="72"/>
        <v/>
      </c>
      <c r="V922" t="str">
        <f t="shared" ca="1" si="73"/>
        <v/>
      </c>
      <c r="W922" t="str">
        <f t="shared" ca="1" si="74"/>
        <v/>
      </c>
    </row>
    <row r="923" spans="17:23" x14ac:dyDescent="0.25">
      <c r="Q923">
        <f>IF(E923="USD",CONFIG!$B$5,1)</f>
        <v>1</v>
      </c>
      <c r="R923" t="str">
        <f t="shared" si="70"/>
        <v>✗ ERROR: Revisa datos</v>
      </c>
      <c r="S923" t="str">
        <f t="shared" ca="1" si="71"/>
        <v/>
      </c>
      <c r="T923" t="str">
        <f>IF(E923="USD",F923,IF(E923="CRC",F923/CONFIG!$B$5,""))</f>
        <v/>
      </c>
      <c r="U923" t="str">
        <f t="shared" si="72"/>
        <v/>
      </c>
      <c r="V923" t="str">
        <f t="shared" ca="1" si="73"/>
        <v/>
      </c>
      <c r="W923" t="str">
        <f t="shared" ca="1" si="74"/>
        <v/>
      </c>
    </row>
    <row r="924" spans="17:23" x14ac:dyDescent="0.25">
      <c r="Q924">
        <f>IF(E924="USD",CONFIG!$B$5,1)</f>
        <v>1</v>
      </c>
      <c r="R924" t="str">
        <f t="shared" si="70"/>
        <v>✗ ERROR: Revisa datos</v>
      </c>
      <c r="S924" t="str">
        <f t="shared" ca="1" si="71"/>
        <v/>
      </c>
      <c r="T924" t="str">
        <f>IF(E924="USD",F924,IF(E924="CRC",F924/CONFIG!$B$5,""))</f>
        <v/>
      </c>
      <c r="U924" t="str">
        <f t="shared" si="72"/>
        <v/>
      </c>
      <c r="V924" t="str">
        <f t="shared" ca="1" si="73"/>
        <v/>
      </c>
      <c r="W924" t="str">
        <f t="shared" ca="1" si="74"/>
        <v/>
      </c>
    </row>
    <row r="925" spans="17:23" x14ac:dyDescent="0.25">
      <c r="Q925">
        <f>IF(E925="USD",CONFIG!$B$5,1)</f>
        <v>1</v>
      </c>
      <c r="R925" t="str">
        <f t="shared" si="70"/>
        <v>✗ ERROR: Revisa datos</v>
      </c>
      <c r="S925" t="str">
        <f t="shared" ca="1" si="71"/>
        <v/>
      </c>
      <c r="T925" t="str">
        <f>IF(E925="USD",F925,IF(E925="CRC",F925/CONFIG!$B$5,""))</f>
        <v/>
      </c>
      <c r="U925" t="str">
        <f t="shared" si="72"/>
        <v/>
      </c>
      <c r="V925" t="str">
        <f t="shared" ca="1" si="73"/>
        <v/>
      </c>
      <c r="W925" t="str">
        <f t="shared" ca="1" si="74"/>
        <v/>
      </c>
    </row>
    <row r="926" spans="17:23" x14ac:dyDescent="0.25">
      <c r="Q926">
        <f>IF(E926="USD",CONFIG!$B$5,1)</f>
        <v>1</v>
      </c>
      <c r="R926" t="str">
        <f t="shared" si="70"/>
        <v>✗ ERROR: Revisa datos</v>
      </c>
      <c r="S926" t="str">
        <f t="shared" ca="1" si="71"/>
        <v/>
      </c>
      <c r="T926" t="str">
        <f>IF(E926="USD",F926,IF(E926="CRC",F926/CONFIG!$B$5,""))</f>
        <v/>
      </c>
      <c r="U926" t="str">
        <f t="shared" si="72"/>
        <v/>
      </c>
      <c r="V926" t="str">
        <f t="shared" ca="1" si="73"/>
        <v/>
      </c>
      <c r="W926" t="str">
        <f t="shared" ca="1" si="74"/>
        <v/>
      </c>
    </row>
    <row r="927" spans="17:23" x14ac:dyDescent="0.25">
      <c r="Q927">
        <f>IF(E927="USD",CONFIG!$B$5,1)</f>
        <v>1</v>
      </c>
      <c r="R927" t="str">
        <f t="shared" si="70"/>
        <v>✗ ERROR: Revisa datos</v>
      </c>
      <c r="S927" t="str">
        <f t="shared" ca="1" si="71"/>
        <v/>
      </c>
      <c r="T927" t="str">
        <f>IF(E927="USD",F927,IF(E927="CRC",F927/CONFIG!$B$5,""))</f>
        <v/>
      </c>
      <c r="U927" t="str">
        <f t="shared" si="72"/>
        <v/>
      </c>
      <c r="V927" t="str">
        <f t="shared" ca="1" si="73"/>
        <v/>
      </c>
      <c r="W927" t="str">
        <f t="shared" ca="1" si="74"/>
        <v/>
      </c>
    </row>
    <row r="928" spans="17:23" x14ac:dyDescent="0.25">
      <c r="Q928">
        <f>IF(E928="USD",CONFIG!$B$5,1)</f>
        <v>1</v>
      </c>
      <c r="R928" t="str">
        <f t="shared" si="70"/>
        <v>✗ ERROR: Revisa datos</v>
      </c>
      <c r="S928" t="str">
        <f t="shared" ca="1" si="71"/>
        <v/>
      </c>
      <c r="T928" t="str">
        <f>IF(E928="USD",F928,IF(E928="CRC",F928/CONFIG!$B$5,""))</f>
        <v/>
      </c>
      <c r="U928" t="str">
        <f t="shared" si="72"/>
        <v/>
      </c>
      <c r="V928" t="str">
        <f t="shared" ca="1" si="73"/>
        <v/>
      </c>
      <c r="W928" t="str">
        <f t="shared" ca="1" si="74"/>
        <v/>
      </c>
    </row>
    <row r="929" spans="17:23" x14ac:dyDescent="0.25">
      <c r="Q929">
        <f>IF(E929="USD",CONFIG!$B$5,1)</f>
        <v>1</v>
      </c>
      <c r="R929" t="str">
        <f t="shared" si="70"/>
        <v>✗ ERROR: Revisa datos</v>
      </c>
      <c r="S929" t="str">
        <f t="shared" ca="1" si="71"/>
        <v/>
      </c>
      <c r="T929" t="str">
        <f>IF(E929="USD",F929,IF(E929="CRC",F929/CONFIG!$B$5,""))</f>
        <v/>
      </c>
      <c r="U929" t="str">
        <f t="shared" si="72"/>
        <v/>
      </c>
      <c r="V929" t="str">
        <f t="shared" ca="1" si="73"/>
        <v/>
      </c>
      <c r="W929" t="str">
        <f t="shared" ca="1" si="74"/>
        <v/>
      </c>
    </row>
    <row r="930" spans="17:23" x14ac:dyDescent="0.25">
      <c r="Q930">
        <f>IF(E930="USD",CONFIG!$B$5,1)</f>
        <v>1</v>
      </c>
      <c r="R930" t="str">
        <f t="shared" si="70"/>
        <v>✗ ERROR: Revisa datos</v>
      </c>
      <c r="S930" t="str">
        <f t="shared" ca="1" si="71"/>
        <v/>
      </c>
      <c r="T930" t="str">
        <f>IF(E930="USD",F930,IF(E930="CRC",F930/CONFIG!$B$5,""))</f>
        <v/>
      </c>
      <c r="U930" t="str">
        <f t="shared" si="72"/>
        <v/>
      </c>
      <c r="V930" t="str">
        <f t="shared" ca="1" si="73"/>
        <v/>
      </c>
      <c r="W930" t="str">
        <f t="shared" ca="1" si="74"/>
        <v/>
      </c>
    </row>
    <row r="931" spans="17:23" x14ac:dyDescent="0.25">
      <c r="Q931">
        <f>IF(E931="USD",CONFIG!$B$5,1)</f>
        <v>1</v>
      </c>
      <c r="R931" t="str">
        <f t="shared" si="70"/>
        <v>✗ ERROR: Revisa datos</v>
      </c>
      <c r="S931" t="str">
        <f t="shared" ca="1" si="71"/>
        <v/>
      </c>
      <c r="T931" t="str">
        <f>IF(E931="USD",F931,IF(E931="CRC",F931/CONFIG!$B$5,""))</f>
        <v/>
      </c>
      <c r="U931" t="str">
        <f t="shared" si="72"/>
        <v/>
      </c>
      <c r="V931" t="str">
        <f t="shared" ca="1" si="73"/>
        <v/>
      </c>
      <c r="W931" t="str">
        <f t="shared" ca="1" si="74"/>
        <v/>
      </c>
    </row>
    <row r="932" spans="17:23" x14ac:dyDescent="0.25">
      <c r="Q932">
        <f>IF(E932="USD",CONFIG!$B$5,1)</f>
        <v>1</v>
      </c>
      <c r="R932" t="str">
        <f t="shared" si="70"/>
        <v>✗ ERROR: Revisa datos</v>
      </c>
      <c r="S932" t="str">
        <f t="shared" ca="1" si="71"/>
        <v/>
      </c>
      <c r="T932" t="str">
        <f>IF(E932="USD",F932,IF(E932="CRC",F932/CONFIG!$B$5,""))</f>
        <v/>
      </c>
      <c r="U932" t="str">
        <f t="shared" si="72"/>
        <v/>
      </c>
      <c r="V932" t="str">
        <f t="shared" ca="1" si="73"/>
        <v/>
      </c>
      <c r="W932" t="str">
        <f t="shared" ca="1" si="74"/>
        <v/>
      </c>
    </row>
    <row r="933" spans="17:23" x14ac:dyDescent="0.25">
      <c r="Q933">
        <f>IF(E933="USD",CONFIG!$B$5,1)</f>
        <v>1</v>
      </c>
      <c r="R933" t="str">
        <f t="shared" si="70"/>
        <v>✗ ERROR: Revisa datos</v>
      </c>
      <c r="S933" t="str">
        <f t="shared" ca="1" si="71"/>
        <v/>
      </c>
      <c r="T933" t="str">
        <f>IF(E933="USD",F933,IF(E933="CRC",F933/CONFIG!$B$5,""))</f>
        <v/>
      </c>
      <c r="U933" t="str">
        <f t="shared" si="72"/>
        <v/>
      </c>
      <c r="V933" t="str">
        <f t="shared" ca="1" si="73"/>
        <v/>
      </c>
      <c r="W933" t="str">
        <f t="shared" ca="1" si="74"/>
        <v/>
      </c>
    </row>
    <row r="934" spans="17:23" x14ac:dyDescent="0.25">
      <c r="Q934">
        <f>IF(E934="USD",CONFIG!$B$5,1)</f>
        <v>1</v>
      </c>
      <c r="R934" t="str">
        <f t="shared" si="70"/>
        <v>✗ ERROR: Revisa datos</v>
      </c>
      <c r="S934" t="str">
        <f t="shared" ca="1" si="71"/>
        <v/>
      </c>
      <c r="T934" t="str">
        <f>IF(E934="USD",F934,IF(E934="CRC",F934/CONFIG!$B$5,""))</f>
        <v/>
      </c>
      <c r="U934" t="str">
        <f t="shared" si="72"/>
        <v/>
      </c>
      <c r="V934" t="str">
        <f t="shared" ca="1" si="73"/>
        <v/>
      </c>
      <c r="W934" t="str">
        <f t="shared" ca="1" si="74"/>
        <v/>
      </c>
    </row>
    <row r="935" spans="17:23" x14ac:dyDescent="0.25">
      <c r="Q935">
        <f>IF(E935="USD",CONFIG!$B$5,1)</f>
        <v>1</v>
      </c>
      <c r="R935" t="str">
        <f t="shared" si="70"/>
        <v>✗ ERROR: Revisa datos</v>
      </c>
      <c r="S935" t="str">
        <f t="shared" ca="1" si="71"/>
        <v/>
      </c>
      <c r="T935" t="str">
        <f>IF(E935="USD",F935,IF(E935="CRC",F935/CONFIG!$B$5,""))</f>
        <v/>
      </c>
      <c r="U935" t="str">
        <f t="shared" si="72"/>
        <v/>
      </c>
      <c r="V935" t="str">
        <f t="shared" ca="1" si="73"/>
        <v/>
      </c>
      <c r="W935" t="str">
        <f t="shared" ca="1" si="74"/>
        <v/>
      </c>
    </row>
    <row r="936" spans="17:23" x14ac:dyDescent="0.25">
      <c r="Q936">
        <f>IF(E936="USD",CONFIG!$B$5,1)</f>
        <v>1</v>
      </c>
      <c r="R936" t="str">
        <f t="shared" si="70"/>
        <v>✗ ERROR: Revisa datos</v>
      </c>
      <c r="S936" t="str">
        <f t="shared" ca="1" si="71"/>
        <v/>
      </c>
      <c r="T936" t="str">
        <f>IF(E936="USD",F936,IF(E936="CRC",F936/CONFIG!$B$5,""))</f>
        <v/>
      </c>
      <c r="U936" t="str">
        <f t="shared" si="72"/>
        <v/>
      </c>
      <c r="V936" t="str">
        <f t="shared" ca="1" si="73"/>
        <v/>
      </c>
      <c r="W936" t="str">
        <f t="shared" ca="1" si="74"/>
        <v/>
      </c>
    </row>
    <row r="937" spans="17:23" x14ac:dyDescent="0.25">
      <c r="Q937">
        <f>IF(E937="USD",CONFIG!$B$5,1)</f>
        <v>1</v>
      </c>
      <c r="R937" t="str">
        <f t="shared" si="70"/>
        <v>✗ ERROR: Revisa datos</v>
      </c>
      <c r="S937" t="str">
        <f t="shared" ca="1" si="71"/>
        <v/>
      </c>
      <c r="T937" t="str">
        <f>IF(E937="USD",F937,IF(E937="CRC",F937/CONFIG!$B$5,""))</f>
        <v/>
      </c>
      <c r="U937" t="str">
        <f t="shared" si="72"/>
        <v/>
      </c>
      <c r="V937" t="str">
        <f t="shared" ca="1" si="73"/>
        <v/>
      </c>
      <c r="W937" t="str">
        <f t="shared" ca="1" si="74"/>
        <v/>
      </c>
    </row>
    <row r="938" spans="17:23" x14ac:dyDescent="0.25">
      <c r="Q938">
        <f>IF(E938="USD",CONFIG!$B$5,1)</f>
        <v>1</v>
      </c>
      <c r="R938" t="str">
        <f t="shared" si="70"/>
        <v>✗ ERROR: Revisa datos</v>
      </c>
      <c r="S938" t="str">
        <f t="shared" ca="1" si="71"/>
        <v/>
      </c>
      <c r="T938" t="str">
        <f>IF(E938="USD",F938,IF(E938="CRC",F938/CONFIG!$B$5,""))</f>
        <v/>
      </c>
      <c r="U938" t="str">
        <f t="shared" si="72"/>
        <v/>
      </c>
      <c r="V938" t="str">
        <f t="shared" ca="1" si="73"/>
        <v/>
      </c>
      <c r="W938" t="str">
        <f t="shared" ca="1" si="74"/>
        <v/>
      </c>
    </row>
    <row r="939" spans="17:23" x14ac:dyDescent="0.25">
      <c r="Q939">
        <f>IF(E939="USD",CONFIG!$B$5,1)</f>
        <v>1</v>
      </c>
      <c r="R939" t="str">
        <f t="shared" si="70"/>
        <v>✗ ERROR: Revisa datos</v>
      </c>
      <c r="S939" t="str">
        <f t="shared" ca="1" si="71"/>
        <v/>
      </c>
      <c r="T939" t="str">
        <f>IF(E939="USD",F939,IF(E939="CRC",F939/CONFIG!$B$5,""))</f>
        <v/>
      </c>
      <c r="U939" t="str">
        <f t="shared" si="72"/>
        <v/>
      </c>
      <c r="V939" t="str">
        <f t="shared" ca="1" si="73"/>
        <v/>
      </c>
      <c r="W939" t="str">
        <f t="shared" ca="1" si="74"/>
        <v/>
      </c>
    </row>
    <row r="940" spans="17:23" x14ac:dyDescent="0.25">
      <c r="Q940">
        <f>IF(E940="USD",CONFIG!$B$5,1)</f>
        <v>1</v>
      </c>
      <c r="R940" t="str">
        <f t="shared" si="70"/>
        <v>✗ ERROR: Revisa datos</v>
      </c>
      <c r="S940" t="str">
        <f t="shared" ca="1" si="71"/>
        <v/>
      </c>
      <c r="T940" t="str">
        <f>IF(E940="USD",F940,IF(E940="CRC",F940/CONFIG!$B$5,""))</f>
        <v/>
      </c>
      <c r="U940" t="str">
        <f t="shared" si="72"/>
        <v/>
      </c>
      <c r="V940" t="str">
        <f t="shared" ca="1" si="73"/>
        <v/>
      </c>
      <c r="W940" t="str">
        <f t="shared" ca="1" si="74"/>
        <v/>
      </c>
    </row>
    <row r="941" spans="17:23" x14ac:dyDescent="0.25">
      <c r="Q941">
        <f>IF(E941="USD",CONFIG!$B$5,1)</f>
        <v>1</v>
      </c>
      <c r="R941" t="str">
        <f t="shared" si="70"/>
        <v>✗ ERROR: Revisa datos</v>
      </c>
      <c r="S941" t="str">
        <f t="shared" ca="1" si="71"/>
        <v/>
      </c>
      <c r="T941" t="str">
        <f>IF(E941="USD",F941,IF(E941="CRC",F941/CONFIG!$B$5,""))</f>
        <v/>
      </c>
      <c r="U941" t="str">
        <f t="shared" si="72"/>
        <v/>
      </c>
      <c r="V941" t="str">
        <f t="shared" ca="1" si="73"/>
        <v/>
      </c>
      <c r="W941" t="str">
        <f t="shared" ca="1" si="74"/>
        <v/>
      </c>
    </row>
    <row r="942" spans="17:23" x14ac:dyDescent="0.25">
      <c r="Q942">
        <f>IF(E942="USD",CONFIG!$B$5,1)</f>
        <v>1</v>
      </c>
      <c r="R942" t="str">
        <f t="shared" si="70"/>
        <v>✗ ERROR: Revisa datos</v>
      </c>
      <c r="S942" t="str">
        <f t="shared" ca="1" si="71"/>
        <v/>
      </c>
      <c r="T942" t="str">
        <f>IF(E942="USD",F942,IF(E942="CRC",F942/CONFIG!$B$5,""))</f>
        <v/>
      </c>
      <c r="U942" t="str">
        <f t="shared" si="72"/>
        <v/>
      </c>
      <c r="V942" t="str">
        <f t="shared" ca="1" si="73"/>
        <v/>
      </c>
      <c r="W942" t="str">
        <f t="shared" ca="1" si="74"/>
        <v/>
      </c>
    </row>
    <row r="943" spans="17:23" x14ac:dyDescent="0.25">
      <c r="Q943">
        <f>IF(E943="USD",CONFIG!$B$5,1)</f>
        <v>1</v>
      </c>
      <c r="R943" t="str">
        <f t="shared" si="70"/>
        <v>✗ ERROR: Revisa datos</v>
      </c>
      <c r="S943" t="str">
        <f t="shared" ca="1" si="71"/>
        <v/>
      </c>
      <c r="T943" t="str">
        <f>IF(E943="USD",F943,IF(E943="CRC",F943/CONFIG!$B$5,""))</f>
        <v/>
      </c>
      <c r="U943" t="str">
        <f t="shared" si="72"/>
        <v/>
      </c>
      <c r="V943" t="str">
        <f t="shared" ca="1" si="73"/>
        <v/>
      </c>
      <c r="W943" t="str">
        <f t="shared" ca="1" si="74"/>
        <v/>
      </c>
    </row>
    <row r="944" spans="17:23" x14ac:dyDescent="0.25">
      <c r="Q944">
        <f>IF(E944="USD",CONFIG!$B$5,1)</f>
        <v>1</v>
      </c>
      <c r="R944" t="str">
        <f t="shared" si="70"/>
        <v>✗ ERROR: Revisa datos</v>
      </c>
      <c r="S944" t="str">
        <f t="shared" ca="1" si="71"/>
        <v/>
      </c>
      <c r="T944" t="str">
        <f>IF(E944="USD",F944,IF(E944="CRC",F944/CONFIG!$B$5,""))</f>
        <v/>
      </c>
      <c r="U944" t="str">
        <f t="shared" si="72"/>
        <v/>
      </c>
      <c r="V944" t="str">
        <f t="shared" ca="1" si="73"/>
        <v/>
      </c>
      <c r="W944" t="str">
        <f t="shared" ca="1" si="74"/>
        <v/>
      </c>
    </row>
    <row r="945" spans="17:23" x14ac:dyDescent="0.25">
      <c r="Q945">
        <f>IF(E945="USD",CONFIG!$B$5,1)</f>
        <v>1</v>
      </c>
      <c r="R945" t="str">
        <f t="shared" si="70"/>
        <v>✗ ERROR: Revisa datos</v>
      </c>
      <c r="S945" t="str">
        <f t="shared" ca="1" si="71"/>
        <v/>
      </c>
      <c r="T945" t="str">
        <f>IF(E945="USD",F945,IF(E945="CRC",F945/CONFIG!$B$5,""))</f>
        <v/>
      </c>
      <c r="U945" t="str">
        <f t="shared" si="72"/>
        <v/>
      </c>
      <c r="V945" t="str">
        <f t="shared" ca="1" si="73"/>
        <v/>
      </c>
      <c r="W945" t="str">
        <f t="shared" ca="1" si="74"/>
        <v/>
      </c>
    </row>
    <row r="946" spans="17:23" x14ac:dyDescent="0.25">
      <c r="Q946">
        <f>IF(E946="USD",CONFIG!$B$5,1)</f>
        <v>1</v>
      </c>
      <c r="R946" t="str">
        <f t="shared" si="70"/>
        <v>✗ ERROR: Revisa datos</v>
      </c>
      <c r="S946" t="str">
        <f t="shared" ca="1" si="71"/>
        <v/>
      </c>
      <c r="T946" t="str">
        <f>IF(E946="USD",F946,IF(E946="CRC",F946/CONFIG!$B$5,""))</f>
        <v/>
      </c>
      <c r="U946" t="str">
        <f t="shared" si="72"/>
        <v/>
      </c>
      <c r="V946" t="str">
        <f t="shared" ca="1" si="73"/>
        <v/>
      </c>
      <c r="W946" t="str">
        <f t="shared" ca="1" si="74"/>
        <v/>
      </c>
    </row>
    <row r="947" spans="17:23" x14ac:dyDescent="0.25">
      <c r="Q947">
        <f>IF(E947="USD",CONFIG!$B$5,1)</f>
        <v>1</v>
      </c>
      <c r="R947" t="str">
        <f t="shared" si="70"/>
        <v>✗ ERROR: Revisa datos</v>
      </c>
      <c r="S947" t="str">
        <f t="shared" ca="1" si="71"/>
        <v/>
      </c>
      <c r="T947" t="str">
        <f>IF(E947="USD",F947,IF(E947="CRC",F947/CONFIG!$B$5,""))</f>
        <v/>
      </c>
      <c r="U947" t="str">
        <f t="shared" si="72"/>
        <v/>
      </c>
      <c r="V947" t="str">
        <f t="shared" ca="1" si="73"/>
        <v/>
      </c>
      <c r="W947" t="str">
        <f t="shared" ca="1" si="74"/>
        <v/>
      </c>
    </row>
    <row r="948" spans="17:23" x14ac:dyDescent="0.25">
      <c r="Q948">
        <f>IF(E948="USD",CONFIG!$B$5,1)</f>
        <v>1</v>
      </c>
      <c r="R948" t="str">
        <f t="shared" si="70"/>
        <v>✗ ERROR: Revisa datos</v>
      </c>
      <c r="S948" t="str">
        <f t="shared" ca="1" si="71"/>
        <v/>
      </c>
      <c r="T948" t="str">
        <f>IF(E948="USD",F948,IF(E948="CRC",F948/CONFIG!$B$5,""))</f>
        <v/>
      </c>
      <c r="U948" t="str">
        <f t="shared" si="72"/>
        <v/>
      </c>
      <c r="V948" t="str">
        <f t="shared" ca="1" si="73"/>
        <v/>
      </c>
      <c r="W948" t="str">
        <f t="shared" ca="1" si="74"/>
        <v/>
      </c>
    </row>
    <row r="949" spans="17:23" x14ac:dyDescent="0.25">
      <c r="Q949">
        <f>IF(E949="USD",CONFIG!$B$5,1)</f>
        <v>1</v>
      </c>
      <c r="R949" t="str">
        <f t="shared" si="70"/>
        <v>✗ ERROR: Revisa datos</v>
      </c>
      <c r="S949" t="str">
        <f t="shared" ca="1" si="71"/>
        <v/>
      </c>
      <c r="T949" t="str">
        <f>IF(E949="USD",F949,IF(E949="CRC",F949/CONFIG!$B$5,""))</f>
        <v/>
      </c>
      <c r="U949" t="str">
        <f t="shared" si="72"/>
        <v/>
      </c>
      <c r="V949" t="str">
        <f t="shared" ca="1" si="73"/>
        <v/>
      </c>
      <c r="W949" t="str">
        <f t="shared" ca="1" si="74"/>
        <v/>
      </c>
    </row>
    <row r="950" spans="17:23" x14ac:dyDescent="0.25">
      <c r="Q950">
        <f>IF(E950="USD",CONFIG!$B$5,1)</f>
        <v>1</v>
      </c>
      <c r="R950" t="str">
        <f t="shared" si="70"/>
        <v>✗ ERROR: Revisa datos</v>
      </c>
      <c r="S950" t="str">
        <f t="shared" ca="1" si="71"/>
        <v/>
      </c>
      <c r="T950" t="str">
        <f>IF(E950="USD",F950,IF(E950="CRC",F950/CONFIG!$B$5,""))</f>
        <v/>
      </c>
      <c r="U950" t="str">
        <f t="shared" si="72"/>
        <v/>
      </c>
      <c r="V950" t="str">
        <f t="shared" ca="1" si="73"/>
        <v/>
      </c>
      <c r="W950" t="str">
        <f t="shared" ca="1" si="74"/>
        <v/>
      </c>
    </row>
    <row r="951" spans="17:23" x14ac:dyDescent="0.25">
      <c r="Q951">
        <f>IF(E951="USD",CONFIG!$B$5,1)</f>
        <v>1</v>
      </c>
      <c r="R951" t="str">
        <f t="shared" si="70"/>
        <v>✗ ERROR: Revisa datos</v>
      </c>
      <c r="S951" t="str">
        <f t="shared" ca="1" si="71"/>
        <v/>
      </c>
      <c r="T951" t="str">
        <f>IF(E951="USD",F951,IF(E951="CRC",F951/CONFIG!$B$5,""))</f>
        <v/>
      </c>
      <c r="U951" t="str">
        <f t="shared" si="72"/>
        <v/>
      </c>
      <c r="V951" t="str">
        <f t="shared" ca="1" si="73"/>
        <v/>
      </c>
      <c r="W951" t="str">
        <f t="shared" ca="1" si="74"/>
        <v/>
      </c>
    </row>
    <row r="952" spans="17:23" x14ac:dyDescent="0.25">
      <c r="Q952">
        <f>IF(E952="USD",CONFIG!$B$5,1)</f>
        <v>1</v>
      </c>
      <c r="R952" t="str">
        <f t="shared" si="70"/>
        <v>✗ ERROR: Revisa datos</v>
      </c>
      <c r="S952" t="str">
        <f t="shared" ca="1" si="71"/>
        <v/>
      </c>
      <c r="T952" t="str">
        <f>IF(E952="USD",F952,IF(E952="CRC",F952/CONFIG!$B$5,""))</f>
        <v/>
      </c>
      <c r="U952" t="str">
        <f t="shared" si="72"/>
        <v/>
      </c>
      <c r="V952" t="str">
        <f t="shared" ca="1" si="73"/>
        <v/>
      </c>
      <c r="W952" t="str">
        <f t="shared" ca="1" si="74"/>
        <v/>
      </c>
    </row>
    <row r="953" spans="17:23" x14ac:dyDescent="0.25">
      <c r="Q953">
        <f>IF(E953="USD",CONFIG!$B$5,1)</f>
        <v>1</v>
      </c>
      <c r="R953" t="str">
        <f t="shared" si="70"/>
        <v>✗ ERROR: Revisa datos</v>
      </c>
      <c r="S953" t="str">
        <f t="shared" ca="1" si="71"/>
        <v/>
      </c>
      <c r="T953" t="str">
        <f>IF(E953="USD",F953,IF(E953="CRC",F953/CONFIG!$B$5,""))</f>
        <v/>
      </c>
      <c r="U953" t="str">
        <f t="shared" si="72"/>
        <v/>
      </c>
      <c r="V953" t="str">
        <f t="shared" ca="1" si="73"/>
        <v/>
      </c>
      <c r="W953" t="str">
        <f t="shared" ca="1" si="74"/>
        <v/>
      </c>
    </row>
    <row r="954" spans="17:23" x14ac:dyDescent="0.25">
      <c r="Q954">
        <f>IF(E954="USD",CONFIG!$B$5,1)</f>
        <v>1</v>
      </c>
      <c r="R954" t="str">
        <f t="shared" si="70"/>
        <v>✗ ERROR: Revisa datos</v>
      </c>
      <c r="S954" t="str">
        <f t="shared" ca="1" si="71"/>
        <v/>
      </c>
      <c r="T954" t="str">
        <f>IF(E954="USD",F954,IF(E954="CRC",F954/CONFIG!$B$5,""))</f>
        <v/>
      </c>
      <c r="U954" t="str">
        <f t="shared" si="72"/>
        <v/>
      </c>
      <c r="V954" t="str">
        <f t="shared" ca="1" si="73"/>
        <v/>
      </c>
      <c r="W954" t="str">
        <f t="shared" ca="1" si="74"/>
        <v/>
      </c>
    </row>
    <row r="955" spans="17:23" x14ac:dyDescent="0.25">
      <c r="Q955">
        <f>IF(E955="USD",CONFIG!$B$5,1)</f>
        <v>1</v>
      </c>
      <c r="R955" t="str">
        <f t="shared" si="70"/>
        <v>✗ ERROR: Revisa datos</v>
      </c>
      <c r="S955" t="str">
        <f t="shared" ca="1" si="71"/>
        <v/>
      </c>
      <c r="T955" t="str">
        <f>IF(E955="USD",F955,IF(E955="CRC",F955/CONFIG!$B$5,""))</f>
        <v/>
      </c>
      <c r="U955" t="str">
        <f t="shared" si="72"/>
        <v/>
      </c>
      <c r="V955" t="str">
        <f t="shared" ca="1" si="73"/>
        <v/>
      </c>
      <c r="W955" t="str">
        <f t="shared" ca="1" si="74"/>
        <v/>
      </c>
    </row>
    <row r="956" spans="17:23" x14ac:dyDescent="0.25">
      <c r="Q956">
        <f>IF(E956="USD",CONFIG!$B$5,1)</f>
        <v>1</v>
      </c>
      <c r="R956" t="str">
        <f t="shared" si="70"/>
        <v>✗ ERROR: Revisa datos</v>
      </c>
      <c r="S956" t="str">
        <f t="shared" ca="1" si="71"/>
        <v/>
      </c>
      <c r="T956" t="str">
        <f>IF(E956="USD",F956,IF(E956="CRC",F956/CONFIG!$B$5,""))</f>
        <v/>
      </c>
      <c r="U956" t="str">
        <f t="shared" si="72"/>
        <v/>
      </c>
      <c r="V956" t="str">
        <f t="shared" ca="1" si="73"/>
        <v/>
      </c>
      <c r="W956" t="str">
        <f t="shared" ca="1" si="74"/>
        <v/>
      </c>
    </row>
    <row r="957" spans="17:23" x14ac:dyDescent="0.25">
      <c r="Q957">
        <f>IF(E957="USD",CONFIG!$B$5,1)</f>
        <v>1</v>
      </c>
      <c r="R957" t="str">
        <f t="shared" si="70"/>
        <v>✗ ERROR: Revisa datos</v>
      </c>
      <c r="S957" t="str">
        <f t="shared" ca="1" si="71"/>
        <v/>
      </c>
      <c r="T957" t="str">
        <f>IF(E957="USD",F957,IF(E957="CRC",F957/CONFIG!$B$5,""))</f>
        <v/>
      </c>
      <c r="U957" t="str">
        <f t="shared" si="72"/>
        <v/>
      </c>
      <c r="V957" t="str">
        <f t="shared" ca="1" si="73"/>
        <v/>
      </c>
      <c r="W957" t="str">
        <f t="shared" ca="1" si="74"/>
        <v/>
      </c>
    </row>
    <row r="958" spans="17:23" x14ac:dyDescent="0.25">
      <c r="Q958">
        <f>IF(E958="USD",CONFIG!$B$5,1)</f>
        <v>1</v>
      </c>
      <c r="R958" t="str">
        <f t="shared" si="70"/>
        <v>✗ ERROR: Revisa datos</v>
      </c>
      <c r="S958" t="str">
        <f t="shared" ca="1" si="71"/>
        <v/>
      </c>
      <c r="T958" t="str">
        <f>IF(E958="USD",F958,IF(E958="CRC",F958/CONFIG!$B$5,""))</f>
        <v/>
      </c>
      <c r="U958" t="str">
        <f t="shared" si="72"/>
        <v/>
      </c>
      <c r="V958" t="str">
        <f t="shared" ca="1" si="73"/>
        <v/>
      </c>
      <c r="W958" t="str">
        <f t="shared" ca="1" si="74"/>
        <v/>
      </c>
    </row>
    <row r="959" spans="17:23" x14ac:dyDescent="0.25">
      <c r="Q959">
        <f>IF(E959="USD",CONFIG!$B$5,1)</f>
        <v>1</v>
      </c>
      <c r="R959" t="str">
        <f t="shared" si="70"/>
        <v>✗ ERROR: Revisa datos</v>
      </c>
      <c r="S959" t="str">
        <f t="shared" ca="1" si="71"/>
        <v/>
      </c>
      <c r="T959" t="str">
        <f>IF(E959="USD",F959,IF(E959="CRC",F959/CONFIG!$B$5,""))</f>
        <v/>
      </c>
      <c r="U959" t="str">
        <f t="shared" si="72"/>
        <v/>
      </c>
      <c r="V959" t="str">
        <f t="shared" ca="1" si="73"/>
        <v/>
      </c>
      <c r="W959" t="str">
        <f t="shared" ca="1" si="74"/>
        <v/>
      </c>
    </row>
    <row r="960" spans="17:23" x14ac:dyDescent="0.25">
      <c r="Q960">
        <f>IF(E960="USD",CONFIG!$B$5,1)</f>
        <v>1</v>
      </c>
      <c r="R960" t="str">
        <f t="shared" si="70"/>
        <v>✗ ERROR: Revisa datos</v>
      </c>
      <c r="S960" t="str">
        <f t="shared" ca="1" si="71"/>
        <v/>
      </c>
      <c r="T960" t="str">
        <f>IF(E960="USD",F960,IF(E960="CRC",F960/CONFIG!$B$5,""))</f>
        <v/>
      </c>
      <c r="U960" t="str">
        <f t="shared" si="72"/>
        <v/>
      </c>
      <c r="V960" t="str">
        <f t="shared" ca="1" si="73"/>
        <v/>
      </c>
      <c r="W960" t="str">
        <f t="shared" ca="1" si="74"/>
        <v/>
      </c>
    </row>
    <row r="961" spans="17:23" x14ac:dyDescent="0.25">
      <c r="Q961">
        <f>IF(E961="USD",CONFIG!$B$5,1)</f>
        <v>1</v>
      </c>
      <c r="R961" t="str">
        <f t="shared" si="70"/>
        <v>✗ ERROR: Revisa datos</v>
      </c>
      <c r="S961" t="str">
        <f t="shared" ca="1" si="71"/>
        <v/>
      </c>
      <c r="T961" t="str">
        <f>IF(E961="USD",F961,IF(E961="CRC",F961/CONFIG!$B$5,""))</f>
        <v/>
      </c>
      <c r="U961" t="str">
        <f t="shared" si="72"/>
        <v/>
      </c>
      <c r="V961" t="str">
        <f t="shared" ca="1" si="73"/>
        <v/>
      </c>
      <c r="W961" t="str">
        <f t="shared" ca="1" si="74"/>
        <v/>
      </c>
    </row>
    <row r="962" spans="17:23" x14ac:dyDescent="0.25">
      <c r="Q962">
        <f>IF(E962="USD",CONFIG!$B$5,1)</f>
        <v>1</v>
      </c>
      <c r="R962" t="str">
        <f t="shared" si="70"/>
        <v>✗ ERROR: Revisa datos</v>
      </c>
      <c r="S962" t="str">
        <f t="shared" ca="1" si="71"/>
        <v/>
      </c>
      <c r="T962" t="str">
        <f>IF(E962="USD",F962,IF(E962="CRC",F962/CONFIG!$B$5,""))</f>
        <v/>
      </c>
      <c r="U962" t="str">
        <f t="shared" si="72"/>
        <v/>
      </c>
      <c r="V962" t="str">
        <f t="shared" ca="1" si="73"/>
        <v/>
      </c>
      <c r="W962" t="str">
        <f t="shared" ca="1" si="74"/>
        <v/>
      </c>
    </row>
    <row r="963" spans="17:23" x14ac:dyDescent="0.25">
      <c r="Q963">
        <f>IF(E963="USD",CONFIG!$B$5,1)</f>
        <v>1</v>
      </c>
      <c r="R963" t="str">
        <f t="shared" ref="R963:R1000" si="75">IF(AND(A963&lt;&gt;"",ISNUMBER(A963),B963&lt;&gt;"",C963&lt;&gt;"",OR(E963="USD",E963="CRC"),F963&gt;0,ISNUMBER(Q963),Q963&gt;0),"✓ OK","✗ ERROR: Revisa datos")</f>
        <v>✗ ERROR: Revisa datos</v>
      </c>
      <c r="S963" t="str">
        <f t="shared" ca="1" si="71"/>
        <v/>
      </c>
      <c r="T963" t="str">
        <f>IF(E963="USD",F963,IF(E963="CRC",F963/CONFIG!$B$5,""))</f>
        <v/>
      </c>
      <c r="U963" t="str">
        <f t="shared" si="72"/>
        <v/>
      </c>
      <c r="V963" t="str">
        <f t="shared" ca="1" si="73"/>
        <v/>
      </c>
      <c r="W963" t="str">
        <f t="shared" ca="1" si="74"/>
        <v/>
      </c>
    </row>
    <row r="964" spans="17:23" x14ac:dyDescent="0.25">
      <c r="Q964">
        <f>IF(E964="USD",CONFIG!$B$5,1)</f>
        <v>1</v>
      </c>
      <c r="R964" t="str">
        <f t="shared" si="75"/>
        <v>✗ ERROR: Revisa datos</v>
      </c>
      <c r="S964" t="str">
        <f t="shared" ca="1" si="71"/>
        <v/>
      </c>
      <c r="T964" t="str">
        <f>IF(E964="USD",F964,IF(E964="CRC",F964/CONFIG!$B$5,""))</f>
        <v/>
      </c>
      <c r="U964" t="str">
        <f t="shared" si="72"/>
        <v/>
      </c>
      <c r="V964" t="str">
        <f t="shared" ca="1" si="73"/>
        <v/>
      </c>
      <c r="W964" t="str">
        <f t="shared" ca="1" si="74"/>
        <v/>
      </c>
    </row>
    <row r="965" spans="17:23" x14ac:dyDescent="0.25">
      <c r="Q965">
        <f>IF(E965="USD",CONFIG!$B$5,1)</f>
        <v>1</v>
      </c>
      <c r="R965" t="str">
        <f t="shared" si="75"/>
        <v>✗ ERROR: Revisa datos</v>
      </c>
      <c r="S965" t="str">
        <f t="shared" ca="1" si="71"/>
        <v/>
      </c>
      <c r="T965" t="str">
        <f>IF(E965="USD",F965,IF(E965="CRC",F965/CONFIG!$B$5,""))</f>
        <v/>
      </c>
      <c r="U965" t="str">
        <f t="shared" si="72"/>
        <v/>
      </c>
      <c r="V965" t="str">
        <f t="shared" ca="1" si="73"/>
        <v/>
      </c>
      <c r="W965" t="str">
        <f t="shared" ca="1" si="74"/>
        <v/>
      </c>
    </row>
    <row r="966" spans="17:23" x14ac:dyDescent="0.25">
      <c r="Q966">
        <f>IF(E966="USD",CONFIG!$B$5,1)</f>
        <v>1</v>
      </c>
      <c r="R966" t="str">
        <f t="shared" si="75"/>
        <v>✗ ERROR: Revisa datos</v>
      </c>
      <c r="S966" t="str">
        <f t="shared" ca="1" si="71"/>
        <v/>
      </c>
      <c r="T966" t="str">
        <f>IF(E966="USD",F966,IF(E966="CRC",F966/CONFIG!$B$5,""))</f>
        <v/>
      </c>
      <c r="U966" t="str">
        <f t="shared" si="72"/>
        <v/>
      </c>
      <c r="V966" t="str">
        <f t="shared" ca="1" si="73"/>
        <v/>
      </c>
      <c r="W966" t="str">
        <f t="shared" ca="1" si="74"/>
        <v/>
      </c>
    </row>
    <row r="967" spans="17:23" x14ac:dyDescent="0.25">
      <c r="Q967">
        <f>IF(E967="USD",CONFIG!$B$5,1)</f>
        <v>1</v>
      </c>
      <c r="R967" t="str">
        <f t="shared" si="75"/>
        <v>✗ ERROR: Revisa datos</v>
      </c>
      <c r="S967" t="str">
        <f t="shared" ref="S967:S1000" ca="1" si="76">IF(A967&lt;&gt;"",TODAY()-A967,"")</f>
        <v/>
      </c>
      <c r="T967" t="str">
        <f>IF(E967="USD",F967,IF(E967="CRC",F967/CONFIG!$B$5,""))</f>
        <v/>
      </c>
      <c r="U967" t="str">
        <f t="shared" ref="U967:U1000" si="77">IF(A967&lt;&gt;"",A967+30,"")</f>
        <v/>
      </c>
      <c r="V967" t="str">
        <f t="shared" ref="V967:V1000" ca="1" si="78">IF(AND(C967="CxP",S967&gt;60),"Alta",IF(AND(C967="CxP",S967&gt;30),"Media",IF(C967="CxP","Baja","")))</f>
        <v/>
      </c>
      <c r="W967" t="str">
        <f t="shared" ref="W967:W1000" ca="1" si="79">IF(AND(C967="CxC",S967&gt;90),"Alta",IF(AND(C967="CxC",S967&gt;60),"Media",IF(C967="CxC","Baja","")))</f>
        <v/>
      </c>
    </row>
    <row r="968" spans="17:23" x14ac:dyDescent="0.25">
      <c r="Q968">
        <f>IF(E968="USD",CONFIG!$B$5,1)</f>
        <v>1</v>
      </c>
      <c r="R968" t="str">
        <f t="shared" si="75"/>
        <v>✗ ERROR: Revisa datos</v>
      </c>
      <c r="S968" t="str">
        <f t="shared" ca="1" si="76"/>
        <v/>
      </c>
      <c r="T968" t="str">
        <f>IF(E968="USD",F968,IF(E968="CRC",F968/CONFIG!$B$5,""))</f>
        <v/>
      </c>
      <c r="U968" t="str">
        <f t="shared" si="77"/>
        <v/>
      </c>
      <c r="V968" t="str">
        <f t="shared" ca="1" si="78"/>
        <v/>
      </c>
      <c r="W968" t="str">
        <f t="shared" ca="1" si="79"/>
        <v/>
      </c>
    </row>
    <row r="969" spans="17:23" x14ac:dyDescent="0.25">
      <c r="Q969">
        <f>IF(E969="USD",CONFIG!$B$5,1)</f>
        <v>1</v>
      </c>
      <c r="R969" t="str">
        <f t="shared" si="75"/>
        <v>✗ ERROR: Revisa datos</v>
      </c>
      <c r="S969" t="str">
        <f t="shared" ca="1" si="76"/>
        <v/>
      </c>
      <c r="T969" t="str">
        <f>IF(E969="USD",F969,IF(E969="CRC",F969/CONFIG!$B$5,""))</f>
        <v/>
      </c>
      <c r="U969" t="str">
        <f t="shared" si="77"/>
        <v/>
      </c>
      <c r="V969" t="str">
        <f t="shared" ca="1" si="78"/>
        <v/>
      </c>
      <c r="W969" t="str">
        <f t="shared" ca="1" si="79"/>
        <v/>
      </c>
    </row>
    <row r="970" spans="17:23" x14ac:dyDescent="0.25">
      <c r="Q970">
        <f>IF(E970="USD",CONFIG!$B$5,1)</f>
        <v>1</v>
      </c>
      <c r="R970" t="str">
        <f t="shared" si="75"/>
        <v>✗ ERROR: Revisa datos</v>
      </c>
      <c r="S970" t="str">
        <f t="shared" ca="1" si="76"/>
        <v/>
      </c>
      <c r="T970" t="str">
        <f>IF(E970="USD",F970,IF(E970="CRC",F970/CONFIG!$B$5,""))</f>
        <v/>
      </c>
      <c r="U970" t="str">
        <f t="shared" si="77"/>
        <v/>
      </c>
      <c r="V970" t="str">
        <f t="shared" ca="1" si="78"/>
        <v/>
      </c>
      <c r="W970" t="str">
        <f t="shared" ca="1" si="79"/>
        <v/>
      </c>
    </row>
    <row r="971" spans="17:23" x14ac:dyDescent="0.25">
      <c r="Q971">
        <f>IF(E971="USD",CONFIG!$B$5,1)</f>
        <v>1</v>
      </c>
      <c r="R971" t="str">
        <f t="shared" si="75"/>
        <v>✗ ERROR: Revisa datos</v>
      </c>
      <c r="S971" t="str">
        <f t="shared" ca="1" si="76"/>
        <v/>
      </c>
      <c r="T971" t="str">
        <f>IF(E971="USD",F971,IF(E971="CRC",F971/CONFIG!$B$5,""))</f>
        <v/>
      </c>
      <c r="U971" t="str">
        <f t="shared" si="77"/>
        <v/>
      </c>
      <c r="V971" t="str">
        <f t="shared" ca="1" si="78"/>
        <v/>
      </c>
      <c r="W971" t="str">
        <f t="shared" ca="1" si="79"/>
        <v/>
      </c>
    </row>
    <row r="972" spans="17:23" x14ac:dyDescent="0.25">
      <c r="Q972">
        <f>IF(E972="USD",CONFIG!$B$5,1)</f>
        <v>1</v>
      </c>
      <c r="R972" t="str">
        <f t="shared" si="75"/>
        <v>✗ ERROR: Revisa datos</v>
      </c>
      <c r="S972" t="str">
        <f t="shared" ca="1" si="76"/>
        <v/>
      </c>
      <c r="T972" t="str">
        <f>IF(E972="USD",F972,IF(E972="CRC",F972/CONFIG!$B$5,""))</f>
        <v/>
      </c>
      <c r="U972" t="str">
        <f t="shared" si="77"/>
        <v/>
      </c>
      <c r="V972" t="str">
        <f t="shared" ca="1" si="78"/>
        <v/>
      </c>
      <c r="W972" t="str">
        <f t="shared" ca="1" si="79"/>
        <v/>
      </c>
    </row>
    <row r="973" spans="17:23" x14ac:dyDescent="0.25">
      <c r="Q973">
        <f>IF(E973="USD",CONFIG!$B$5,1)</f>
        <v>1</v>
      </c>
      <c r="R973" t="str">
        <f t="shared" si="75"/>
        <v>✗ ERROR: Revisa datos</v>
      </c>
      <c r="S973" t="str">
        <f t="shared" ca="1" si="76"/>
        <v/>
      </c>
      <c r="T973" t="str">
        <f>IF(E973="USD",F973,IF(E973="CRC",F973/CONFIG!$B$5,""))</f>
        <v/>
      </c>
      <c r="U973" t="str">
        <f t="shared" si="77"/>
        <v/>
      </c>
      <c r="V973" t="str">
        <f t="shared" ca="1" si="78"/>
        <v/>
      </c>
      <c r="W973" t="str">
        <f t="shared" ca="1" si="79"/>
        <v/>
      </c>
    </row>
    <row r="974" spans="17:23" x14ac:dyDescent="0.25">
      <c r="Q974">
        <f>IF(E974="USD",CONFIG!$B$5,1)</f>
        <v>1</v>
      </c>
      <c r="R974" t="str">
        <f t="shared" si="75"/>
        <v>✗ ERROR: Revisa datos</v>
      </c>
      <c r="S974" t="str">
        <f t="shared" ca="1" si="76"/>
        <v/>
      </c>
      <c r="T974" t="str">
        <f>IF(E974="USD",F974,IF(E974="CRC",F974/CONFIG!$B$5,""))</f>
        <v/>
      </c>
      <c r="U974" t="str">
        <f t="shared" si="77"/>
        <v/>
      </c>
      <c r="V974" t="str">
        <f t="shared" ca="1" si="78"/>
        <v/>
      </c>
      <c r="W974" t="str">
        <f t="shared" ca="1" si="79"/>
        <v/>
      </c>
    </row>
    <row r="975" spans="17:23" x14ac:dyDescent="0.25">
      <c r="Q975">
        <f>IF(E975="USD",CONFIG!$B$5,1)</f>
        <v>1</v>
      </c>
      <c r="R975" t="str">
        <f t="shared" si="75"/>
        <v>✗ ERROR: Revisa datos</v>
      </c>
      <c r="S975" t="str">
        <f t="shared" ca="1" si="76"/>
        <v/>
      </c>
      <c r="T975" t="str">
        <f>IF(E975="USD",F975,IF(E975="CRC",F975/CONFIG!$B$5,""))</f>
        <v/>
      </c>
      <c r="U975" t="str">
        <f t="shared" si="77"/>
        <v/>
      </c>
      <c r="V975" t="str">
        <f t="shared" ca="1" si="78"/>
        <v/>
      </c>
      <c r="W975" t="str">
        <f t="shared" ca="1" si="79"/>
        <v/>
      </c>
    </row>
    <row r="976" spans="17:23" x14ac:dyDescent="0.25">
      <c r="Q976">
        <f>IF(E976="USD",CONFIG!$B$5,1)</f>
        <v>1</v>
      </c>
      <c r="R976" t="str">
        <f t="shared" si="75"/>
        <v>✗ ERROR: Revisa datos</v>
      </c>
      <c r="S976" t="str">
        <f t="shared" ca="1" si="76"/>
        <v/>
      </c>
      <c r="T976" t="str">
        <f>IF(E976="USD",F976,IF(E976="CRC",F976/CONFIG!$B$5,""))</f>
        <v/>
      </c>
      <c r="U976" t="str">
        <f t="shared" si="77"/>
        <v/>
      </c>
      <c r="V976" t="str">
        <f t="shared" ca="1" si="78"/>
        <v/>
      </c>
      <c r="W976" t="str">
        <f t="shared" ca="1" si="79"/>
        <v/>
      </c>
    </row>
    <row r="977" spans="17:23" x14ac:dyDescent="0.25">
      <c r="Q977">
        <f>IF(E977="USD",CONFIG!$B$5,1)</f>
        <v>1</v>
      </c>
      <c r="R977" t="str">
        <f t="shared" si="75"/>
        <v>✗ ERROR: Revisa datos</v>
      </c>
      <c r="S977" t="str">
        <f t="shared" ca="1" si="76"/>
        <v/>
      </c>
      <c r="T977" t="str">
        <f>IF(E977="USD",F977,IF(E977="CRC",F977/CONFIG!$B$5,""))</f>
        <v/>
      </c>
      <c r="U977" t="str">
        <f t="shared" si="77"/>
        <v/>
      </c>
      <c r="V977" t="str">
        <f t="shared" ca="1" si="78"/>
        <v/>
      </c>
      <c r="W977" t="str">
        <f t="shared" ca="1" si="79"/>
        <v/>
      </c>
    </row>
    <row r="978" spans="17:23" x14ac:dyDescent="0.25">
      <c r="Q978">
        <f>IF(E978="USD",CONFIG!$B$5,1)</f>
        <v>1</v>
      </c>
      <c r="R978" t="str">
        <f t="shared" si="75"/>
        <v>✗ ERROR: Revisa datos</v>
      </c>
      <c r="S978" t="str">
        <f t="shared" ca="1" si="76"/>
        <v/>
      </c>
      <c r="T978" t="str">
        <f>IF(E978="USD",F978,IF(E978="CRC",F978/CONFIG!$B$5,""))</f>
        <v/>
      </c>
      <c r="U978" t="str">
        <f t="shared" si="77"/>
        <v/>
      </c>
      <c r="V978" t="str">
        <f t="shared" ca="1" si="78"/>
        <v/>
      </c>
      <c r="W978" t="str">
        <f t="shared" ca="1" si="79"/>
        <v/>
      </c>
    </row>
    <row r="979" spans="17:23" x14ac:dyDescent="0.25">
      <c r="Q979">
        <f>IF(E979="USD",CONFIG!$B$5,1)</f>
        <v>1</v>
      </c>
      <c r="R979" t="str">
        <f t="shared" si="75"/>
        <v>✗ ERROR: Revisa datos</v>
      </c>
      <c r="S979" t="str">
        <f t="shared" ca="1" si="76"/>
        <v/>
      </c>
      <c r="T979" t="str">
        <f>IF(E979="USD",F979,IF(E979="CRC",F979/CONFIG!$B$5,""))</f>
        <v/>
      </c>
      <c r="U979" t="str">
        <f t="shared" si="77"/>
        <v/>
      </c>
      <c r="V979" t="str">
        <f t="shared" ca="1" si="78"/>
        <v/>
      </c>
      <c r="W979" t="str">
        <f t="shared" ca="1" si="79"/>
        <v/>
      </c>
    </row>
    <row r="980" spans="17:23" x14ac:dyDescent="0.25">
      <c r="Q980">
        <f>IF(E980="USD",CONFIG!$B$5,1)</f>
        <v>1</v>
      </c>
      <c r="R980" t="str">
        <f t="shared" si="75"/>
        <v>✗ ERROR: Revisa datos</v>
      </c>
      <c r="S980" t="str">
        <f t="shared" ca="1" si="76"/>
        <v/>
      </c>
      <c r="T980" t="str">
        <f>IF(E980="USD",F980,IF(E980="CRC",F980/CONFIG!$B$5,""))</f>
        <v/>
      </c>
      <c r="U980" t="str">
        <f t="shared" si="77"/>
        <v/>
      </c>
      <c r="V980" t="str">
        <f t="shared" ca="1" si="78"/>
        <v/>
      </c>
      <c r="W980" t="str">
        <f t="shared" ca="1" si="79"/>
        <v/>
      </c>
    </row>
    <row r="981" spans="17:23" x14ac:dyDescent="0.25">
      <c r="Q981">
        <f>IF(E981="USD",CONFIG!$B$5,1)</f>
        <v>1</v>
      </c>
      <c r="R981" t="str">
        <f t="shared" si="75"/>
        <v>✗ ERROR: Revisa datos</v>
      </c>
      <c r="S981" t="str">
        <f t="shared" ca="1" si="76"/>
        <v/>
      </c>
      <c r="T981" t="str">
        <f>IF(E981="USD",F981,IF(E981="CRC",F981/CONFIG!$B$5,""))</f>
        <v/>
      </c>
      <c r="U981" t="str">
        <f t="shared" si="77"/>
        <v/>
      </c>
      <c r="V981" t="str">
        <f t="shared" ca="1" si="78"/>
        <v/>
      </c>
      <c r="W981" t="str">
        <f t="shared" ca="1" si="79"/>
        <v/>
      </c>
    </row>
    <row r="982" spans="17:23" x14ac:dyDescent="0.25">
      <c r="Q982">
        <f>IF(E982="USD",CONFIG!$B$5,1)</f>
        <v>1</v>
      </c>
      <c r="R982" t="str">
        <f t="shared" si="75"/>
        <v>✗ ERROR: Revisa datos</v>
      </c>
      <c r="S982" t="str">
        <f t="shared" ca="1" si="76"/>
        <v/>
      </c>
      <c r="T982" t="str">
        <f>IF(E982="USD",F982,IF(E982="CRC",F982/CONFIG!$B$5,""))</f>
        <v/>
      </c>
      <c r="U982" t="str">
        <f t="shared" si="77"/>
        <v/>
      </c>
      <c r="V982" t="str">
        <f t="shared" ca="1" si="78"/>
        <v/>
      </c>
      <c r="W982" t="str">
        <f t="shared" ca="1" si="79"/>
        <v/>
      </c>
    </row>
    <row r="983" spans="17:23" x14ac:dyDescent="0.25">
      <c r="Q983">
        <f>IF(E983="USD",CONFIG!$B$5,1)</f>
        <v>1</v>
      </c>
      <c r="R983" t="str">
        <f t="shared" si="75"/>
        <v>✗ ERROR: Revisa datos</v>
      </c>
      <c r="S983" t="str">
        <f t="shared" ca="1" si="76"/>
        <v/>
      </c>
      <c r="T983" t="str">
        <f>IF(E983="USD",F983,IF(E983="CRC",F983/CONFIG!$B$5,""))</f>
        <v/>
      </c>
      <c r="U983" t="str">
        <f t="shared" si="77"/>
        <v/>
      </c>
      <c r="V983" t="str">
        <f t="shared" ca="1" si="78"/>
        <v/>
      </c>
      <c r="W983" t="str">
        <f t="shared" ca="1" si="79"/>
        <v/>
      </c>
    </row>
    <row r="984" spans="17:23" x14ac:dyDescent="0.25">
      <c r="Q984">
        <f>IF(E984="USD",CONFIG!$B$5,1)</f>
        <v>1</v>
      </c>
      <c r="R984" t="str">
        <f t="shared" si="75"/>
        <v>✗ ERROR: Revisa datos</v>
      </c>
      <c r="S984" t="str">
        <f t="shared" ca="1" si="76"/>
        <v/>
      </c>
      <c r="T984" t="str">
        <f>IF(E984="USD",F984,IF(E984="CRC",F984/CONFIG!$B$5,""))</f>
        <v/>
      </c>
      <c r="U984" t="str">
        <f t="shared" si="77"/>
        <v/>
      </c>
      <c r="V984" t="str">
        <f t="shared" ca="1" si="78"/>
        <v/>
      </c>
      <c r="W984" t="str">
        <f t="shared" ca="1" si="79"/>
        <v/>
      </c>
    </row>
    <row r="985" spans="17:23" x14ac:dyDescent="0.25">
      <c r="Q985">
        <f>IF(E985="USD",CONFIG!$B$5,1)</f>
        <v>1</v>
      </c>
      <c r="R985" t="str">
        <f t="shared" si="75"/>
        <v>✗ ERROR: Revisa datos</v>
      </c>
      <c r="S985" t="str">
        <f t="shared" ca="1" si="76"/>
        <v/>
      </c>
      <c r="T985" t="str">
        <f>IF(E985="USD",F985,IF(E985="CRC",F985/CONFIG!$B$5,""))</f>
        <v/>
      </c>
      <c r="U985" t="str">
        <f t="shared" si="77"/>
        <v/>
      </c>
      <c r="V985" t="str">
        <f t="shared" ca="1" si="78"/>
        <v/>
      </c>
      <c r="W985" t="str">
        <f t="shared" ca="1" si="79"/>
        <v/>
      </c>
    </row>
    <row r="986" spans="17:23" x14ac:dyDescent="0.25">
      <c r="Q986">
        <f>IF(E986="USD",CONFIG!$B$5,1)</f>
        <v>1</v>
      </c>
      <c r="R986" t="str">
        <f t="shared" si="75"/>
        <v>✗ ERROR: Revisa datos</v>
      </c>
      <c r="S986" t="str">
        <f t="shared" ca="1" si="76"/>
        <v/>
      </c>
      <c r="T986" t="str">
        <f>IF(E986="USD",F986,IF(E986="CRC",F986/CONFIG!$B$5,""))</f>
        <v/>
      </c>
      <c r="U986" t="str">
        <f t="shared" si="77"/>
        <v/>
      </c>
      <c r="V986" t="str">
        <f t="shared" ca="1" si="78"/>
        <v/>
      </c>
      <c r="W986" t="str">
        <f t="shared" ca="1" si="79"/>
        <v/>
      </c>
    </row>
    <row r="987" spans="17:23" x14ac:dyDescent="0.25">
      <c r="Q987">
        <f>IF(E987="USD",CONFIG!$B$5,1)</f>
        <v>1</v>
      </c>
      <c r="R987" t="str">
        <f t="shared" si="75"/>
        <v>✗ ERROR: Revisa datos</v>
      </c>
      <c r="S987" t="str">
        <f t="shared" ca="1" si="76"/>
        <v/>
      </c>
      <c r="T987" t="str">
        <f>IF(E987="USD",F987,IF(E987="CRC",F987/CONFIG!$B$5,""))</f>
        <v/>
      </c>
      <c r="U987" t="str">
        <f t="shared" si="77"/>
        <v/>
      </c>
      <c r="V987" t="str">
        <f t="shared" ca="1" si="78"/>
        <v/>
      </c>
      <c r="W987" t="str">
        <f t="shared" ca="1" si="79"/>
        <v/>
      </c>
    </row>
    <row r="988" spans="17:23" x14ac:dyDescent="0.25">
      <c r="Q988">
        <f>IF(E988="USD",CONFIG!$B$5,1)</f>
        <v>1</v>
      </c>
      <c r="R988" t="str">
        <f t="shared" si="75"/>
        <v>✗ ERROR: Revisa datos</v>
      </c>
      <c r="S988" t="str">
        <f t="shared" ca="1" si="76"/>
        <v/>
      </c>
      <c r="T988" t="str">
        <f>IF(E988="USD",F988,IF(E988="CRC",F988/CONFIG!$B$5,""))</f>
        <v/>
      </c>
      <c r="U988" t="str">
        <f t="shared" si="77"/>
        <v/>
      </c>
      <c r="V988" t="str">
        <f t="shared" ca="1" si="78"/>
        <v/>
      </c>
      <c r="W988" t="str">
        <f t="shared" ca="1" si="79"/>
        <v/>
      </c>
    </row>
    <row r="989" spans="17:23" x14ac:dyDescent="0.25">
      <c r="Q989">
        <f>IF(E989="USD",CONFIG!$B$5,1)</f>
        <v>1</v>
      </c>
      <c r="R989" t="str">
        <f t="shared" si="75"/>
        <v>✗ ERROR: Revisa datos</v>
      </c>
      <c r="S989" t="str">
        <f t="shared" ca="1" si="76"/>
        <v/>
      </c>
      <c r="T989" t="str">
        <f>IF(E989="USD",F989,IF(E989="CRC",F989/CONFIG!$B$5,""))</f>
        <v/>
      </c>
      <c r="U989" t="str">
        <f t="shared" si="77"/>
        <v/>
      </c>
      <c r="V989" t="str">
        <f t="shared" ca="1" si="78"/>
        <v/>
      </c>
      <c r="W989" t="str">
        <f t="shared" ca="1" si="79"/>
        <v/>
      </c>
    </row>
    <row r="990" spans="17:23" x14ac:dyDescent="0.25">
      <c r="Q990">
        <f>IF(E990="USD",CONFIG!$B$5,1)</f>
        <v>1</v>
      </c>
      <c r="R990" t="str">
        <f t="shared" si="75"/>
        <v>✗ ERROR: Revisa datos</v>
      </c>
      <c r="S990" t="str">
        <f t="shared" ca="1" si="76"/>
        <v/>
      </c>
      <c r="T990" t="str">
        <f>IF(E990="USD",F990,IF(E990="CRC",F990/CONFIG!$B$5,""))</f>
        <v/>
      </c>
      <c r="U990" t="str">
        <f t="shared" si="77"/>
        <v/>
      </c>
      <c r="V990" t="str">
        <f t="shared" ca="1" si="78"/>
        <v/>
      </c>
      <c r="W990" t="str">
        <f t="shared" ca="1" si="79"/>
        <v/>
      </c>
    </row>
    <row r="991" spans="17:23" x14ac:dyDescent="0.25">
      <c r="Q991">
        <f>IF(E991="USD",CONFIG!$B$5,1)</f>
        <v>1</v>
      </c>
      <c r="R991" t="str">
        <f t="shared" si="75"/>
        <v>✗ ERROR: Revisa datos</v>
      </c>
      <c r="S991" t="str">
        <f t="shared" ca="1" si="76"/>
        <v/>
      </c>
      <c r="T991" t="str">
        <f>IF(E991="USD",F991,IF(E991="CRC",F991/CONFIG!$B$5,""))</f>
        <v/>
      </c>
      <c r="U991" t="str">
        <f t="shared" si="77"/>
        <v/>
      </c>
      <c r="V991" t="str">
        <f t="shared" ca="1" si="78"/>
        <v/>
      </c>
      <c r="W991" t="str">
        <f t="shared" ca="1" si="79"/>
        <v/>
      </c>
    </row>
    <row r="992" spans="17:23" x14ac:dyDescent="0.25">
      <c r="Q992">
        <f>IF(E992="USD",CONFIG!$B$5,1)</f>
        <v>1</v>
      </c>
      <c r="R992" t="str">
        <f t="shared" si="75"/>
        <v>✗ ERROR: Revisa datos</v>
      </c>
      <c r="S992" t="str">
        <f t="shared" ca="1" si="76"/>
        <v/>
      </c>
      <c r="T992" t="str">
        <f>IF(E992="USD",F992,IF(E992="CRC",F992/CONFIG!$B$5,""))</f>
        <v/>
      </c>
      <c r="U992" t="str">
        <f t="shared" si="77"/>
        <v/>
      </c>
      <c r="V992" t="str">
        <f t="shared" ca="1" si="78"/>
        <v/>
      </c>
      <c r="W992" t="str">
        <f t="shared" ca="1" si="79"/>
        <v/>
      </c>
    </row>
    <row r="993" spans="17:23" x14ac:dyDescent="0.25">
      <c r="Q993">
        <f>IF(E993="USD",CONFIG!$B$5,1)</f>
        <v>1</v>
      </c>
      <c r="R993" t="str">
        <f t="shared" si="75"/>
        <v>✗ ERROR: Revisa datos</v>
      </c>
      <c r="S993" t="str">
        <f t="shared" ca="1" si="76"/>
        <v/>
      </c>
      <c r="T993" t="str">
        <f>IF(E993="USD",F993,IF(E993="CRC",F993/CONFIG!$B$5,""))</f>
        <v/>
      </c>
      <c r="U993" t="str">
        <f t="shared" si="77"/>
        <v/>
      </c>
      <c r="V993" t="str">
        <f t="shared" ca="1" si="78"/>
        <v/>
      </c>
      <c r="W993" t="str">
        <f t="shared" ca="1" si="79"/>
        <v/>
      </c>
    </row>
    <row r="994" spans="17:23" x14ac:dyDescent="0.25">
      <c r="Q994">
        <f>IF(E994="USD",CONFIG!$B$5,1)</f>
        <v>1</v>
      </c>
      <c r="R994" t="str">
        <f t="shared" si="75"/>
        <v>✗ ERROR: Revisa datos</v>
      </c>
      <c r="S994" t="str">
        <f t="shared" ca="1" si="76"/>
        <v/>
      </c>
      <c r="T994" t="str">
        <f>IF(E994="USD",F994,IF(E994="CRC",F994/CONFIG!$B$5,""))</f>
        <v/>
      </c>
      <c r="U994" t="str">
        <f t="shared" si="77"/>
        <v/>
      </c>
      <c r="V994" t="str">
        <f t="shared" ca="1" si="78"/>
        <v/>
      </c>
      <c r="W994" t="str">
        <f t="shared" ca="1" si="79"/>
        <v/>
      </c>
    </row>
    <row r="995" spans="17:23" x14ac:dyDescent="0.25">
      <c r="Q995">
        <f>IF(E995="USD",CONFIG!$B$5,1)</f>
        <v>1</v>
      </c>
      <c r="R995" t="str">
        <f t="shared" si="75"/>
        <v>✗ ERROR: Revisa datos</v>
      </c>
      <c r="S995" t="str">
        <f t="shared" ca="1" si="76"/>
        <v/>
      </c>
      <c r="T995" t="str">
        <f>IF(E995="USD",F995,IF(E995="CRC",F995/CONFIG!$B$5,""))</f>
        <v/>
      </c>
      <c r="U995" t="str">
        <f t="shared" si="77"/>
        <v/>
      </c>
      <c r="V995" t="str">
        <f t="shared" ca="1" si="78"/>
        <v/>
      </c>
      <c r="W995" t="str">
        <f t="shared" ca="1" si="79"/>
        <v/>
      </c>
    </row>
    <row r="996" spans="17:23" x14ac:dyDescent="0.25">
      <c r="Q996">
        <f>IF(E996="USD",CONFIG!$B$5,1)</f>
        <v>1</v>
      </c>
      <c r="R996" t="str">
        <f t="shared" si="75"/>
        <v>✗ ERROR: Revisa datos</v>
      </c>
      <c r="S996" t="str">
        <f t="shared" ca="1" si="76"/>
        <v/>
      </c>
      <c r="T996" t="str">
        <f>IF(E996="USD",F996,IF(E996="CRC",F996/CONFIG!$B$5,""))</f>
        <v/>
      </c>
      <c r="U996" t="str">
        <f t="shared" si="77"/>
        <v/>
      </c>
      <c r="V996" t="str">
        <f t="shared" ca="1" si="78"/>
        <v/>
      </c>
      <c r="W996" t="str">
        <f t="shared" ca="1" si="79"/>
        <v/>
      </c>
    </row>
    <row r="997" spans="17:23" x14ac:dyDescent="0.25">
      <c r="Q997">
        <f>IF(E997="USD",CONFIG!$B$5,1)</f>
        <v>1</v>
      </c>
      <c r="R997" t="str">
        <f t="shared" si="75"/>
        <v>✗ ERROR: Revisa datos</v>
      </c>
      <c r="S997" t="str">
        <f t="shared" ca="1" si="76"/>
        <v/>
      </c>
      <c r="T997" t="str">
        <f>IF(E997="USD",F997,IF(E997="CRC",F997/CONFIG!$B$5,""))</f>
        <v/>
      </c>
      <c r="U997" t="str">
        <f t="shared" si="77"/>
        <v/>
      </c>
      <c r="V997" t="str">
        <f t="shared" ca="1" si="78"/>
        <v/>
      </c>
      <c r="W997" t="str">
        <f t="shared" ca="1" si="79"/>
        <v/>
      </c>
    </row>
    <row r="998" spans="17:23" x14ac:dyDescent="0.25">
      <c r="Q998">
        <f>IF(E998="USD",CONFIG!$B$5,1)</f>
        <v>1</v>
      </c>
      <c r="R998" t="str">
        <f t="shared" si="75"/>
        <v>✗ ERROR: Revisa datos</v>
      </c>
      <c r="S998" t="str">
        <f t="shared" ca="1" si="76"/>
        <v/>
      </c>
      <c r="T998" t="str">
        <f>IF(E998="USD",F998,IF(E998="CRC",F998/CONFIG!$B$5,""))</f>
        <v/>
      </c>
      <c r="U998" t="str">
        <f t="shared" si="77"/>
        <v/>
      </c>
      <c r="V998" t="str">
        <f t="shared" ca="1" si="78"/>
        <v/>
      </c>
      <c r="W998" t="str">
        <f t="shared" ca="1" si="79"/>
        <v/>
      </c>
    </row>
    <row r="999" spans="17:23" x14ac:dyDescent="0.25">
      <c r="Q999">
        <f>IF(E999="USD",CONFIG!$B$5,1)</f>
        <v>1</v>
      </c>
      <c r="R999" t="str">
        <f t="shared" si="75"/>
        <v>✗ ERROR: Revisa datos</v>
      </c>
      <c r="S999" t="str">
        <f t="shared" ca="1" si="76"/>
        <v/>
      </c>
      <c r="T999" t="str">
        <f>IF(E999="USD",F999,IF(E999="CRC",F999/CONFIG!$B$5,""))</f>
        <v/>
      </c>
      <c r="U999" t="str">
        <f t="shared" si="77"/>
        <v/>
      </c>
      <c r="V999" t="str">
        <f t="shared" ca="1" si="78"/>
        <v/>
      </c>
      <c r="W999" t="str">
        <f t="shared" ca="1" si="79"/>
        <v/>
      </c>
    </row>
    <row r="1000" spans="17:23" x14ac:dyDescent="0.25">
      <c r="Q1000">
        <f>IF(E1000="USD",CONFIG!$B$5,1)</f>
        <v>1</v>
      </c>
      <c r="R1000" t="str">
        <f t="shared" si="75"/>
        <v>✗ ERROR: Revisa datos</v>
      </c>
      <c r="S1000" t="str">
        <f t="shared" ca="1" si="76"/>
        <v/>
      </c>
      <c r="T1000" t="str">
        <f>IF(E1000="USD",F1000,IF(E1000="CRC",F1000/CONFIG!$B$5,""))</f>
        <v/>
      </c>
      <c r="U1000" t="str">
        <f t="shared" si="77"/>
        <v/>
      </c>
      <c r="V1000" t="str">
        <f t="shared" ca="1" si="78"/>
        <v/>
      </c>
      <c r="W1000" t="str">
        <f t="shared" ca="1" si="7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B5" sqref="B5"/>
    </sheetView>
  </sheetViews>
  <sheetFormatPr defaultRowHeight="15" x14ac:dyDescent="0.25"/>
  <cols>
    <col min="1" max="1" width="54.7109375" bestFit="1" customWidth="1"/>
    <col min="2" max="2" width="20.85546875" bestFit="1" customWidth="1"/>
    <col min="3" max="3" width="22.7109375" bestFit="1" customWidth="1"/>
  </cols>
  <sheetData>
    <row r="1" spans="1:3" x14ac:dyDescent="0.25">
      <c r="A1" t="s">
        <v>89</v>
      </c>
    </row>
    <row r="2" spans="1:3" x14ac:dyDescent="0.25">
      <c r="A2" t="s">
        <v>90</v>
      </c>
    </row>
    <row r="4" spans="1:3" x14ac:dyDescent="0.25">
      <c r="A4" t="s">
        <v>91</v>
      </c>
      <c r="B4" t="s">
        <v>92</v>
      </c>
      <c r="C4" t="s">
        <v>53</v>
      </c>
    </row>
    <row r="5" spans="1:3" x14ac:dyDescent="0.25">
      <c r="A5" t="s">
        <v>93</v>
      </c>
      <c r="B5">
        <v>506</v>
      </c>
      <c r="C5" t="s">
        <v>94</v>
      </c>
    </row>
    <row r="6" spans="1:3" x14ac:dyDescent="0.25">
      <c r="A6" t="s">
        <v>95</v>
      </c>
      <c r="B6">
        <v>15</v>
      </c>
      <c r="C6" t="s">
        <v>96</v>
      </c>
    </row>
    <row r="7" spans="1:3" x14ac:dyDescent="0.25">
      <c r="A7" t="s">
        <v>97</v>
      </c>
      <c r="B7">
        <v>20</v>
      </c>
      <c r="C7" t="s">
        <v>96</v>
      </c>
    </row>
    <row r="8" spans="1:3" x14ac:dyDescent="0.25">
      <c r="A8" t="s">
        <v>98</v>
      </c>
      <c r="B8">
        <v>10</v>
      </c>
      <c r="C8" t="s">
        <v>96</v>
      </c>
    </row>
    <row r="9" spans="1:3" x14ac:dyDescent="0.25">
      <c r="A9" t="s">
        <v>99</v>
      </c>
      <c r="B9">
        <v>10</v>
      </c>
      <c r="C9" t="s">
        <v>96</v>
      </c>
    </row>
    <row r="10" spans="1:3" x14ac:dyDescent="0.25">
      <c r="A10" t="s">
        <v>100</v>
      </c>
      <c r="B10" t="s">
        <v>101</v>
      </c>
      <c r="C10" t="s">
        <v>102</v>
      </c>
    </row>
    <row r="11" spans="1:3" x14ac:dyDescent="0.25">
      <c r="A11" t="s">
        <v>103</v>
      </c>
      <c r="B11" t="s">
        <v>104</v>
      </c>
      <c r="C11" t="s">
        <v>102</v>
      </c>
    </row>
    <row r="12" spans="1:3" x14ac:dyDescent="0.25">
      <c r="A12" t="s">
        <v>105</v>
      </c>
      <c r="B12">
        <v>13</v>
      </c>
      <c r="C12" t="s">
        <v>106</v>
      </c>
    </row>
    <row r="13" spans="1:3" x14ac:dyDescent="0.25">
      <c r="A13" t="s">
        <v>107</v>
      </c>
      <c r="B13" t="s">
        <v>108</v>
      </c>
      <c r="C13" t="s">
        <v>109</v>
      </c>
    </row>
    <row r="14" spans="1:3" x14ac:dyDescent="0.25">
      <c r="A14" t="s">
        <v>110</v>
      </c>
      <c r="B14" t="s">
        <v>111</v>
      </c>
      <c r="C1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 x14ac:dyDescent="0.25"/>
  <sheetData>
    <row r="1" spans="1:5" x14ac:dyDescent="0.25">
      <c r="A1" t="s">
        <v>19</v>
      </c>
    </row>
    <row r="2" spans="1:5" x14ac:dyDescent="0.25">
      <c r="A2" t="s">
        <v>113</v>
      </c>
      <c r="B2" t="s">
        <v>114</v>
      </c>
      <c r="C2" t="s">
        <v>115</v>
      </c>
      <c r="D2" t="s">
        <v>116</v>
      </c>
      <c r="E2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5" x14ac:dyDescent="0.25"/>
  <sheetData>
    <row r="1" spans="1:5" x14ac:dyDescent="0.25">
      <c r="A1" t="s">
        <v>118</v>
      </c>
    </row>
    <row r="2" spans="1:5" x14ac:dyDescent="0.25">
      <c r="A2" t="s">
        <v>47</v>
      </c>
      <c r="B2" t="s">
        <v>48</v>
      </c>
      <c r="C2" t="s">
        <v>119</v>
      </c>
      <c r="D2" t="s">
        <v>120</v>
      </c>
      <c r="E2" t="s">
        <v>121</v>
      </c>
    </row>
    <row r="3" spans="1:5" x14ac:dyDescent="0.25">
      <c r="D3">
        <f>IF(AND(TRANSACCIONES!I3="Sí",NOT(OR(B3=CONFIG!$B$10,B3=CONFIG!$B$11))),C3*0.13,0)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5" x14ac:dyDescent="0.25"/>
  <sheetData>
    <row r="1" spans="1:6" x14ac:dyDescent="0.25">
      <c r="A1" t="s">
        <v>122</v>
      </c>
    </row>
    <row r="2" spans="1:6" x14ac:dyDescent="0.25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defaultRowHeight="15" x14ac:dyDescent="0.25"/>
  <sheetData>
    <row r="1" spans="1:1" x14ac:dyDescent="0.25">
      <c r="A1" t="s">
        <v>129</v>
      </c>
    </row>
    <row r="5" spans="1:1" x14ac:dyDescent="0.25">
      <c r="A5" t="s">
        <v>130</v>
      </c>
    </row>
    <row r="6" spans="1:1" x14ac:dyDescent="0.25">
      <c r="A6" t="s">
        <v>131</v>
      </c>
    </row>
    <row r="7" spans="1:1" x14ac:dyDescent="0.25">
      <c r="A7" t="s">
        <v>132</v>
      </c>
    </row>
    <row r="8" spans="1:1" x14ac:dyDescent="0.25">
      <c r="A8" t="e">
        <f>Saldo ajustado banco</f>
        <v>#NAME?</v>
      </c>
    </row>
    <row r="12" spans="1:1" x14ac:dyDescent="0.25">
      <c r="A12" t="s">
        <v>133</v>
      </c>
    </row>
    <row r="13" spans="1:1" x14ac:dyDescent="0.25">
      <c r="A13" t="s">
        <v>134</v>
      </c>
    </row>
    <row r="14" spans="1:1" x14ac:dyDescent="0.25">
      <c r="A14" t="s">
        <v>135</v>
      </c>
    </row>
    <row r="15" spans="1:1" x14ac:dyDescent="0.25">
      <c r="A15" t="e">
        <f>Saldo ajustado libros</f>
        <v>#NAME?</v>
      </c>
    </row>
    <row r="19" spans="1:2" x14ac:dyDescent="0.25">
      <c r="A19" t="s">
        <v>136</v>
      </c>
      <c r="B19">
        <f>B8-B15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6"/>
  <sheetViews>
    <sheetView workbookViewId="0">
      <selection activeCell="J2" sqref="J1:J1048576"/>
    </sheetView>
  </sheetViews>
  <sheetFormatPr defaultRowHeight="15" x14ac:dyDescent="0.25"/>
  <cols>
    <col min="1" max="1" width="12.42578125" bestFit="1" customWidth="1"/>
    <col min="2" max="2" width="6.140625" bestFit="1" customWidth="1"/>
    <col min="3" max="3" width="8" bestFit="1" customWidth="1"/>
    <col min="4" max="4" width="8.42578125" bestFit="1" customWidth="1"/>
    <col min="5" max="5" width="23.140625" bestFit="1" customWidth="1"/>
    <col min="6" max="6" width="10.28515625" bestFit="1" customWidth="1"/>
    <col min="7" max="7" width="13.42578125" bestFit="1" customWidth="1"/>
    <col min="8" max="8" width="12" style="4" bestFit="1" customWidth="1"/>
    <col min="9" max="9" width="8.85546875" bestFit="1" customWidth="1"/>
    <col min="10" max="10" width="11" style="6" bestFit="1" customWidth="1"/>
  </cols>
  <sheetData>
    <row r="1" spans="1:12" ht="18.75" x14ac:dyDescent="0.3">
      <c r="A1" s="7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1" t="s">
        <v>48</v>
      </c>
      <c r="B2" s="1" t="s">
        <v>47</v>
      </c>
      <c r="C2" s="1" t="s">
        <v>52</v>
      </c>
      <c r="D2" s="1" t="s">
        <v>51</v>
      </c>
      <c r="E2" s="1" t="s">
        <v>53</v>
      </c>
      <c r="F2" s="1" t="s">
        <v>59</v>
      </c>
      <c r="G2" s="1" t="s">
        <v>329</v>
      </c>
      <c r="H2" s="3" t="s">
        <v>66</v>
      </c>
      <c r="I2" s="1" t="s">
        <v>60</v>
      </c>
      <c r="J2" s="5" t="s">
        <v>67</v>
      </c>
      <c r="K2" s="1" t="s">
        <v>330</v>
      </c>
      <c r="L2" s="1" t="s">
        <v>331</v>
      </c>
    </row>
    <row r="3" spans="1:12" x14ac:dyDescent="0.25">
      <c r="A3" t="str" cm="1">
        <f t="array" ref="A3:A6">_xlfn._xlws.FILTER(TRANSACCIONES!B:B,(TRANSACCIONES!C:C="CxP")*(TRANSACCIONES!M:M="Pendiente"),"Sin CxP")</f>
        <v>BAC San José</v>
      </c>
      <c r="B3" cm="1">
        <f t="array" ref="B3:B6">_xlfn._xlws.FILTER(TRANSACCIONES!A:A,(TRANSACCIONES!C:C="CxP")*(TRANSACCIONES!M:M="Pendiente"),"")</f>
        <v>45978</v>
      </c>
      <c r="C3" cm="1">
        <f t="array" ref="C3:C6">_xlfn._xlws.FILTER(TRANSACCIONES!F:F,(TRANSACCIONES!C:C="CxP")*(TRANSACCIONES!M:M="Pendiente"),"")</f>
        <v>1831000</v>
      </c>
      <c r="D3" t="str" cm="1">
        <f t="array" ref="D3:D6">_xlfn._xlws.FILTER(TRANSACCIONES!E:E,(TRANSACCIONES!C:C="CxP")*(TRANSACCIONES!M:M="Pendiente"),"")</f>
        <v>CRC</v>
      </c>
      <c r="E3" t="str" cm="1">
        <f t="array" ref="E3:E6">_xlfn._xlws.FILTER(TRANSACCIONES!G:G,(TRANSACCIONES!C:C="CxP")*(TRANSACCIONES!M:M="Pendiente"),"")</f>
        <v>Saldo tarjeta Visa Clásica</v>
      </c>
      <c r="F3" t="str" cm="1">
        <f t="array" ref="F3:F6">_xlfn._xlws.FILTER(TRANSACCIONES!M:M,(TRANSACCIONES!C:C="CxP")*(TRANSACCIONES!M:M="Pendiente"),"")</f>
        <v>Pendiente</v>
      </c>
      <c r="G3" cm="1">
        <f t="array" ref="G3:G6">_xlfn._xlws.FILTER(TRANSACCIONES!S:S,(TRANSACCIONES!C:C="CxP")*(TRANSACCIONES!M:M="Pendiente"),"")</f>
        <v>0</v>
      </c>
      <c r="H3" s="4" cm="1">
        <f t="array" ref="H3:H6">_xlfn._xlws.FILTER(TRANSACCIONES!T:T,(TRANSACCIONES!C:C="CxP")*(TRANSACCIONES!M:M="Pendiente"),"")</f>
        <v>3390.7407407407409</v>
      </c>
      <c r="I3" cm="1">
        <f t="array" ref="I3:I6">_xlfn._xlws.FILTER(TRANSACCIONES!N:N,(TRANSACCIONES!C:C="CxP")*(TRANSACCIONES!M:M="Pendiente"),"")</f>
        <v>0</v>
      </c>
      <c r="J3" s="6" cm="1">
        <f t="array" ref="J3:J6">_xlfn._xlws.FILTER(TRANSACCIONES!U:U,(TRANSACCIONES!C:C="CxP")*(TRANSACCIONES!M:M="Pendiente"),"")</f>
        <v>46008</v>
      </c>
      <c r="K3" t="str" cm="1">
        <f t="array" ref="K3:K6">_xlfn._xlws.FILTER(TRANSACCIONES!V:V,(TRANSACCIONES!C:C="CxP")*(TRANSACCIONES!M:M="Pendiente"),"")</f>
        <v>Baja</v>
      </c>
    </row>
    <row r="4" spans="1:12" x14ac:dyDescent="0.25">
      <c r="A4" t="str">
        <v>BCR</v>
      </c>
      <c r="B4">
        <v>45978</v>
      </c>
      <c r="C4">
        <v>1750000</v>
      </c>
      <c r="D4" t="str">
        <v>CRC</v>
      </c>
      <c r="E4" t="str">
        <v>Saldo tarjeta Mastercard</v>
      </c>
      <c r="F4" t="str">
        <v>Pendiente</v>
      </c>
      <c r="G4">
        <v>0</v>
      </c>
      <c r="H4" s="4">
        <v>3240.7407407407409</v>
      </c>
      <c r="I4">
        <v>0</v>
      </c>
      <c r="J4" s="6">
        <v>46008</v>
      </c>
      <c r="K4" t="str">
        <v>Baja</v>
      </c>
    </row>
    <row r="5" spans="1:12" x14ac:dyDescent="0.25">
      <c r="A5" t="str">
        <v>Credomatic</v>
      </c>
      <c r="B5">
        <v>45978</v>
      </c>
      <c r="C5">
        <v>2500</v>
      </c>
      <c r="D5" t="str">
        <v>USD</v>
      </c>
      <c r="E5" t="str">
        <v>Saldo tarjeta Platinum</v>
      </c>
      <c r="F5" t="str">
        <v>Pendiente</v>
      </c>
      <c r="G5">
        <v>0</v>
      </c>
      <c r="H5" s="4">
        <v>2500</v>
      </c>
      <c r="I5">
        <v>0</v>
      </c>
      <c r="J5" s="6">
        <v>46008</v>
      </c>
      <c r="K5" t="str">
        <v>Baja</v>
      </c>
    </row>
    <row r="6" spans="1:12" x14ac:dyDescent="0.25">
      <c r="A6" t="str">
        <v>Credomatic</v>
      </c>
      <c r="B6">
        <v>45978</v>
      </c>
      <c r="C6">
        <v>2800000</v>
      </c>
      <c r="D6" t="str">
        <v>CRC</v>
      </c>
      <c r="E6" t="str">
        <v>Saldo tarjeta Gold</v>
      </c>
      <c r="F6" t="str">
        <v>Pendiente</v>
      </c>
      <c r="G6">
        <v>0</v>
      </c>
      <c r="H6" s="4">
        <v>5185.1851851851852</v>
      </c>
      <c r="I6">
        <v>0</v>
      </c>
      <c r="J6" s="6">
        <v>46008</v>
      </c>
      <c r="K6" t="str">
        <v>Baja</v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"/>
  <sheetViews>
    <sheetView workbookViewId="0">
      <selection activeCell="A3" sqref="A3"/>
    </sheetView>
  </sheetViews>
  <sheetFormatPr defaultRowHeight="15" x14ac:dyDescent="0.25"/>
  <cols>
    <col min="1" max="1" width="25.7109375" customWidth="1"/>
    <col min="5" max="5" width="30.7109375" customWidth="1"/>
  </cols>
  <sheetData>
    <row r="1" spans="1:12" ht="18.75" x14ac:dyDescent="0.3">
      <c r="A1" s="7" t="s">
        <v>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" t="s">
        <v>157</v>
      </c>
      <c r="B2" s="2" t="s">
        <v>47</v>
      </c>
      <c r="C2" s="2" t="s">
        <v>52</v>
      </c>
      <c r="D2" s="2" t="s">
        <v>51</v>
      </c>
      <c r="E2" s="2" t="s">
        <v>53</v>
      </c>
      <c r="F2" s="2" t="s">
        <v>59</v>
      </c>
      <c r="G2" s="2" t="s">
        <v>329</v>
      </c>
      <c r="H2" s="2" t="s">
        <v>66</v>
      </c>
      <c r="I2" s="2" t="s">
        <v>60</v>
      </c>
      <c r="J2" s="2" t="s">
        <v>67</v>
      </c>
      <c r="K2" s="2" t="s">
        <v>330</v>
      </c>
      <c r="L2" s="2" t="s">
        <v>331</v>
      </c>
    </row>
    <row r="3" spans="1:12" x14ac:dyDescent="0.25">
      <c r="A3" t="str" cm="1">
        <f t="array" ref="A3">_xlfn._xlws.FILTER(TRANSACCIONES!B:B,(TRANSACCIONES!C:C="CxC")*(TRANSACCIONES!M:M="Pendiente"),"Sin CxC")</f>
        <v>Sin CxC</v>
      </c>
      <c r="B3" t="str" cm="1">
        <f t="array" ref="B3">_xlfn._xlws.FILTER(TRANSACCIONES!A:A,(TRANSACCIONES!C:C="CxC")*(TRANSACCIONES!M:M="Pendiente"),"")</f>
        <v/>
      </c>
      <c r="C3" t="str" cm="1">
        <f t="array" ref="C3">_xlfn._xlws.FILTER(TRANSACCIONES!F:F,(TRANSACCIONES!C:C="CxC")*(TRANSACCIONES!M:M="Pendiente"),"")</f>
        <v/>
      </c>
      <c r="D3" t="str" cm="1">
        <f t="array" ref="D3">_xlfn._xlws.FILTER(TRANSACCIONES!E:E,(TRANSACCIONES!C:C="CxC")*(TRANSACCIONES!M:M="Pendiente"),"")</f>
        <v/>
      </c>
      <c r="E3" t="str" cm="1">
        <f t="array" ref="E3">_xlfn._xlws.FILTER(TRANSACCIONES!G:G,(TRANSACCIONES!C:C="CxC")*(TRANSACCIONES!M:M="Pendiente"),"")</f>
        <v/>
      </c>
      <c r="F3" t="str" cm="1">
        <f t="array" ref="F3">_xlfn._xlws.FILTER(TRANSACCIONES!M:M,(TRANSACCIONES!C:C="CxC")*(TRANSACCIONES!M:M="Pendiente"),"")</f>
        <v/>
      </c>
      <c r="G3" t="str" cm="1">
        <f t="array" ref="G3">_xlfn._xlws.FILTER(TRANSACCIONES!S:S,(TRANSACCIONES!C:C="CxC")*(TRANSACCIONES!M:M="Pendiente"),"")</f>
        <v/>
      </c>
      <c r="H3" t="str" cm="1">
        <f t="array" ref="H3">_xlfn._xlws.FILTER(TRANSACCIONES!T:T,(TRANSACCIONES!C:C="CxC")*(TRANSACCIONES!M:M="Pendiente"),"")</f>
        <v/>
      </c>
      <c r="I3" t="str" cm="1">
        <f t="array" ref="I3">_xlfn._xlws.FILTER(TRANSACCIONES!N:N,(TRANSACCIONES!C:C="CxC")*(TRANSACCIONES!M:M="Pendiente"),"")</f>
        <v/>
      </c>
      <c r="J3" t="str" cm="1">
        <f t="array" ref="J3">_xlfn._xlws.FILTER(TRANSACCIONES!U:U,(TRANSACCIONES!C:C="CxC")*(TRANSACCIONES!M:M="Pendiente"),"")</f>
        <v/>
      </c>
      <c r="K3" t="str" cm="1">
        <f t="array" ref="K3">_xlfn._xlws.FILTER(TRANSACCIONES!W:W,(TRANSACCIONES!C:C="CxC")*(TRANSACCIONES!M:M="Pendiente"),"")</f>
        <v/>
      </c>
    </row>
  </sheetData>
  <mergeCells count="1">
    <mergeCell ref="A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sheetData>
    <row r="1" spans="1:4" x14ac:dyDescent="0.25">
      <c r="A1" t="s">
        <v>137</v>
      </c>
    </row>
    <row r="2" spans="1:4" x14ac:dyDescent="0.25">
      <c r="A2" t="s">
        <v>121</v>
      </c>
      <c r="B2" t="s">
        <v>138</v>
      </c>
      <c r="C2" t="s">
        <v>139</v>
      </c>
      <c r="D2" t="s">
        <v>140</v>
      </c>
    </row>
    <row r="3" spans="1:4" x14ac:dyDescent="0.25">
      <c r="A3" t="s">
        <v>141</v>
      </c>
      <c r="B3">
        <f>SUMIFS(TRANSACCIONES!F:F,TRANSACCIONES!P:P,"Personal",TRANSACCIONES!C:C,"Ingreso")</f>
        <v>0</v>
      </c>
      <c r="C3">
        <f>SUMIFS(TRANSACCIONES!F:F,TRANSACCIONES!P:P,"Personal",TRANSACCIONES!C:C,"Gasto")</f>
        <v>0</v>
      </c>
      <c r="D3">
        <f>B3-C3</f>
        <v>0</v>
      </c>
    </row>
    <row r="4" spans="1:4" x14ac:dyDescent="0.25">
      <c r="A4" t="s">
        <v>142</v>
      </c>
    </row>
    <row r="5" spans="1:4" x14ac:dyDescent="0.25">
      <c r="A5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5" x14ac:dyDescent="0.25"/>
  <sheetData>
    <row r="1" spans="1:5" x14ac:dyDescent="0.25">
      <c r="A1" t="s">
        <v>144</v>
      </c>
    </row>
    <row r="2" spans="1:5" x14ac:dyDescent="0.25">
      <c r="A2" t="s">
        <v>49</v>
      </c>
      <c r="B2" t="s">
        <v>145</v>
      </c>
      <c r="C2" t="s">
        <v>146</v>
      </c>
      <c r="D2" t="s">
        <v>147</v>
      </c>
      <c r="E2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5" x14ac:dyDescent="0.25"/>
  <sheetData>
    <row r="1" spans="1:5" x14ac:dyDescent="0.25">
      <c r="A1" t="s">
        <v>149</v>
      </c>
    </row>
    <row r="2" spans="1:5" x14ac:dyDescent="0.25">
      <c r="A2" t="s">
        <v>58</v>
      </c>
      <c r="B2" t="s">
        <v>145</v>
      </c>
      <c r="C2" t="s">
        <v>146</v>
      </c>
      <c r="D2" t="s">
        <v>147</v>
      </c>
      <c r="E2" t="s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workbookViewId="0"/>
  </sheetViews>
  <sheetFormatPr defaultRowHeight="15" x14ac:dyDescent="0.25"/>
  <sheetData>
    <row r="1" spans="1:6" x14ac:dyDescent="0.25">
      <c r="A1" t="s">
        <v>150</v>
      </c>
    </row>
    <row r="2" spans="1:6" x14ac:dyDescent="0.25">
      <c r="A2" t="s">
        <v>151</v>
      </c>
      <c r="B2" t="s">
        <v>152</v>
      </c>
      <c r="C2" t="s">
        <v>153</v>
      </c>
      <c r="D2" t="s">
        <v>148</v>
      </c>
      <c r="E2" t="s">
        <v>154</v>
      </c>
      <c r="F2" t="s">
        <v>155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5" x14ac:dyDescent="0.25"/>
  <sheetData>
    <row r="1" spans="1:6" x14ac:dyDescent="0.25">
      <c r="A1" t="s">
        <v>156</v>
      </c>
    </row>
    <row r="2" spans="1:6" x14ac:dyDescent="0.25">
      <c r="A2" t="s">
        <v>157</v>
      </c>
      <c r="B2" t="s">
        <v>158</v>
      </c>
      <c r="C2" t="s">
        <v>153</v>
      </c>
      <c r="D2" t="s">
        <v>148</v>
      </c>
      <c r="E2" t="s">
        <v>159</v>
      </c>
      <c r="F2" t="s">
        <v>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"/>
  <sheetViews>
    <sheetView workbookViewId="0"/>
  </sheetViews>
  <sheetFormatPr defaultRowHeight="15" x14ac:dyDescent="0.25"/>
  <sheetData>
    <row r="1" spans="1:6" x14ac:dyDescent="0.25">
      <c r="A1" t="s">
        <v>160</v>
      </c>
    </row>
    <row r="2" spans="1:6" x14ac:dyDescent="0.25">
      <c r="A2" t="s">
        <v>121</v>
      </c>
      <c r="B2" t="s">
        <v>161</v>
      </c>
      <c r="C2" t="s">
        <v>162</v>
      </c>
      <c r="D2" t="s">
        <v>163</v>
      </c>
      <c r="E2" t="s">
        <v>164</v>
      </c>
      <c r="F2" t="s">
        <v>165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"/>
  <sheetViews>
    <sheetView workbookViewId="0"/>
  </sheetViews>
  <sheetFormatPr defaultRowHeight="15" x14ac:dyDescent="0.25"/>
  <sheetData>
    <row r="1" spans="1:1" x14ac:dyDescent="0.25">
      <c r="A1" t="s">
        <v>166</v>
      </c>
    </row>
    <row r="3" spans="1:1" x14ac:dyDescent="0.25">
      <c r="A3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6" spans="1:1" x14ac:dyDescent="0.25">
      <c r="A16" t="s">
        <v>178</v>
      </c>
    </row>
    <row r="18" spans="1:8" x14ac:dyDescent="0.25">
      <c r="A18" t="s">
        <v>179</v>
      </c>
      <c r="B18">
        <f>SUM(CxP!H3:H1000)</f>
        <v>14316.666666666668</v>
      </c>
    </row>
    <row r="19" spans="1:8" x14ac:dyDescent="0.25">
      <c r="A19" t="s">
        <v>180</v>
      </c>
      <c r="B19">
        <f>SUM(CxC!H3:H1000)</f>
        <v>0</v>
      </c>
    </row>
    <row r="20" spans="1:8" x14ac:dyDescent="0.25">
      <c r="A20" t="s">
        <v>181</v>
      </c>
      <c r="B20">
        <f>BALANCE_GENERAL!B5</f>
        <v>0</v>
      </c>
    </row>
    <row r="21" spans="1:8" x14ac:dyDescent="0.25">
      <c r="A21" t="s">
        <v>182</v>
      </c>
      <c r="B21">
        <f>ESTADO_RESULTADOS!B40</f>
        <v>0</v>
      </c>
    </row>
    <row r="23" spans="1:8" x14ac:dyDescent="0.25">
      <c r="A23" t="s">
        <v>183</v>
      </c>
    </row>
    <row r="24" spans="1:8" x14ac:dyDescent="0.25">
      <c r="A24" t="s">
        <v>113</v>
      </c>
      <c r="B24" t="s">
        <v>138</v>
      </c>
      <c r="C24" t="s">
        <v>139</v>
      </c>
      <c r="D24" t="s">
        <v>184</v>
      </c>
      <c r="E24" t="s">
        <v>71</v>
      </c>
      <c r="F24" t="s">
        <v>185</v>
      </c>
      <c r="G24" t="s">
        <v>186</v>
      </c>
      <c r="H24" t="s">
        <v>187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/>
  </sheetViews>
  <sheetFormatPr defaultRowHeight="15" x14ac:dyDescent="0.25"/>
  <sheetData>
    <row r="1" spans="1:7" x14ac:dyDescent="0.25">
      <c r="A1" t="s">
        <v>188</v>
      </c>
    </row>
    <row r="2" spans="1:7" x14ac:dyDescent="0.25">
      <c r="A2" t="s">
        <v>189</v>
      </c>
    </row>
    <row r="3" spans="1:7" x14ac:dyDescent="0.25">
      <c r="A3" t="s">
        <v>190</v>
      </c>
      <c r="B3" t="s">
        <v>191</v>
      </c>
      <c r="C3" t="s">
        <v>192</v>
      </c>
      <c r="D3" t="s">
        <v>193</v>
      </c>
      <c r="E3" t="s">
        <v>194</v>
      </c>
      <c r="F3" t="s">
        <v>195</v>
      </c>
      <c r="G3" t="s">
        <v>56</v>
      </c>
    </row>
    <row r="4" spans="1:7" x14ac:dyDescent="0.25">
      <c r="A4">
        <v>45978</v>
      </c>
      <c r="B4">
        <v>539</v>
      </c>
      <c r="C4">
        <v>541</v>
      </c>
      <c r="D4">
        <f>(B4+C4)/2</f>
        <v>540</v>
      </c>
      <c r="E4" t="s">
        <v>196</v>
      </c>
      <c r="F4" t="s">
        <v>197</v>
      </c>
      <c r="G4" t="s">
        <v>198</v>
      </c>
    </row>
    <row r="5" spans="1:7" x14ac:dyDescent="0.25">
      <c r="A5">
        <v>45962</v>
      </c>
      <c r="B5">
        <v>538</v>
      </c>
      <c r="C5">
        <v>540</v>
      </c>
      <c r="D5">
        <f>(B5+C5)/2</f>
        <v>539</v>
      </c>
      <c r="E5" t="s">
        <v>196</v>
      </c>
      <c r="F5" t="s">
        <v>197</v>
      </c>
      <c r="G5" t="s">
        <v>199</v>
      </c>
    </row>
    <row r="6" spans="1:7" x14ac:dyDescent="0.25">
      <c r="A6">
        <v>45931</v>
      </c>
      <c r="B6">
        <v>535</v>
      </c>
      <c r="C6">
        <v>537</v>
      </c>
      <c r="D6">
        <f>(B6+C6)/2</f>
        <v>536</v>
      </c>
      <c r="E6" t="s">
        <v>196</v>
      </c>
      <c r="F6" t="s">
        <v>197</v>
      </c>
      <c r="G6" t="s">
        <v>200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"/>
  <sheetViews>
    <sheetView workbookViewId="0"/>
  </sheetViews>
  <sheetFormatPr defaultRowHeight="15" x14ac:dyDescent="0.25"/>
  <sheetData>
    <row r="1" spans="1:12" x14ac:dyDescent="0.25">
      <c r="A1" t="s">
        <v>201</v>
      </c>
    </row>
    <row r="2" spans="1:12" x14ac:dyDescent="0.25">
      <c r="A2" t="s">
        <v>202</v>
      </c>
    </row>
    <row r="3" spans="1:12" x14ac:dyDescent="0.25">
      <c r="A3" t="s">
        <v>203</v>
      </c>
      <c r="B3" t="s">
        <v>204</v>
      </c>
      <c r="C3" t="s">
        <v>205</v>
      </c>
      <c r="D3" t="s">
        <v>206</v>
      </c>
      <c r="E3" t="s">
        <v>207</v>
      </c>
      <c r="F3" t="s">
        <v>208</v>
      </c>
      <c r="G3" t="s">
        <v>209</v>
      </c>
      <c r="H3" t="s">
        <v>51</v>
      </c>
      <c r="I3" t="s">
        <v>210</v>
      </c>
      <c r="J3" t="s">
        <v>211</v>
      </c>
      <c r="K3" t="s">
        <v>212</v>
      </c>
      <c r="L3" t="s">
        <v>213</v>
      </c>
    </row>
    <row r="4" spans="1:12" x14ac:dyDescent="0.25">
      <c r="A4">
        <v>45991</v>
      </c>
      <c r="B4" t="s">
        <v>214</v>
      </c>
      <c r="C4" t="s">
        <v>215</v>
      </c>
      <c r="D4" t="s">
        <v>216</v>
      </c>
      <c r="E4">
        <v>540000</v>
      </c>
      <c r="F4">
        <v>550000</v>
      </c>
      <c r="G4">
        <f>F4-E4</f>
        <v>10000</v>
      </c>
      <c r="H4" t="s">
        <v>73</v>
      </c>
      <c r="I4">
        <v>550</v>
      </c>
      <c r="J4" t="s">
        <v>217</v>
      </c>
      <c r="K4" t="s">
        <v>218</v>
      </c>
      <c r="L4">
        <v>45991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8"/>
  <sheetViews>
    <sheetView workbookViewId="0"/>
  </sheetViews>
  <sheetFormatPr defaultRowHeight="15" x14ac:dyDescent="0.25"/>
  <sheetData>
    <row r="1" spans="1:2" x14ac:dyDescent="0.25">
      <c r="A1" t="s">
        <v>219</v>
      </c>
    </row>
    <row r="2" spans="1:2" x14ac:dyDescent="0.25">
      <c r="A2" t="s">
        <v>220</v>
      </c>
    </row>
    <row r="4" spans="1:2" x14ac:dyDescent="0.25">
      <c r="A4" t="s">
        <v>221</v>
      </c>
    </row>
    <row r="5" spans="1:2" x14ac:dyDescent="0.25">
      <c r="A5" t="s">
        <v>222</v>
      </c>
      <c r="B5">
        <f>SUMIFS(TRANSACCIONES!F:F,TRANSACCIONES!C:C,"Ingreso",TRANSACCIONES!M:M,"Cobrado",TRANSACCIONES!E:E,"USD")-SUMIFS(TRANSACCIONES!F:F,TRANSACCIONES!C:C,"Gasto",TRANSACCIONES!M:M,"Pagado",TRANSACCIONES!E:E,"USD")</f>
        <v>0</v>
      </c>
    </row>
    <row r="6" spans="1:2" x14ac:dyDescent="0.25">
      <c r="A6" t="s">
        <v>223</v>
      </c>
      <c r="B6">
        <f>SUM(CxC!H3:H1000)</f>
        <v>0</v>
      </c>
    </row>
    <row r="7" spans="1:2" x14ac:dyDescent="0.25">
      <c r="A7" t="s">
        <v>224</v>
      </c>
      <c r="B7">
        <f>SUMIFS(TRANSACCIONES!F:F,TRANSACCIONES!C:C,"Inventario",TRANSACCIONES!E:E,"USD")</f>
        <v>0</v>
      </c>
    </row>
    <row r="8" spans="1:2" x14ac:dyDescent="0.25">
      <c r="A8" t="s">
        <v>225</v>
      </c>
      <c r="B8">
        <f>SUM(B5:B7)</f>
        <v>0</v>
      </c>
    </row>
    <row r="10" spans="1:2" x14ac:dyDescent="0.25">
      <c r="A10" t="s">
        <v>226</v>
      </c>
    </row>
    <row r="11" spans="1:2" x14ac:dyDescent="0.25">
      <c r="A11" t="s">
        <v>227</v>
      </c>
      <c r="B11">
        <v>0</v>
      </c>
    </row>
    <row r="12" spans="1:2" x14ac:dyDescent="0.25">
      <c r="A12" t="s">
        <v>228</v>
      </c>
      <c r="B12">
        <v>0</v>
      </c>
    </row>
    <row r="13" spans="1:2" x14ac:dyDescent="0.25">
      <c r="A13" t="s">
        <v>229</v>
      </c>
      <c r="B13">
        <v>0</v>
      </c>
    </row>
    <row r="14" spans="1:2" x14ac:dyDescent="0.25">
      <c r="A14" t="s">
        <v>230</v>
      </c>
      <c r="B14">
        <f>SUM(B11:B13)</f>
        <v>0</v>
      </c>
    </row>
    <row r="16" spans="1:2" x14ac:dyDescent="0.25">
      <c r="A16" t="s">
        <v>231</v>
      </c>
      <c r="B16">
        <f>B8+B14</f>
        <v>0</v>
      </c>
    </row>
    <row r="18" spans="1:2" x14ac:dyDescent="0.25">
      <c r="A18" t="s">
        <v>232</v>
      </c>
    </row>
    <row r="19" spans="1:2" x14ac:dyDescent="0.25">
      <c r="A19" t="s">
        <v>233</v>
      </c>
      <c r="B19">
        <f>SUM(CxP!H3:H1000)</f>
        <v>14316.666666666668</v>
      </c>
    </row>
    <row r="20" spans="1:2" x14ac:dyDescent="0.25">
      <c r="A20" t="s">
        <v>234</v>
      </c>
      <c r="B20">
        <f>SUMIFS(TRANSACCIONES!F:F,TRANSACCIONES!C:C,"CxP",TRANSACCIONES!D:D,"Tarjeta Crédito",TRANSACCIONES!M:M,"Pendiente",TRANSACCIONES!E:E,"USD")</f>
        <v>2500</v>
      </c>
    </row>
    <row r="21" spans="1:2" x14ac:dyDescent="0.25">
      <c r="A21" t="s">
        <v>235</v>
      </c>
      <c r="B21">
        <f>SUMIFS(IVA_CONTROL!D:D,IVA_CONTROL!E:E,"Venta")-SUMIFS(IVA_CONTROL!D:D,IVA_CONTROL!E:E,"Compra")</f>
        <v>0</v>
      </c>
    </row>
    <row r="22" spans="1:2" x14ac:dyDescent="0.25">
      <c r="A22" t="s">
        <v>236</v>
      </c>
      <c r="B22">
        <f>SUM(B19:B21)</f>
        <v>16816.666666666668</v>
      </c>
    </row>
    <row r="24" spans="1:2" x14ac:dyDescent="0.25">
      <c r="A24" t="s">
        <v>237</v>
      </c>
    </row>
    <row r="25" spans="1:2" x14ac:dyDescent="0.25">
      <c r="A25" t="s">
        <v>238</v>
      </c>
      <c r="B25">
        <v>0</v>
      </c>
    </row>
    <row r="26" spans="1:2" x14ac:dyDescent="0.25">
      <c r="A26" t="s">
        <v>239</v>
      </c>
      <c r="B26">
        <f>B25</f>
        <v>0</v>
      </c>
    </row>
    <row r="28" spans="1:2" x14ac:dyDescent="0.25">
      <c r="A28" t="s">
        <v>240</v>
      </c>
      <c r="B28">
        <f>B22+B26</f>
        <v>16816.666666666668</v>
      </c>
    </row>
    <row r="30" spans="1:2" x14ac:dyDescent="0.25">
      <c r="A30" t="s">
        <v>241</v>
      </c>
    </row>
    <row r="31" spans="1:2" x14ac:dyDescent="0.25">
      <c r="A31" t="s">
        <v>242</v>
      </c>
      <c r="B31">
        <v>10000</v>
      </c>
    </row>
    <row r="32" spans="1:2" x14ac:dyDescent="0.25">
      <c r="A32" t="s">
        <v>243</v>
      </c>
      <c r="B32">
        <v>0</v>
      </c>
    </row>
    <row r="33" spans="1:2" x14ac:dyDescent="0.25">
      <c r="A33" t="s">
        <v>244</v>
      </c>
      <c r="B33">
        <f>ESTADO_RESULTADOS!B40</f>
        <v>0</v>
      </c>
    </row>
    <row r="34" spans="1:2" x14ac:dyDescent="0.25">
      <c r="A34" t="s">
        <v>245</v>
      </c>
      <c r="B34">
        <f>SUM(B31:B33)</f>
        <v>10000</v>
      </c>
    </row>
    <row r="36" spans="1:2" x14ac:dyDescent="0.25">
      <c r="A36" t="s">
        <v>246</v>
      </c>
      <c r="B36">
        <f>B28+B34</f>
        <v>26816.666666666668</v>
      </c>
    </row>
    <row r="38" spans="1:2" x14ac:dyDescent="0.25">
      <c r="A38" t="s">
        <v>247</v>
      </c>
      <c r="B38">
        <f>B16-B36</f>
        <v>-26816.666666666668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41"/>
  <sheetViews>
    <sheetView workbookViewId="0"/>
  </sheetViews>
  <sheetFormatPr defaultRowHeight="15" x14ac:dyDescent="0.25"/>
  <sheetData>
    <row r="1" spans="1:2" x14ac:dyDescent="0.25">
      <c r="A1" t="s">
        <v>248</v>
      </c>
    </row>
    <row r="2" spans="1:2" x14ac:dyDescent="0.25">
      <c r="A2" t="s">
        <v>249</v>
      </c>
    </row>
    <row r="4" spans="1:2" x14ac:dyDescent="0.25">
      <c r="A4" t="s">
        <v>250</v>
      </c>
    </row>
    <row r="5" spans="1:2" x14ac:dyDescent="0.25">
      <c r="A5" t="s">
        <v>251</v>
      </c>
      <c r="B5">
        <f>SUMIFS(TRANSACCIONES!F:F,TRANSACCIONES!C:C,"Ingreso",TRANSACCIONES!E:E,"USD")</f>
        <v>0</v>
      </c>
    </row>
    <row r="6" spans="1:2" x14ac:dyDescent="0.25">
      <c r="A6" t="s">
        <v>252</v>
      </c>
      <c r="B6">
        <f>SUMIFS(TRANSACCIONES!F:F,TRANSACCIONES!C:C,"Servicios",TRANSACCIONES!E:E,"USD")</f>
        <v>0</v>
      </c>
    </row>
    <row r="7" spans="1:2" x14ac:dyDescent="0.25">
      <c r="A7" t="s">
        <v>253</v>
      </c>
      <c r="B7">
        <v>0</v>
      </c>
    </row>
    <row r="8" spans="1:2" x14ac:dyDescent="0.25">
      <c r="A8" t="s">
        <v>254</v>
      </c>
      <c r="B8">
        <f>SUM(B5:B7)</f>
        <v>0</v>
      </c>
    </row>
    <row r="10" spans="1:2" x14ac:dyDescent="0.25">
      <c r="A10" t="s">
        <v>255</v>
      </c>
    </row>
    <row r="11" spans="1:2" x14ac:dyDescent="0.25">
      <c r="A11" t="s">
        <v>256</v>
      </c>
      <c r="B11">
        <f>SUMIFS(TRANSACCIONES!F:F,TRANSACCIONES!C:C,"Inventario",TRANSACCIONES!E:E,"USD")</f>
        <v>0</v>
      </c>
    </row>
    <row r="12" spans="1:2" x14ac:dyDescent="0.25">
      <c r="A12" t="s">
        <v>257</v>
      </c>
      <c r="B12">
        <v>0</v>
      </c>
    </row>
    <row r="13" spans="1:2" x14ac:dyDescent="0.25">
      <c r="A13" t="s">
        <v>258</v>
      </c>
      <c r="B13">
        <f>SUM(B11:B12)</f>
        <v>0</v>
      </c>
    </row>
    <row r="15" spans="1:2" x14ac:dyDescent="0.25">
      <c r="A15" t="s">
        <v>259</v>
      </c>
      <c r="B15">
        <f>B8-B13</f>
        <v>0</v>
      </c>
    </row>
    <row r="16" spans="1:2" x14ac:dyDescent="0.25">
      <c r="A16" t="s">
        <v>260</v>
      </c>
      <c r="B16">
        <f>IFERROR(B15/B8*100,0)</f>
        <v>0</v>
      </c>
    </row>
    <row r="18" spans="1:2" x14ac:dyDescent="0.25">
      <c r="A18" t="s">
        <v>261</v>
      </c>
    </row>
    <row r="19" spans="1:2" x14ac:dyDescent="0.25">
      <c r="A19" t="s">
        <v>262</v>
      </c>
      <c r="B19">
        <f>SUMIFS(TRANSACCIONES!F:F,TRANSACCIONES!C:C,"Gasto",TRANSACCIONES!E:E,"USD")</f>
        <v>0</v>
      </c>
    </row>
    <row r="20" spans="1:2" x14ac:dyDescent="0.25">
      <c r="A20" t="s">
        <v>263</v>
      </c>
      <c r="B20">
        <v>0</v>
      </c>
    </row>
    <row r="21" spans="1:2" x14ac:dyDescent="0.25">
      <c r="A21" t="s">
        <v>264</v>
      </c>
      <c r="B21">
        <f>SUMIFS(TRANSACCIONES!F:F,TRANSACCIONES!C:C,"Marketing",TRANSACCIONES!E:E,"USD")</f>
        <v>0</v>
      </c>
    </row>
    <row r="22" spans="1:2" x14ac:dyDescent="0.25">
      <c r="A22" t="s">
        <v>265</v>
      </c>
      <c r="B22">
        <v>0</v>
      </c>
    </row>
    <row r="23" spans="1:2" x14ac:dyDescent="0.25">
      <c r="A23" t="s">
        <v>266</v>
      </c>
      <c r="B23">
        <f>SUM(B19:B22)</f>
        <v>0</v>
      </c>
    </row>
    <row r="25" spans="1:2" x14ac:dyDescent="0.25">
      <c r="A25" t="s">
        <v>267</v>
      </c>
      <c r="B25">
        <f>B15-B23</f>
        <v>0</v>
      </c>
    </row>
    <row r="27" spans="1:2" x14ac:dyDescent="0.25">
      <c r="A27" t="s">
        <v>268</v>
      </c>
      <c r="B27">
        <v>0</v>
      </c>
    </row>
    <row r="29" spans="1:2" x14ac:dyDescent="0.25">
      <c r="A29" t="s">
        <v>269</v>
      </c>
      <c r="B29">
        <f>B25-B27</f>
        <v>0</v>
      </c>
    </row>
    <row r="31" spans="1:2" x14ac:dyDescent="0.25">
      <c r="A31" t="s">
        <v>270</v>
      </c>
    </row>
    <row r="32" spans="1:2" x14ac:dyDescent="0.25">
      <c r="A32" t="s">
        <v>271</v>
      </c>
      <c r="B32">
        <v>0</v>
      </c>
    </row>
    <row r="33" spans="1:2" x14ac:dyDescent="0.25">
      <c r="A33" t="s">
        <v>272</v>
      </c>
      <c r="B33">
        <v>0</v>
      </c>
    </row>
    <row r="34" spans="1:2" x14ac:dyDescent="0.25">
      <c r="A34" t="s">
        <v>273</v>
      </c>
      <c r="B34">
        <f>SUM(B32:B33)</f>
        <v>0</v>
      </c>
    </row>
    <row r="36" spans="1:2" x14ac:dyDescent="0.25">
      <c r="A36" t="s">
        <v>274</v>
      </c>
      <c r="B36">
        <f>B29-B34</f>
        <v>0</v>
      </c>
    </row>
    <row r="38" spans="1:2" x14ac:dyDescent="0.25">
      <c r="A38" t="s">
        <v>275</v>
      </c>
      <c r="B38">
        <f>B36*0.3</f>
        <v>0</v>
      </c>
    </row>
    <row r="40" spans="1:2" x14ac:dyDescent="0.25">
      <c r="A40" t="s">
        <v>276</v>
      </c>
      <c r="B40">
        <f>B36-B38</f>
        <v>0</v>
      </c>
    </row>
    <row r="41" spans="1:2" x14ac:dyDescent="0.25">
      <c r="A41" t="s">
        <v>277</v>
      </c>
      <c r="B41">
        <f>IFERROR(B40/B8*100,0)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62"/>
  <sheetViews>
    <sheetView workbookViewId="0"/>
  </sheetViews>
  <sheetFormatPr defaultRowHeight="15" x14ac:dyDescent="0.25"/>
  <sheetData>
    <row r="1" spans="1:1" x14ac:dyDescent="0.25">
      <c r="A1" t="s">
        <v>278</v>
      </c>
    </row>
    <row r="3" spans="1:1" x14ac:dyDescent="0.25">
      <c r="A3" t="s">
        <v>279</v>
      </c>
    </row>
    <row r="4" spans="1:1" x14ac:dyDescent="0.25">
      <c r="A4" t="s">
        <v>280</v>
      </c>
    </row>
    <row r="5" spans="1:1" x14ac:dyDescent="0.25">
      <c r="A5" t="s">
        <v>281</v>
      </c>
    </row>
    <row r="6" spans="1:1" x14ac:dyDescent="0.25">
      <c r="A6" t="s">
        <v>282</v>
      </c>
    </row>
    <row r="7" spans="1:1" x14ac:dyDescent="0.25">
      <c r="A7" t="s">
        <v>283</v>
      </c>
    </row>
    <row r="8" spans="1:1" x14ac:dyDescent="0.25">
      <c r="A8" t="s">
        <v>284</v>
      </c>
    </row>
    <row r="9" spans="1:1" x14ac:dyDescent="0.25">
      <c r="A9" t="s">
        <v>285</v>
      </c>
    </row>
    <row r="10" spans="1:1" x14ac:dyDescent="0.25">
      <c r="A10" t="s">
        <v>286</v>
      </c>
    </row>
    <row r="11" spans="1:1" x14ac:dyDescent="0.25">
      <c r="A11" t="s">
        <v>287</v>
      </c>
    </row>
    <row r="14" spans="1:1" x14ac:dyDescent="0.25">
      <c r="A14" t="s">
        <v>288</v>
      </c>
    </row>
    <row r="16" spans="1:1" x14ac:dyDescent="0.25">
      <c r="A16" t="s">
        <v>289</v>
      </c>
    </row>
    <row r="17" spans="1:1" x14ac:dyDescent="0.25">
      <c r="A17" t="s">
        <v>290</v>
      </c>
    </row>
    <row r="18" spans="1:1" x14ac:dyDescent="0.25">
      <c r="A18" t="s">
        <v>291</v>
      </c>
    </row>
    <row r="19" spans="1:1" x14ac:dyDescent="0.25">
      <c r="A19" t="s">
        <v>292</v>
      </c>
    </row>
    <row r="20" spans="1:1" x14ac:dyDescent="0.25">
      <c r="A20" t="s">
        <v>293</v>
      </c>
    </row>
    <row r="21" spans="1:1" x14ac:dyDescent="0.25">
      <c r="A21" t="s">
        <v>294</v>
      </c>
    </row>
    <row r="22" spans="1:1" x14ac:dyDescent="0.25">
      <c r="A22" t="s">
        <v>295</v>
      </c>
    </row>
    <row r="23" spans="1:1" x14ac:dyDescent="0.25">
      <c r="A23" t="s">
        <v>296</v>
      </c>
    </row>
    <row r="24" spans="1:1" x14ac:dyDescent="0.25">
      <c r="A24" t="s">
        <v>297</v>
      </c>
    </row>
    <row r="25" spans="1:1" x14ac:dyDescent="0.25">
      <c r="A25" t="s">
        <v>298</v>
      </c>
    </row>
    <row r="26" spans="1:1" x14ac:dyDescent="0.25">
      <c r="A26" t="s">
        <v>299</v>
      </c>
    </row>
    <row r="27" spans="1:1" x14ac:dyDescent="0.25">
      <c r="A27" t="s">
        <v>300</v>
      </c>
    </row>
    <row r="28" spans="1:1" x14ac:dyDescent="0.25">
      <c r="A28" t="s">
        <v>301</v>
      </c>
    </row>
    <row r="29" spans="1:1" x14ac:dyDescent="0.25">
      <c r="A29" t="s">
        <v>302</v>
      </c>
    </row>
    <row r="30" spans="1:1" x14ac:dyDescent="0.25">
      <c r="A30" t="s">
        <v>303</v>
      </c>
    </row>
    <row r="33" spans="1:1" x14ac:dyDescent="0.25">
      <c r="A33" t="s">
        <v>304</v>
      </c>
    </row>
    <row r="35" spans="1:1" x14ac:dyDescent="0.25">
      <c r="A35" t="s">
        <v>305</v>
      </c>
    </row>
    <row r="36" spans="1:1" x14ac:dyDescent="0.25">
      <c r="A36" t="s">
        <v>306</v>
      </c>
    </row>
    <row r="37" spans="1:1" x14ac:dyDescent="0.25">
      <c r="A37" t="s">
        <v>307</v>
      </c>
    </row>
    <row r="38" spans="1:1" x14ac:dyDescent="0.25">
      <c r="A38" t="s">
        <v>308</v>
      </c>
    </row>
    <row r="39" spans="1:1" x14ac:dyDescent="0.25">
      <c r="A39" t="s">
        <v>309</v>
      </c>
    </row>
    <row r="40" spans="1:1" x14ac:dyDescent="0.25">
      <c r="A40" t="s">
        <v>310</v>
      </c>
    </row>
    <row r="41" spans="1:1" x14ac:dyDescent="0.25">
      <c r="A41" t="s">
        <v>311</v>
      </c>
    </row>
    <row r="42" spans="1:1" x14ac:dyDescent="0.25">
      <c r="A42" t="s">
        <v>312</v>
      </c>
    </row>
    <row r="43" spans="1:1" x14ac:dyDescent="0.25">
      <c r="A43" t="s">
        <v>313</v>
      </c>
    </row>
    <row r="46" spans="1:1" x14ac:dyDescent="0.25">
      <c r="A46" t="s">
        <v>314</v>
      </c>
    </row>
    <row r="48" spans="1:1" x14ac:dyDescent="0.25">
      <c r="A48" t="s">
        <v>315</v>
      </c>
    </row>
    <row r="49" spans="1:1" x14ac:dyDescent="0.25">
      <c r="A49" t="s">
        <v>316</v>
      </c>
    </row>
    <row r="50" spans="1:1" x14ac:dyDescent="0.25">
      <c r="A50" t="s">
        <v>317</v>
      </c>
    </row>
    <row r="52" spans="1:1" x14ac:dyDescent="0.25">
      <c r="A52" t="s">
        <v>318</v>
      </c>
    </row>
    <row r="53" spans="1:1" x14ac:dyDescent="0.25">
      <c r="A53" t="s">
        <v>319</v>
      </c>
    </row>
    <row r="54" spans="1:1" x14ac:dyDescent="0.25">
      <c r="A54" t="s">
        <v>320</v>
      </c>
    </row>
    <row r="55" spans="1:1" x14ac:dyDescent="0.25">
      <c r="A55" t="s">
        <v>321</v>
      </c>
    </row>
    <row r="56" spans="1:1" x14ac:dyDescent="0.25">
      <c r="A56" t="s">
        <v>322</v>
      </c>
    </row>
    <row r="57" spans="1:1" x14ac:dyDescent="0.25">
      <c r="A57" t="s">
        <v>323</v>
      </c>
    </row>
    <row r="58" spans="1:1" x14ac:dyDescent="0.25">
      <c r="A58" t="s">
        <v>324</v>
      </c>
    </row>
    <row r="59" spans="1:1" x14ac:dyDescent="0.25">
      <c r="A59" t="s">
        <v>325</v>
      </c>
    </row>
    <row r="60" spans="1:1" x14ac:dyDescent="0.25">
      <c r="A60" t="s">
        <v>326</v>
      </c>
    </row>
    <row r="61" spans="1:1" x14ac:dyDescent="0.25">
      <c r="A61" t="s">
        <v>327</v>
      </c>
    </row>
    <row r="62" spans="1:1" x14ac:dyDescent="0.25">
      <c r="A6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RESUMEN</vt:lpstr>
      <vt:lpstr>TRANSACCIONES</vt:lpstr>
      <vt:lpstr>CONFIG</vt:lpstr>
      <vt:lpstr>FLUJO_CAJA</vt:lpstr>
      <vt:lpstr>IVA_CONTROL</vt:lpstr>
      <vt:lpstr>TARJETAS</vt:lpstr>
      <vt:lpstr>CONCILIACION</vt:lpstr>
      <vt:lpstr>CxP</vt:lpstr>
      <vt:lpstr>CxC</vt:lpstr>
      <vt:lpstr>PERSONAL_VS_NEGOCIO</vt:lpstr>
      <vt:lpstr>CATEGORIAS</vt:lpstr>
      <vt:lpstr>PROYECTOS</vt:lpstr>
      <vt:lpstr>PROVEEDORES</vt:lpstr>
      <vt:lpstr>CLIENTES</vt:lpstr>
      <vt:lpstr>AUDITORIA</vt:lpstr>
      <vt:lpstr>CIERRE_MENSUAL</vt:lpstr>
      <vt:lpstr>HISTORICO_TC</vt:lpstr>
      <vt:lpstr>ASIENTOS_AJUSTE</vt:lpstr>
      <vt:lpstr>BALANCE_GENERAL</vt:lpstr>
      <vt:lpstr>ESTADO_RESULTADOS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Alvaro Velasco</cp:lastModifiedBy>
  <dcterms:created xsi:type="dcterms:W3CDTF">2025-11-17T13:44:56Z</dcterms:created>
  <dcterms:modified xsi:type="dcterms:W3CDTF">2025-11-17T19:06:45Z</dcterms:modified>
</cp:coreProperties>
</file>