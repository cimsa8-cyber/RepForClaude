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NSACCIONES" sheetId="2" state="visible" r:id="rId2"/>
    <sheet name="CxP" sheetId="3" state="visible" r:id="rId3"/>
    <sheet name="CxC" sheetId="4" state="visible" r:id="rId4"/>
    <sheet name="ENTIDADES_ALIAS" sheetId="5" state="visible" r:id="rId5"/>
    <sheet name="ESTADO_RESULTADOS" sheetId="6" state="visible" r:id="rId6"/>
    <sheet name="BALANCE_GENERAL" sheetId="7" state="visible" r:id="rId7"/>
    <sheet name="FLUJO_CAJA" sheetId="8" state="visible" r:id="rId8"/>
    <sheet name="DASHBOARD_VISUAL" sheetId="9" state="visible" r:id="rId9"/>
    <sheet name="CONCILIACION" sheetId="10" state="visible" r:id="rId10"/>
    <sheet name="CONFIG" sheetId="11" state="visible" r:id="rId11"/>
    <sheet name="IVA_CONTROL" sheetId="12" state="visible" r:id="rId12"/>
    <sheet name="PRESUPUESTO" sheetId="13" state="visible" r:id="rId13"/>
    <sheet name="PERSONAL_VS_NEGOCI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/YY"/>
    <numFmt numFmtId="166" formatCode="₡#,##0.00"/>
    <numFmt numFmtId="167" formatCode="DD/MM/YY HH:MM"/>
    <numFmt numFmtId="168" formatCode="$#,##0.00"/>
    <numFmt numFmtId="169" formatCode="DD/MM/YYYY"/>
    <numFmt numFmtId="170" formatCode="0.0%"/>
  </numFmts>
  <fonts count="3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  <sz val="14"/>
    </font>
    <font>
      <b val="1"/>
      <sz val="12"/>
    </font>
    <font>
      <b val="1"/>
      <color rgb="0000B050"/>
      <sz val="14"/>
    </font>
    <font>
      <b val="1"/>
      <color rgb="007030A0"/>
      <sz val="16"/>
    </font>
    <font>
      <b val="1"/>
    </font>
    <font>
      <b val="1"/>
      <sz val="11"/>
    </font>
    <font>
      <b val="1"/>
      <sz val="14"/>
    </font>
    <font>
      <i val="1"/>
      <sz val="10"/>
    </font>
    <font>
      <b val="1"/>
      <color rgb="00FFFFFF"/>
      <sz val="12"/>
    </font>
    <font>
      <b val="1"/>
      <sz val="10"/>
    </font>
    <font>
      <i val="1"/>
      <sz val="9"/>
    </font>
    <font>
      <b val="1"/>
      <sz val="16"/>
    </font>
    <font>
      <i val="1"/>
      <color rgb="00666666"/>
      <sz val="9"/>
    </font>
    <font>
      <b val="1"/>
      <color rgb="00666666"/>
      <sz val="10"/>
    </font>
    <font>
      <b val="1"/>
      <color rgb="0000B050"/>
      <sz val="24"/>
    </font>
    <font>
      <b val="1"/>
      <color rgb="001F4E78"/>
      <sz val="24"/>
    </font>
    <font>
      <b val="1"/>
      <color rgb="00FF0000"/>
      <sz val="24"/>
    </font>
    <font>
      <b val="1"/>
      <color rgb="00FF0000"/>
      <sz val="12"/>
    </font>
    <font>
      <b val="1"/>
      <color rgb="00FF6600"/>
    </font>
    <font>
      <b val="1"/>
      <color rgb="00FF0000"/>
    </font>
    <font>
      <color rgb="009C0006"/>
    </font>
    <font>
      <b val="1"/>
      <color rgb="00006100"/>
    </font>
    <font>
      <b val="1"/>
      <color rgb="009C0006"/>
    </font>
    <font>
      <sz val="9"/>
    </font>
    <font>
      <name val="Segoe UI"/>
      <b val="1"/>
      <color rgb="00FFFFFF"/>
      <sz val="16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66CC"/>
      <sz val="10"/>
    </font>
    <font>
      <name val="Segoe UI"/>
      <i val="1"/>
      <color rgb="00CC0000"/>
      <sz val="10"/>
    </font>
    <font>
      <name val="Segoe UI"/>
      <i val="1"/>
      <sz val="9"/>
    </font>
    <font>
      <name val="Segoe UI"/>
      <b val="1"/>
      <sz val="10"/>
    </font>
    <font>
      <name val="Segoe UI"/>
      <b val="1"/>
      <color rgb="00FFFFFF"/>
      <sz val="11"/>
    </font>
    <font>
      <name val="Segoe UI"/>
      <i val="1"/>
      <color rgb="00CC0000"/>
      <sz val="9"/>
    </font>
    <font>
      <name val="Segoe UI"/>
      <b val="1"/>
      <sz val="11"/>
    </font>
  </fonts>
  <fills count="22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5B9BD5"/>
        <bgColor rgb="005B9BD5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70AD47"/>
        <bgColor rgb="0070AD47"/>
      </patternFill>
    </fill>
    <fill>
      <patternFill patternType="solid">
        <fgColor rgb="00E74C3C"/>
        <bgColor rgb="00E74C3C"/>
      </patternFill>
    </fill>
    <fill>
      <patternFill patternType="solid">
        <fgColor rgb="00A9D08E"/>
        <bgColor rgb="00A9D08E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166" fontId="7" fillId="0" borderId="0" pivotButton="0" quotePrefix="0" xfId="0"/>
    <xf numFmtId="1" fontId="7" fillId="0" borderId="0" pivotButton="0" quotePrefix="0" xfId="0"/>
    <xf numFmtId="167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3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6" borderId="0" applyAlignment="1" pivotButton="0" quotePrefix="0" xfId="0">
      <alignment horizontal="center" vertical="center"/>
    </xf>
    <xf numFmtId="0" fontId="1" fillId="7" borderId="0" pivotButton="0" quotePrefix="0" xfId="0"/>
    <xf numFmtId="168" fontId="0" fillId="0" borderId="0" pivotButton="0" quotePrefix="0" xfId="0"/>
    <xf numFmtId="0" fontId="11" fillId="8" borderId="0" pivotButton="0" quotePrefix="0" xfId="0"/>
    <xf numFmtId="166" fontId="11" fillId="8" borderId="0" pivotButton="0" quotePrefix="0" xfId="0"/>
    <xf numFmtId="168" fontId="11" fillId="8" borderId="0" pivotButton="0" quotePrefix="0" xfId="0"/>
    <xf numFmtId="0" fontId="3" fillId="9" borderId="0" pivotButton="0" quotePrefix="0" xfId="0"/>
    <xf numFmtId="166" fontId="3" fillId="9" borderId="0" pivotButton="0" quotePrefix="0" xfId="0"/>
    <xf numFmtId="168" fontId="3" fillId="9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10" borderId="2" pivotButton="0" quotePrefix="0" xfId="0"/>
    <xf numFmtId="0" fontId="0" fillId="10" borderId="2" pivotButton="0" quotePrefix="0" xfId="0"/>
    <xf numFmtId="166" fontId="16" fillId="10" borderId="2" applyAlignment="1" pivotButton="0" quotePrefix="0" xfId="0">
      <alignment horizontal="center" vertical="center"/>
    </xf>
    <xf numFmtId="166" fontId="17" fillId="10" borderId="2" applyAlignment="1" pivotButton="0" quotePrefix="0" xfId="0">
      <alignment horizontal="center" vertical="center"/>
    </xf>
    <xf numFmtId="166" fontId="18" fillId="10" borderId="2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7" fillId="0" borderId="0" pivotButton="0" quotePrefix="0" xfId="0"/>
    <xf numFmtId="166" fontId="0" fillId="11" borderId="0" pivotButton="0" quotePrefix="0" xfId="0"/>
    <xf numFmtId="166" fontId="22" fillId="12" borderId="0" pivotButton="0" quotePrefix="0" xfId="0"/>
    <xf numFmtId="166" fontId="6" fillId="0" borderId="0" pivotButton="0" quotePrefix="0" xfId="0"/>
    <xf numFmtId="166" fontId="3" fillId="12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6" borderId="0" applyAlignment="1" pivotButton="0" quotePrefix="0" xfId="0">
      <alignment horizontal="center" vertical="center"/>
    </xf>
    <xf numFmtId="0" fontId="27" fillId="7" borderId="0" applyAlignment="1" pivotButton="0" quotePrefix="0" xfId="0">
      <alignment horizontal="center" vertical="center"/>
    </xf>
    <xf numFmtId="0" fontId="28" fillId="13" borderId="3" pivotButton="0" quotePrefix="0" xfId="0"/>
    <xf numFmtId="0" fontId="29" fillId="0" borderId="3" pivotButton="0" quotePrefix="0" xfId="0"/>
    <xf numFmtId="4" fontId="30" fillId="11" borderId="3" applyAlignment="1" pivotButton="0" quotePrefix="0" xfId="0">
      <alignment horizontal="right"/>
    </xf>
    <xf numFmtId="169" fontId="30" fillId="11" borderId="3" pivotButton="0" quotePrefix="0" xfId="0"/>
    <xf numFmtId="0" fontId="30" fillId="11" borderId="3" applyAlignment="1" pivotButton="0" quotePrefix="0" xfId="0">
      <alignment horizontal="center"/>
    </xf>
    <xf numFmtId="0" fontId="29" fillId="0" borderId="3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30" fillId="11" borderId="3" pivotButton="0" quotePrefix="0" xfId="0"/>
    <xf numFmtId="0" fontId="29" fillId="14" borderId="3" pivotButton="0" quotePrefix="0" xfId="0"/>
    <xf numFmtId="0" fontId="31" fillId="15" borderId="3" pivotButton="0" quotePrefix="0" xfId="0"/>
    <xf numFmtId="0" fontId="29" fillId="14" borderId="0" pivotButton="0" quotePrefix="0" xfId="0"/>
    <xf numFmtId="0" fontId="32" fillId="0" borderId="0" applyAlignment="1" pivotButton="0" quotePrefix="0" xfId="0">
      <alignment horizontal="center"/>
    </xf>
    <xf numFmtId="0" fontId="33" fillId="16" borderId="3" pivotButton="0" quotePrefix="0" xfId="0"/>
    <xf numFmtId="166" fontId="29" fillId="0" borderId="3" pivotButton="0" quotePrefix="0" xfId="0"/>
    <xf numFmtId="166" fontId="33" fillId="16" borderId="3" pivotButton="0" quotePrefix="0" xfId="0"/>
    <xf numFmtId="0" fontId="32" fillId="0" borderId="3" pivotButton="0" quotePrefix="0" xfId="0"/>
    <xf numFmtId="0" fontId="33" fillId="17" borderId="3" pivotButton="0" quotePrefix="0" xfId="0"/>
    <xf numFmtId="166" fontId="33" fillId="17" borderId="3" pivotButton="0" quotePrefix="0" xfId="0"/>
    <xf numFmtId="0" fontId="34" fillId="7" borderId="3" pivotButton="0" quotePrefix="0" xfId="0"/>
    <xf numFmtId="0" fontId="0" fillId="0" borderId="3" pivotButton="0" quotePrefix="0" xfId="0"/>
    <xf numFmtId="166" fontId="34" fillId="7" borderId="3" pivotButton="0" quotePrefix="0" xfId="0"/>
    <xf numFmtId="0" fontId="29" fillId="18" borderId="3" pivotButton="0" quotePrefix="0" xfId="0"/>
    <xf numFmtId="166" fontId="29" fillId="18" borderId="3" pivotButton="0" quotePrefix="0" xfId="0"/>
    <xf numFmtId="166" fontId="33" fillId="18" borderId="3" pivotButton="0" quotePrefix="0" xfId="0"/>
    <xf numFmtId="0" fontId="35" fillId="18" borderId="3" pivotButton="0" quotePrefix="0" xfId="0"/>
    <xf numFmtId="0" fontId="27" fillId="19" borderId="0" applyAlignment="1" pivotButton="0" quotePrefix="0" xfId="0">
      <alignment horizontal="center" vertical="center"/>
    </xf>
    <xf numFmtId="0" fontId="28" fillId="13" borderId="3" applyAlignment="1" pivotButton="0" quotePrefix="0" xfId="0">
      <alignment horizontal="center"/>
    </xf>
    <xf numFmtId="166" fontId="30" fillId="11" borderId="3" pivotButton="0" quotePrefix="0" xfId="0"/>
    <xf numFmtId="170" fontId="29" fillId="0" borderId="3" pivotButton="0" quotePrefix="0" xfId="0"/>
    <xf numFmtId="0" fontId="29" fillId="0" borderId="3" applyAlignment="1" pivotButton="0" quotePrefix="0" xfId="0">
      <alignment horizontal="center"/>
    </xf>
    <xf numFmtId="170" fontId="34" fillId="7" borderId="3" pivotButton="0" quotePrefix="0" xfId="0"/>
    <xf numFmtId="0" fontId="0" fillId="7" borderId="3" pivotButton="0" quotePrefix="0" xfId="0"/>
    <xf numFmtId="0" fontId="27" fillId="20" borderId="0" applyAlignment="1" pivotButton="0" quotePrefix="0" xfId="0">
      <alignment horizontal="center" vertical="center"/>
    </xf>
    <xf numFmtId="0" fontId="27" fillId="6" borderId="0" applyAlignment="1" pivotButton="0" quotePrefix="0" xfId="0">
      <alignment horizontal="center" vertical="center"/>
    </xf>
    <xf numFmtId="0" fontId="36" fillId="21" borderId="3" pivotButton="0" quotePrefix="0" xfId="0"/>
    <xf numFmtId="166" fontId="29" fillId="21" borderId="3" pivotButton="0" quotePrefix="0" xfId="0"/>
    <xf numFmtId="166" fontId="36" fillId="21" borderId="3" pivotButton="0" quotePrefix="0" xfId="0"/>
    <xf numFmtId="170" fontId="29" fillId="21" borderId="3" pivotButton="0" quotePrefix="0" xfId="0"/>
    <xf numFmtId="0" fontId="36" fillId="17" borderId="3" pivotButton="0" quotePrefix="0" xfId="0"/>
    <xf numFmtId="166" fontId="29" fillId="17" borderId="3" pivotButton="0" quotePrefix="0" xfId="0"/>
    <xf numFmtId="166" fontId="36" fillId="17" borderId="3" pivotButton="0" quotePrefix="0" xfId="0"/>
    <xf numFmtId="170" fontId="29" fillId="17" borderId="3" pivotButton="0" quotePrefix="0" xfId="0"/>
    <xf numFmtId="0" fontId="27" fillId="7" borderId="3" pivotButton="0" quotePrefix="0" xfId="0"/>
    <xf numFmtId="166" fontId="27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del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'DASHBOARD_VISUAL'!B11</f>
            </strRef>
          </tx>
          <spPr>
            <a:ln>
              <a:prstDash val="solid"/>
            </a:ln>
          </spPr>
          <cat>
            <numRef>
              <f>'DASHBOARD_VISUAL'!$A$12:$A$13</f>
            </numRef>
          </cat>
          <val>
            <numRef>
              <f>'DASHBOARD_VISUAL'!$B$12:$B$13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Concepto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Monto (₡)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Sistema v4.0</author>
  </authors>
  <commentList>
    <comment ref="B5" authorId="0" shapeId="0">
      <text>
        <t>INSTRUCCIONES:
Ingrese el tipo de cambio actual del dólar a colones.
EJEMPLO:
Si 1 USD = ₡540.50, ingrese: 540.50
Este valor se usa en todas las fórmulas del sistema para convertir USD a CRC.
Actualice este valor cuando el tipo de cambio cambie.</t>
      </text>
    </comment>
    <comment ref="C5" authorId="0" shapeId="0">
      <text>
        <t>INSTRUCCIONES:
Ingrese la fecha en que actualizó el tipo de cambio.
EJEMPLO:
14/11/2025</t>
      </text>
    </comment>
    <comment ref="B9" authorId="0" shapeId="0">
      <text>
        <t>INSTRUCCIONES:
Ingrese el día del mes en que vence el pago de esta tarjeta.
EJEMPLO:
Si el pago vence el 17 de cada mes, ingrese: 17
Este valor se usa para calcular las fechas de vencimiento en CxP.</t>
      </text>
    </comment>
  </commentList>
</comments>
</file>

<file path=xl/comments/comment2.xml><?xml version="1.0" encoding="utf-8"?>
<comments xmlns="http://schemas.openxmlformats.org/spreadsheetml/2006/main">
  <authors>
    <author>Sistema v4.0</author>
  </authors>
  <commentList>
    <comment ref="B5" authorId="0" shapeId="0">
      <text>
        <t>INSTRUCCIONES:
Ingrese el presupuesto mensual para esta categoría.
EJEMPLO:
Si presupuesta ₡500,000 en ventas, ingrese: 500000
El sistema comparará automáticamente con los ingresos reales de TRANSACCIONES.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📊 DASHBOARD FINANCIERO v4.0</t>
        </is>
      </c>
    </row>
    <row r="3">
      <c r="A3" s="2" t="inlineStr">
        <is>
          <t>MÉTRICAS PRINCIPALES</t>
        </is>
      </c>
    </row>
    <row r="5">
      <c r="A5" s="3" t="inlineStr">
        <is>
          <t>Total Ingresos:</t>
        </is>
      </c>
      <c r="B5" s="4">
        <f>SUMIF(TRANSACCIONES!B:B,"INGRESO",TRANSACCIONES!I:I)</f>
        <v/>
      </c>
    </row>
    <row r="6">
      <c r="A6" s="3" t="inlineStr">
        <is>
          <t>Total Egresos:</t>
        </is>
      </c>
      <c r="B6" s="4">
        <f>SUMIF(TRANSACCIONES!B:B,"EGRESO",TRANSACCIONES!I:I)</f>
        <v/>
      </c>
    </row>
    <row r="7">
      <c r="A7" s="3" t="inlineStr">
        <is>
          <t>Balance:</t>
        </is>
      </c>
      <c r="B7" s="5">
        <f>B5-B6</f>
        <v/>
      </c>
    </row>
    <row r="9">
      <c r="A9" s="3" t="inlineStr">
        <is>
          <t>Total por Pagar:</t>
        </is>
      </c>
      <c r="B9" s="5">
        <f>CxP!B3</f>
        <v/>
      </c>
    </row>
    <row r="10">
      <c r="A10" s="3" t="inlineStr">
        <is>
          <t>Total por Cobrar:</t>
        </is>
      </c>
      <c r="B10" s="5">
        <f>CxC!B3</f>
        <v/>
      </c>
    </row>
    <row r="12">
      <c r="A12" s="3" t="inlineStr">
        <is>
          <t>Transacciones Totales:</t>
        </is>
      </c>
      <c r="B12" s="5">
        <f>COUNTA(TRANSACCIONES!A:A)-1</f>
        <v/>
      </c>
    </row>
    <row r="14">
      <c r="A14" s="2" t="inlineStr">
        <is>
          <t>ESTADO DEL SISTEMA</t>
        </is>
      </c>
    </row>
    <row r="16">
      <c r="A16" t="inlineStr">
        <is>
          <t>Versión:</t>
        </is>
      </c>
      <c r="B16" t="inlineStr">
        <is>
          <t>4.0</t>
        </is>
      </c>
    </row>
    <row r="17">
      <c r="A17" t="inlineStr">
        <is>
          <t>Última actualización:</t>
        </is>
      </c>
      <c r="B17" s="6">
        <f>NOW()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35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25" customWidth="1" min="11" max="11"/>
    <col width="15" customWidth="1" min="12" max="12"/>
    <col width="12" customWidth="1" min="13" max="13"/>
    <col width="19" customWidth="1" min="14" max="14"/>
    <col width="16" customWidth="1" min="15" max="15"/>
    <col width="18" customWidth="1" min="16" max="16"/>
  </cols>
  <sheetData>
    <row r="1">
      <c r="A1" s="7" t="inlineStr">
        <is>
          <t>Fecha</t>
        </is>
      </c>
      <c r="B1" s="7" t="inlineStr">
        <is>
          <t>Tipo</t>
        </is>
      </c>
      <c r="C1" s="7" t="inlineStr">
        <is>
          <t>Categoría</t>
        </is>
      </c>
      <c r="D1" s="7" t="inlineStr">
        <is>
          <t>Subcategoría</t>
        </is>
      </c>
      <c r="E1" s="7" t="inlineStr">
        <is>
          <t>Descripción</t>
        </is>
      </c>
      <c r="F1" s="7" t="inlineStr">
        <is>
          <t>Entidad</t>
        </is>
      </c>
      <c r="G1" s="7" t="inlineStr">
        <is>
          <t>Cuenta</t>
        </is>
      </c>
      <c r="H1" s="7" t="inlineStr">
        <is>
          <t>Método Pago</t>
        </is>
      </c>
      <c r="I1" s="7" t="inlineStr">
        <is>
          <t>Monto</t>
        </is>
      </c>
      <c r="J1" s="7" t="inlineStr">
        <is>
          <t>Referencia</t>
        </is>
      </c>
      <c r="K1" s="7" t="inlineStr">
        <is>
          <t>Notas</t>
        </is>
      </c>
      <c r="L1" s="7" t="inlineStr">
        <is>
          <t>Estado</t>
        </is>
      </c>
      <c r="M1" s="7" t="inlineStr">
        <is>
          <t>IVA</t>
        </is>
      </c>
      <c r="N1" s="7" t="inlineStr">
        <is>
          <t>Fecha Vencimiento</t>
        </is>
      </c>
      <c r="O1" s="7" t="inlineStr">
        <is>
          <t>Número Factura</t>
        </is>
      </c>
      <c r="P1" s="7" t="inlineStr">
        <is>
          <t>Personal/Negocio</t>
        </is>
      </c>
    </row>
    <row r="2">
      <c r="A2" s="8" t="n">
        <v>45962</v>
      </c>
      <c r="B2" t="inlineStr">
        <is>
          <t>EGRESO</t>
        </is>
      </c>
      <c r="C2" t="inlineStr">
        <is>
          <t>Operaciones</t>
        </is>
      </c>
      <c r="D2" t="inlineStr">
        <is>
          <t>Nómina</t>
        </is>
      </c>
      <c r="E2" t="inlineStr">
        <is>
          <t>Pago de salario - Noviembre 2025</t>
        </is>
      </c>
      <c r="F2" t="inlineStr">
        <is>
          <t>Juan Pérez</t>
        </is>
      </c>
      <c r="G2" t="inlineStr">
        <is>
          <t>BAC Corriente</t>
        </is>
      </c>
      <c r="H2" t="inlineStr">
        <is>
          <t>Transferencia</t>
        </is>
      </c>
      <c r="I2" s="9" t="n">
        <v>500000</v>
      </c>
      <c r="J2" t="inlineStr">
        <is>
          <t>TRF-2025-001</t>
        </is>
      </c>
      <c r="K2" t="inlineStr">
        <is>
          <t>Pago quincenal</t>
        </is>
      </c>
      <c r="L2" t="inlineStr">
        <is>
          <t>PAGADO</t>
        </is>
      </c>
      <c r="M2" s="9" t="n">
        <v>0</v>
      </c>
      <c r="N2" s="8" t="inlineStr"/>
      <c r="O2" t="inlineStr"/>
      <c r="P2" t="inlineStr">
        <is>
          <t>Negocio</t>
        </is>
      </c>
    </row>
    <row r="3">
      <c r="A3" s="8" t="n">
        <v>45966</v>
      </c>
      <c r="B3" t="inlineStr">
        <is>
          <t>EGRESO</t>
        </is>
      </c>
      <c r="C3" t="inlineStr">
        <is>
          <t>Operaciones</t>
        </is>
      </c>
      <c r="D3" t="inlineStr">
        <is>
          <t>Proveedores</t>
        </is>
      </c>
      <c r="E3" t="inlineStr">
        <is>
          <t>Compra de materiales</t>
        </is>
      </c>
      <c r="F3" t="inlineStr">
        <is>
          <t>Proveedor XYZ</t>
        </is>
      </c>
      <c r="G3" t="inlineStr">
        <is>
          <t>BAC Corriente</t>
        </is>
      </c>
      <c r="H3" t="inlineStr">
        <is>
          <t>Transferencia</t>
        </is>
      </c>
      <c r="I3" s="9" t="n">
        <v>150000</v>
      </c>
      <c r="J3" t="inlineStr">
        <is>
          <t>FAC-001</t>
        </is>
      </c>
      <c r="K3" t="inlineStr">
        <is>
          <t>Materiales proyecto A</t>
        </is>
      </c>
      <c r="L3" t="inlineStr">
        <is>
          <t>PENDIENTE</t>
        </is>
      </c>
      <c r="M3" s="9" t="n">
        <v>19500</v>
      </c>
      <c r="N3" s="8" t="n">
        <v>45981</v>
      </c>
      <c r="O3" t="inlineStr">
        <is>
          <t>FAC-2025-001</t>
        </is>
      </c>
      <c r="P3" t="inlineStr">
        <is>
          <t>Negocio</t>
        </is>
      </c>
    </row>
    <row r="4">
      <c r="A4" s="8" t="n">
        <v>45971</v>
      </c>
      <c r="B4" t="inlineStr">
        <is>
          <t>INGRESO</t>
        </is>
      </c>
      <c r="C4" t="inlineStr">
        <is>
          <t>Ventas</t>
        </is>
      </c>
      <c r="D4" t="inlineStr">
        <is>
          <t>Servicios</t>
        </is>
      </c>
      <c r="E4" t="inlineStr">
        <is>
          <t>Pago cliente por servicio</t>
        </is>
      </c>
      <c r="F4" t="inlineStr">
        <is>
          <t>Cliente ABC</t>
        </is>
      </c>
      <c r="G4" t="inlineStr">
        <is>
          <t>BAC Corriente</t>
        </is>
      </c>
      <c r="H4" t="inlineStr">
        <is>
          <t>SINPE</t>
        </is>
      </c>
      <c r="I4" s="9" t="n">
        <v>300000</v>
      </c>
      <c r="J4" t="inlineStr">
        <is>
          <t>SINPE-001</t>
        </is>
      </c>
      <c r="K4" t="inlineStr">
        <is>
          <t>Servicio de consultoría</t>
        </is>
      </c>
      <c r="L4" t="inlineStr">
        <is>
          <t>POR COBRAR</t>
        </is>
      </c>
      <c r="M4" s="9" t="n">
        <v>39000</v>
      </c>
      <c r="N4" s="8" t="n">
        <v>45986</v>
      </c>
      <c r="O4" t="inlineStr">
        <is>
          <t>INV-2025-001</t>
        </is>
      </c>
      <c r="P4" t="inlineStr">
        <is>
          <t>Negocio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20" customWidth="1" min="3" max="3"/>
    <col width="15" customWidth="1" min="4" max="4"/>
    <col width="19" customWidth="1" min="5" max="5"/>
    <col width="17" customWidth="1" min="6" max="6"/>
    <col width="15" customWidth="1" min="7" max="7"/>
    <col width="25" customWidth="1" min="8" max="8"/>
  </cols>
  <sheetData>
    <row r="1">
      <c r="A1" s="10" t="inlineStr">
        <is>
          <t>💰 CUENTAS POR PAGAR</t>
        </is>
      </c>
    </row>
    <row r="2"/>
    <row r="3">
      <c r="A3" t="inlineStr">
        <is>
          <t>Total Pendiente:</t>
        </is>
      </c>
      <c r="B3" s="11">
        <f>SUM(D6:D55)</f>
        <v/>
      </c>
    </row>
    <row r="4"/>
    <row r="5">
      <c r="A5" s="12" t="inlineStr">
        <is>
          <t>Fecha</t>
        </is>
      </c>
      <c r="B5" s="12" t="inlineStr">
        <is>
          <t>Descripción</t>
        </is>
      </c>
      <c r="C5" s="12" t="inlineStr">
        <is>
          <t>Entidad</t>
        </is>
      </c>
      <c r="D5" s="12" t="inlineStr">
        <is>
          <t>Monto</t>
        </is>
      </c>
      <c r="E5" s="12" t="inlineStr">
        <is>
          <t>Fecha Vencimiento</t>
        </is>
      </c>
      <c r="F5" s="12" t="inlineStr">
        <is>
          <t>Días Pendientes</t>
        </is>
      </c>
      <c r="G5" s="12" t="inlineStr">
        <is>
          <t>Estado</t>
        </is>
      </c>
      <c r="H5" s="12" t="inlineStr">
        <is>
          <t>Notas</t>
        </is>
      </c>
    </row>
    <row r="6">
      <c r="A6">
        <f>IFERROR(INDEX(TRANSACCIONES!$A$2:$A$1000,SMALL(IF(UPPER(TRANSACCIONES!$L$2:$L$1000)="PENDIENTE",ROW(TRANSACCIONES!$L$2:$L$1000)-ROW(TRANSACCIONES!$L$2)+1),1)),"")</f>
        <v/>
      </c>
      <c r="B6">
        <f>IFERROR(INDEX(TRANSACCIONES!$E$2:$E$1000,SMALL(IF(UPPER(TRANSACCIONES!$L$2:$L$1000)="PENDIENTE",ROW(TRANSACCIONES!$L$2:$L$1000)-ROW(TRANSACCIONES!$L$2)+1),1)),"")</f>
        <v/>
      </c>
      <c r="C6">
        <f>IFERROR(INDEX(TRANSACCIONES!$F$2:$F$1000,SMALL(IF(UPPER(TRANSACCIONES!$L$2:$L$1000)="PENDIENTE",ROW(TRANSACCIONES!$L$2:$L$1000)-ROW(TRANSACCIONES!$L$2)+1),1)),"")</f>
        <v/>
      </c>
      <c r="D6" s="9">
        <f>IFERROR(INDEX(TRANSACCIONES!$I$2:$I$1000,SMALL(IF(UPPER(TRANSACCIONES!$L$2:$L$1000)="PENDIENTE",ROW(TRANSACCIONES!$L$2:$L$1000)-ROW(TRANSACCIONES!$L$2)+1),1)),"")</f>
        <v/>
      </c>
      <c r="E6">
        <f>IFERROR(INDEX(TRANSACCIONES!$N$2:$N$1000,SMALL(IF(UPPER(TRANSACCIONES!$L$2:$L$1000)="PENDIENTE",ROW(TRANSACCIONES!$L$2:$L$1000)-ROW(TRANSACCIONES!$L$2)+1),1)),"")</f>
        <v/>
      </c>
      <c r="F6">
        <f>IF(A6="","",TODAY()-A6)</f>
        <v/>
      </c>
      <c r="G6">
        <f>IF(A6="","",IF(E6&lt;TODAY(),"VENCIDO",IF(E6&lt;=TODAY()+7,"POR VENCER","AL DÍA")))</f>
        <v/>
      </c>
      <c r="H6">
        <f>IFERROR(INDEX(TRANSACCIONES!$K$2:$K$1000,SMALL(IF(UPPER(TRANSACCIONES!$L$2:$L$1000)="PENDIENTE",ROW(TRANSACCIONES!$L$2:$L$1000)-ROW(TRANSACCIONES!$L$2)+1),1)),"")</f>
        <v/>
      </c>
    </row>
    <row r="7">
      <c r="A7">
        <f>IFERROR(INDEX(TRANSACCIONES!$A$2:$A$1000,SMALL(IF(UPPER(TRANSACCIONES!$L$2:$L$1000)="PENDIENTE",ROW(TRANSACCIONES!$L$2:$L$1000)-ROW(TRANSACCIONES!$L$2)+1),2)),"")</f>
        <v/>
      </c>
      <c r="B7">
        <f>IFERROR(INDEX(TRANSACCIONES!$E$2:$E$1000,SMALL(IF(UPPER(TRANSACCIONES!$L$2:$L$1000)="PENDIENTE",ROW(TRANSACCIONES!$L$2:$L$1000)-ROW(TRANSACCIONES!$L$2)+1),2)),"")</f>
        <v/>
      </c>
      <c r="C7">
        <f>IFERROR(INDEX(TRANSACCIONES!$F$2:$F$1000,SMALL(IF(UPPER(TRANSACCIONES!$L$2:$L$1000)="PENDIENTE",ROW(TRANSACCIONES!$L$2:$L$1000)-ROW(TRANSACCIONES!$L$2)+1),2)),"")</f>
        <v/>
      </c>
      <c r="D7" s="9">
        <f>IFERROR(INDEX(TRANSACCIONES!$I$2:$I$1000,SMALL(IF(UPPER(TRANSACCIONES!$L$2:$L$1000)="PENDIENTE",ROW(TRANSACCIONES!$L$2:$L$1000)-ROW(TRANSACCIONES!$L$2)+1),2)),"")</f>
        <v/>
      </c>
      <c r="E7">
        <f>IFERROR(INDEX(TRANSACCIONES!$N$2:$N$1000,SMALL(IF(UPPER(TRANSACCIONES!$L$2:$L$1000)="PENDIENTE",ROW(TRANSACCIONES!$L$2:$L$1000)-ROW(TRANSACCIONES!$L$2)+1),2)),"")</f>
        <v/>
      </c>
      <c r="F7">
        <f>IF(A7="","",TODAY()-A7)</f>
        <v/>
      </c>
      <c r="G7">
        <f>IF(A7="","",IF(E7&lt;TODAY(),"VENCIDO",IF(E7&lt;=TODAY()+7,"POR VENCER","AL DÍA")))</f>
        <v/>
      </c>
      <c r="H7">
        <f>IFERROR(INDEX(TRANSACCIONES!$K$2:$K$1000,SMALL(IF(UPPER(TRANSACCIONES!$L$2:$L$1000)="PENDIENTE",ROW(TRANSACCIONES!$L$2:$L$1000)-ROW(TRANSACCIONES!$L$2)+1),2)),"")</f>
        <v/>
      </c>
    </row>
    <row r="8">
      <c r="A8">
        <f>IFERROR(INDEX(TRANSACCIONES!$A$2:$A$1000,SMALL(IF(UPPER(TRANSACCIONES!$L$2:$L$1000)="PENDIENTE",ROW(TRANSACCIONES!$L$2:$L$1000)-ROW(TRANSACCIONES!$L$2)+1),3)),"")</f>
        <v/>
      </c>
      <c r="B8">
        <f>IFERROR(INDEX(TRANSACCIONES!$E$2:$E$1000,SMALL(IF(UPPER(TRANSACCIONES!$L$2:$L$1000)="PENDIENTE",ROW(TRANSACCIONES!$L$2:$L$1000)-ROW(TRANSACCIONES!$L$2)+1),3)),"")</f>
        <v/>
      </c>
      <c r="C8">
        <f>IFERROR(INDEX(TRANSACCIONES!$F$2:$F$1000,SMALL(IF(UPPER(TRANSACCIONES!$L$2:$L$1000)="PENDIENTE",ROW(TRANSACCIONES!$L$2:$L$1000)-ROW(TRANSACCIONES!$L$2)+1),3)),"")</f>
        <v/>
      </c>
      <c r="D8" s="9">
        <f>IFERROR(INDEX(TRANSACCIONES!$I$2:$I$1000,SMALL(IF(UPPER(TRANSACCIONES!$L$2:$L$1000)="PENDIENTE",ROW(TRANSACCIONES!$L$2:$L$1000)-ROW(TRANSACCIONES!$L$2)+1),3)),"")</f>
        <v/>
      </c>
      <c r="E8">
        <f>IFERROR(INDEX(TRANSACCIONES!$N$2:$N$1000,SMALL(IF(UPPER(TRANSACCIONES!$L$2:$L$1000)="PENDIENTE",ROW(TRANSACCIONES!$L$2:$L$1000)-ROW(TRANSACCIONES!$L$2)+1),3)),"")</f>
        <v/>
      </c>
      <c r="F8">
        <f>IF(A8="","",TODAY()-A8)</f>
        <v/>
      </c>
      <c r="G8">
        <f>IF(A8="","",IF(E8&lt;TODAY(),"VENCIDO",IF(E8&lt;=TODAY()+7,"POR VENCER","AL DÍA")))</f>
        <v/>
      </c>
      <c r="H8">
        <f>IFERROR(INDEX(TRANSACCIONES!$K$2:$K$1000,SMALL(IF(UPPER(TRANSACCIONES!$L$2:$L$1000)="PENDIENTE",ROW(TRANSACCIONES!$L$2:$L$1000)-ROW(TRANSACCIONES!$L$2)+1),3)),"")</f>
        <v/>
      </c>
    </row>
    <row r="9">
      <c r="A9">
        <f>IFERROR(INDEX(TRANSACCIONES!$A$2:$A$1000,SMALL(IF(UPPER(TRANSACCIONES!$L$2:$L$1000)="PENDIENTE",ROW(TRANSACCIONES!$L$2:$L$1000)-ROW(TRANSACCIONES!$L$2)+1),4)),"")</f>
        <v/>
      </c>
      <c r="B9">
        <f>IFERROR(INDEX(TRANSACCIONES!$E$2:$E$1000,SMALL(IF(UPPER(TRANSACCIONES!$L$2:$L$1000)="PENDIENTE",ROW(TRANSACCIONES!$L$2:$L$1000)-ROW(TRANSACCIONES!$L$2)+1),4)),"")</f>
        <v/>
      </c>
      <c r="C9">
        <f>IFERROR(INDEX(TRANSACCIONES!$F$2:$F$1000,SMALL(IF(UPPER(TRANSACCIONES!$L$2:$L$1000)="PENDIENTE",ROW(TRANSACCIONES!$L$2:$L$1000)-ROW(TRANSACCIONES!$L$2)+1),4)),"")</f>
        <v/>
      </c>
      <c r="D9" s="9">
        <f>IFERROR(INDEX(TRANSACCIONES!$I$2:$I$1000,SMALL(IF(UPPER(TRANSACCIONES!$L$2:$L$1000)="PENDIENTE",ROW(TRANSACCIONES!$L$2:$L$1000)-ROW(TRANSACCIONES!$L$2)+1),4)),"")</f>
        <v/>
      </c>
      <c r="E9">
        <f>IFERROR(INDEX(TRANSACCIONES!$N$2:$N$1000,SMALL(IF(UPPER(TRANSACCIONES!$L$2:$L$1000)="PENDIENTE",ROW(TRANSACCIONES!$L$2:$L$1000)-ROW(TRANSACCIONES!$L$2)+1),4)),"")</f>
        <v/>
      </c>
      <c r="F9">
        <f>IF(A9="","",TODAY()-A9)</f>
        <v/>
      </c>
      <c r="G9">
        <f>IF(A9="","",IF(E9&lt;TODAY(),"VENCIDO",IF(E9&lt;=TODAY()+7,"POR VENCER","AL DÍA")))</f>
        <v/>
      </c>
      <c r="H9">
        <f>IFERROR(INDEX(TRANSACCIONES!$K$2:$K$1000,SMALL(IF(UPPER(TRANSACCIONES!$L$2:$L$1000)="PENDIENTE",ROW(TRANSACCIONES!$L$2:$L$1000)-ROW(TRANSACCIONES!$L$2)+1),4)),"")</f>
        <v/>
      </c>
    </row>
    <row r="10">
      <c r="A10">
        <f>IFERROR(INDEX(TRANSACCIONES!$A$2:$A$1000,SMALL(IF(UPPER(TRANSACCIONES!$L$2:$L$1000)="PENDIENTE",ROW(TRANSACCIONES!$L$2:$L$1000)-ROW(TRANSACCIONES!$L$2)+1),5)),"")</f>
        <v/>
      </c>
      <c r="B10">
        <f>IFERROR(INDEX(TRANSACCIONES!$E$2:$E$1000,SMALL(IF(UPPER(TRANSACCIONES!$L$2:$L$1000)="PENDIENTE",ROW(TRANSACCIONES!$L$2:$L$1000)-ROW(TRANSACCIONES!$L$2)+1),5)),"")</f>
        <v/>
      </c>
      <c r="C10">
        <f>IFERROR(INDEX(TRANSACCIONES!$F$2:$F$1000,SMALL(IF(UPPER(TRANSACCIONES!$L$2:$L$1000)="PENDIENTE",ROW(TRANSACCIONES!$L$2:$L$1000)-ROW(TRANSACCIONES!$L$2)+1),5)),"")</f>
        <v/>
      </c>
      <c r="D10" s="9">
        <f>IFERROR(INDEX(TRANSACCIONES!$I$2:$I$1000,SMALL(IF(UPPER(TRANSACCIONES!$L$2:$L$1000)="PENDIENTE",ROW(TRANSACCIONES!$L$2:$L$1000)-ROW(TRANSACCIONES!$L$2)+1),5)),"")</f>
        <v/>
      </c>
      <c r="E10">
        <f>IFERROR(INDEX(TRANSACCIONES!$N$2:$N$1000,SMALL(IF(UPPER(TRANSACCIONES!$L$2:$L$1000)="PENDIENTE",ROW(TRANSACCIONES!$L$2:$L$1000)-ROW(TRANSACCIONES!$L$2)+1),5)),"")</f>
        <v/>
      </c>
      <c r="F10">
        <f>IF(A10="","",TODAY()-A10)</f>
        <v/>
      </c>
      <c r="G10">
        <f>IF(A10="","",IF(E10&lt;TODAY(),"VENCIDO",IF(E10&lt;=TODAY()+7,"POR VENCER","AL DÍA")))</f>
        <v/>
      </c>
      <c r="H10">
        <f>IFERROR(INDEX(TRANSACCIONES!$K$2:$K$1000,SMALL(IF(UPPER(TRANSACCIONES!$L$2:$L$1000)="PENDIENTE",ROW(TRANSACCIONES!$L$2:$L$1000)-ROW(TRANSACCIONES!$L$2)+1),5)),"")</f>
        <v/>
      </c>
    </row>
    <row r="11">
      <c r="A11">
        <f>IFERROR(INDEX(TRANSACCIONES!$A$2:$A$1000,SMALL(IF(UPPER(TRANSACCIONES!$L$2:$L$1000)="PENDIENTE",ROW(TRANSACCIONES!$L$2:$L$1000)-ROW(TRANSACCIONES!$L$2)+1),6)),"")</f>
        <v/>
      </c>
      <c r="B11">
        <f>IFERROR(INDEX(TRANSACCIONES!$E$2:$E$1000,SMALL(IF(UPPER(TRANSACCIONES!$L$2:$L$1000)="PENDIENTE",ROW(TRANSACCIONES!$L$2:$L$1000)-ROW(TRANSACCIONES!$L$2)+1),6)),"")</f>
        <v/>
      </c>
      <c r="C11">
        <f>IFERROR(INDEX(TRANSACCIONES!$F$2:$F$1000,SMALL(IF(UPPER(TRANSACCIONES!$L$2:$L$1000)="PENDIENTE",ROW(TRANSACCIONES!$L$2:$L$1000)-ROW(TRANSACCIONES!$L$2)+1),6)),"")</f>
        <v/>
      </c>
      <c r="D11" s="9">
        <f>IFERROR(INDEX(TRANSACCIONES!$I$2:$I$1000,SMALL(IF(UPPER(TRANSACCIONES!$L$2:$L$1000)="PENDIENTE",ROW(TRANSACCIONES!$L$2:$L$1000)-ROW(TRANSACCIONES!$L$2)+1),6)),"")</f>
        <v/>
      </c>
      <c r="E11">
        <f>IFERROR(INDEX(TRANSACCIONES!$N$2:$N$1000,SMALL(IF(UPPER(TRANSACCIONES!$L$2:$L$1000)="PENDIENTE",ROW(TRANSACCIONES!$L$2:$L$1000)-ROW(TRANSACCIONES!$L$2)+1),6)),"")</f>
        <v/>
      </c>
      <c r="F11">
        <f>IF(A11="","",TODAY()-A11)</f>
        <v/>
      </c>
      <c r="G11">
        <f>IF(A11="","",IF(E11&lt;TODAY(),"VENCIDO",IF(E11&lt;=TODAY()+7,"POR VENCER","AL DÍA")))</f>
        <v/>
      </c>
      <c r="H11">
        <f>IFERROR(INDEX(TRANSACCIONES!$K$2:$K$1000,SMALL(IF(UPPER(TRANSACCIONES!$L$2:$L$1000)="PENDIENTE",ROW(TRANSACCIONES!$L$2:$L$1000)-ROW(TRANSACCIONES!$L$2)+1),6)),"")</f>
        <v/>
      </c>
    </row>
    <row r="12">
      <c r="A12">
        <f>IFERROR(INDEX(TRANSACCIONES!$A$2:$A$1000,SMALL(IF(UPPER(TRANSACCIONES!$L$2:$L$1000)="PENDIENTE",ROW(TRANSACCIONES!$L$2:$L$1000)-ROW(TRANSACCIONES!$L$2)+1),7)),"")</f>
        <v/>
      </c>
      <c r="B12">
        <f>IFERROR(INDEX(TRANSACCIONES!$E$2:$E$1000,SMALL(IF(UPPER(TRANSACCIONES!$L$2:$L$1000)="PENDIENTE",ROW(TRANSACCIONES!$L$2:$L$1000)-ROW(TRANSACCIONES!$L$2)+1),7)),"")</f>
        <v/>
      </c>
      <c r="C12">
        <f>IFERROR(INDEX(TRANSACCIONES!$F$2:$F$1000,SMALL(IF(UPPER(TRANSACCIONES!$L$2:$L$1000)="PENDIENTE",ROW(TRANSACCIONES!$L$2:$L$1000)-ROW(TRANSACCIONES!$L$2)+1),7)),"")</f>
        <v/>
      </c>
      <c r="D12" s="9">
        <f>IFERROR(INDEX(TRANSACCIONES!$I$2:$I$1000,SMALL(IF(UPPER(TRANSACCIONES!$L$2:$L$1000)="PENDIENTE",ROW(TRANSACCIONES!$L$2:$L$1000)-ROW(TRANSACCIONES!$L$2)+1),7)),"")</f>
        <v/>
      </c>
      <c r="E12">
        <f>IFERROR(INDEX(TRANSACCIONES!$N$2:$N$1000,SMALL(IF(UPPER(TRANSACCIONES!$L$2:$L$1000)="PENDIENTE",ROW(TRANSACCIONES!$L$2:$L$1000)-ROW(TRANSACCIONES!$L$2)+1),7)),"")</f>
        <v/>
      </c>
      <c r="F12">
        <f>IF(A12="","",TODAY()-A12)</f>
        <v/>
      </c>
      <c r="G12">
        <f>IF(A12="","",IF(E12&lt;TODAY(),"VENCIDO",IF(E12&lt;=TODAY()+7,"POR VENCER","AL DÍA")))</f>
        <v/>
      </c>
      <c r="H12">
        <f>IFERROR(INDEX(TRANSACCIONES!$K$2:$K$1000,SMALL(IF(UPPER(TRANSACCIONES!$L$2:$L$1000)="PENDIENTE",ROW(TRANSACCIONES!$L$2:$L$1000)-ROW(TRANSACCIONES!$L$2)+1),7)),"")</f>
        <v/>
      </c>
    </row>
    <row r="13">
      <c r="A13">
        <f>IFERROR(INDEX(TRANSACCIONES!$A$2:$A$1000,SMALL(IF(UPPER(TRANSACCIONES!$L$2:$L$1000)="PENDIENTE",ROW(TRANSACCIONES!$L$2:$L$1000)-ROW(TRANSACCIONES!$L$2)+1),8)),"")</f>
        <v/>
      </c>
      <c r="B13">
        <f>IFERROR(INDEX(TRANSACCIONES!$E$2:$E$1000,SMALL(IF(UPPER(TRANSACCIONES!$L$2:$L$1000)="PENDIENTE",ROW(TRANSACCIONES!$L$2:$L$1000)-ROW(TRANSACCIONES!$L$2)+1),8)),"")</f>
        <v/>
      </c>
      <c r="C13">
        <f>IFERROR(INDEX(TRANSACCIONES!$F$2:$F$1000,SMALL(IF(UPPER(TRANSACCIONES!$L$2:$L$1000)="PENDIENTE",ROW(TRANSACCIONES!$L$2:$L$1000)-ROW(TRANSACCIONES!$L$2)+1),8)),"")</f>
        <v/>
      </c>
      <c r="D13" s="9">
        <f>IFERROR(INDEX(TRANSACCIONES!$I$2:$I$1000,SMALL(IF(UPPER(TRANSACCIONES!$L$2:$L$1000)="PENDIENTE",ROW(TRANSACCIONES!$L$2:$L$1000)-ROW(TRANSACCIONES!$L$2)+1),8)),"")</f>
        <v/>
      </c>
      <c r="E13">
        <f>IFERROR(INDEX(TRANSACCIONES!$N$2:$N$1000,SMALL(IF(UPPER(TRANSACCIONES!$L$2:$L$1000)="PENDIENTE",ROW(TRANSACCIONES!$L$2:$L$1000)-ROW(TRANSACCIONES!$L$2)+1),8)),"")</f>
        <v/>
      </c>
      <c r="F13">
        <f>IF(A13="","",TODAY()-A13)</f>
        <v/>
      </c>
      <c r="G13">
        <f>IF(A13="","",IF(E13&lt;TODAY(),"VENCIDO",IF(E13&lt;=TODAY()+7,"POR VENCER","AL DÍA")))</f>
        <v/>
      </c>
      <c r="H13">
        <f>IFERROR(INDEX(TRANSACCIONES!$K$2:$K$1000,SMALL(IF(UPPER(TRANSACCIONES!$L$2:$L$1000)="PENDIENTE",ROW(TRANSACCIONES!$L$2:$L$1000)-ROW(TRANSACCIONES!$L$2)+1),8)),"")</f>
        <v/>
      </c>
    </row>
    <row r="14">
      <c r="A14">
        <f>IFERROR(INDEX(TRANSACCIONES!$A$2:$A$1000,SMALL(IF(UPPER(TRANSACCIONES!$L$2:$L$1000)="PENDIENTE",ROW(TRANSACCIONES!$L$2:$L$1000)-ROW(TRANSACCIONES!$L$2)+1),9)),"")</f>
        <v/>
      </c>
      <c r="B14">
        <f>IFERROR(INDEX(TRANSACCIONES!$E$2:$E$1000,SMALL(IF(UPPER(TRANSACCIONES!$L$2:$L$1000)="PENDIENTE",ROW(TRANSACCIONES!$L$2:$L$1000)-ROW(TRANSACCIONES!$L$2)+1),9)),"")</f>
        <v/>
      </c>
      <c r="C14">
        <f>IFERROR(INDEX(TRANSACCIONES!$F$2:$F$1000,SMALL(IF(UPPER(TRANSACCIONES!$L$2:$L$1000)="PENDIENTE",ROW(TRANSACCIONES!$L$2:$L$1000)-ROW(TRANSACCIONES!$L$2)+1),9)),"")</f>
        <v/>
      </c>
      <c r="D14" s="9">
        <f>IFERROR(INDEX(TRANSACCIONES!$I$2:$I$1000,SMALL(IF(UPPER(TRANSACCIONES!$L$2:$L$1000)="PENDIENTE",ROW(TRANSACCIONES!$L$2:$L$1000)-ROW(TRANSACCIONES!$L$2)+1),9)),"")</f>
        <v/>
      </c>
      <c r="E14">
        <f>IFERROR(INDEX(TRANSACCIONES!$N$2:$N$1000,SMALL(IF(UPPER(TRANSACCIONES!$L$2:$L$1000)="PENDIENTE",ROW(TRANSACCIONES!$L$2:$L$1000)-ROW(TRANSACCIONES!$L$2)+1),9)),"")</f>
        <v/>
      </c>
      <c r="F14">
        <f>IF(A14="","",TODAY()-A14)</f>
        <v/>
      </c>
      <c r="G14">
        <f>IF(A14="","",IF(E14&lt;TODAY(),"VENCIDO",IF(E14&lt;=TODAY()+7,"POR VENCER","AL DÍA")))</f>
        <v/>
      </c>
      <c r="H14">
        <f>IFERROR(INDEX(TRANSACCIONES!$K$2:$K$1000,SMALL(IF(UPPER(TRANSACCIONES!$L$2:$L$1000)="PENDIENTE",ROW(TRANSACCIONES!$L$2:$L$1000)-ROW(TRANSACCIONES!$L$2)+1),9)),"")</f>
        <v/>
      </c>
    </row>
    <row r="15">
      <c r="A15">
        <f>IFERROR(INDEX(TRANSACCIONES!$A$2:$A$1000,SMALL(IF(UPPER(TRANSACCIONES!$L$2:$L$1000)="PENDIENTE",ROW(TRANSACCIONES!$L$2:$L$1000)-ROW(TRANSACCIONES!$L$2)+1),10)),"")</f>
        <v/>
      </c>
      <c r="B15">
        <f>IFERROR(INDEX(TRANSACCIONES!$E$2:$E$1000,SMALL(IF(UPPER(TRANSACCIONES!$L$2:$L$1000)="PENDIENTE",ROW(TRANSACCIONES!$L$2:$L$1000)-ROW(TRANSACCIONES!$L$2)+1),10)),"")</f>
        <v/>
      </c>
      <c r="C15">
        <f>IFERROR(INDEX(TRANSACCIONES!$F$2:$F$1000,SMALL(IF(UPPER(TRANSACCIONES!$L$2:$L$1000)="PENDIENTE",ROW(TRANSACCIONES!$L$2:$L$1000)-ROW(TRANSACCIONES!$L$2)+1),10)),"")</f>
        <v/>
      </c>
      <c r="D15" s="9">
        <f>IFERROR(INDEX(TRANSACCIONES!$I$2:$I$1000,SMALL(IF(UPPER(TRANSACCIONES!$L$2:$L$1000)="PENDIENTE",ROW(TRANSACCIONES!$L$2:$L$1000)-ROW(TRANSACCIONES!$L$2)+1),10)),"")</f>
        <v/>
      </c>
      <c r="E15">
        <f>IFERROR(INDEX(TRANSACCIONES!$N$2:$N$1000,SMALL(IF(UPPER(TRANSACCIONES!$L$2:$L$1000)="PENDIENTE",ROW(TRANSACCIONES!$L$2:$L$1000)-ROW(TRANSACCIONES!$L$2)+1),10)),"")</f>
        <v/>
      </c>
      <c r="F15">
        <f>IF(A15="","",TODAY()-A15)</f>
        <v/>
      </c>
      <c r="G15">
        <f>IF(A15="","",IF(E15&lt;TODAY(),"VENCIDO",IF(E15&lt;=TODAY()+7,"POR VENCER","AL DÍA")))</f>
        <v/>
      </c>
      <c r="H15">
        <f>IFERROR(INDEX(TRANSACCIONES!$K$2:$K$1000,SMALL(IF(UPPER(TRANSACCIONES!$L$2:$L$1000)="PENDIENTE",ROW(TRANSACCIONES!$L$2:$L$1000)-ROW(TRANSACCIONES!$L$2)+1),10)),"")</f>
        <v/>
      </c>
    </row>
    <row r="16">
      <c r="A16">
        <f>IFERROR(INDEX(TRANSACCIONES!$A$2:$A$1000,SMALL(IF(UPPER(TRANSACCIONES!$L$2:$L$1000)="PENDIENTE",ROW(TRANSACCIONES!$L$2:$L$1000)-ROW(TRANSACCIONES!$L$2)+1),11)),"")</f>
        <v/>
      </c>
      <c r="B16">
        <f>IFERROR(INDEX(TRANSACCIONES!$E$2:$E$1000,SMALL(IF(UPPER(TRANSACCIONES!$L$2:$L$1000)="PENDIENTE",ROW(TRANSACCIONES!$L$2:$L$1000)-ROW(TRANSACCIONES!$L$2)+1),11)),"")</f>
        <v/>
      </c>
      <c r="C16">
        <f>IFERROR(INDEX(TRANSACCIONES!$F$2:$F$1000,SMALL(IF(UPPER(TRANSACCIONES!$L$2:$L$1000)="PENDIENTE",ROW(TRANSACCIONES!$L$2:$L$1000)-ROW(TRANSACCIONES!$L$2)+1),11)),"")</f>
        <v/>
      </c>
      <c r="D16" s="9">
        <f>IFERROR(INDEX(TRANSACCIONES!$I$2:$I$1000,SMALL(IF(UPPER(TRANSACCIONES!$L$2:$L$1000)="PENDIENTE",ROW(TRANSACCIONES!$L$2:$L$1000)-ROW(TRANSACCIONES!$L$2)+1),11)),"")</f>
        <v/>
      </c>
      <c r="E16">
        <f>IFERROR(INDEX(TRANSACCIONES!$N$2:$N$1000,SMALL(IF(UPPER(TRANSACCIONES!$L$2:$L$1000)="PENDIENTE",ROW(TRANSACCIONES!$L$2:$L$1000)-ROW(TRANSACCIONES!$L$2)+1),11)),"")</f>
        <v/>
      </c>
      <c r="F16">
        <f>IF(A16="","",TODAY()-A16)</f>
        <v/>
      </c>
      <c r="G16">
        <f>IF(A16="","",IF(E16&lt;TODAY(),"VENCIDO",IF(E16&lt;=TODAY()+7,"POR VENCER","AL DÍA")))</f>
        <v/>
      </c>
      <c r="H16">
        <f>IFERROR(INDEX(TRANSACCIONES!$K$2:$K$1000,SMALL(IF(UPPER(TRANSACCIONES!$L$2:$L$1000)="PENDIENTE",ROW(TRANSACCIONES!$L$2:$L$1000)-ROW(TRANSACCIONES!$L$2)+1),11)),"")</f>
        <v/>
      </c>
    </row>
    <row r="17">
      <c r="A17">
        <f>IFERROR(INDEX(TRANSACCIONES!$A$2:$A$1000,SMALL(IF(UPPER(TRANSACCIONES!$L$2:$L$1000)="PENDIENTE",ROW(TRANSACCIONES!$L$2:$L$1000)-ROW(TRANSACCIONES!$L$2)+1),12)),"")</f>
        <v/>
      </c>
      <c r="B17">
        <f>IFERROR(INDEX(TRANSACCIONES!$E$2:$E$1000,SMALL(IF(UPPER(TRANSACCIONES!$L$2:$L$1000)="PENDIENTE",ROW(TRANSACCIONES!$L$2:$L$1000)-ROW(TRANSACCIONES!$L$2)+1),12)),"")</f>
        <v/>
      </c>
      <c r="C17">
        <f>IFERROR(INDEX(TRANSACCIONES!$F$2:$F$1000,SMALL(IF(UPPER(TRANSACCIONES!$L$2:$L$1000)="PENDIENTE",ROW(TRANSACCIONES!$L$2:$L$1000)-ROW(TRANSACCIONES!$L$2)+1),12)),"")</f>
        <v/>
      </c>
      <c r="D17" s="9">
        <f>IFERROR(INDEX(TRANSACCIONES!$I$2:$I$1000,SMALL(IF(UPPER(TRANSACCIONES!$L$2:$L$1000)="PENDIENTE",ROW(TRANSACCIONES!$L$2:$L$1000)-ROW(TRANSACCIONES!$L$2)+1),12)),"")</f>
        <v/>
      </c>
      <c r="E17">
        <f>IFERROR(INDEX(TRANSACCIONES!$N$2:$N$1000,SMALL(IF(UPPER(TRANSACCIONES!$L$2:$L$1000)="PENDIENTE",ROW(TRANSACCIONES!$L$2:$L$1000)-ROW(TRANSACCIONES!$L$2)+1),12)),"")</f>
        <v/>
      </c>
      <c r="F17">
        <f>IF(A17="","",TODAY()-A17)</f>
        <v/>
      </c>
      <c r="G17">
        <f>IF(A17="","",IF(E17&lt;TODAY(),"VENCIDO",IF(E17&lt;=TODAY()+7,"POR VENCER","AL DÍA")))</f>
        <v/>
      </c>
      <c r="H17">
        <f>IFERROR(INDEX(TRANSACCIONES!$K$2:$K$1000,SMALL(IF(UPPER(TRANSACCIONES!$L$2:$L$1000)="PENDIENTE",ROW(TRANSACCIONES!$L$2:$L$1000)-ROW(TRANSACCIONES!$L$2)+1),12)),"")</f>
        <v/>
      </c>
    </row>
    <row r="18">
      <c r="A18">
        <f>IFERROR(INDEX(TRANSACCIONES!$A$2:$A$1000,SMALL(IF(UPPER(TRANSACCIONES!$L$2:$L$1000)="PENDIENTE",ROW(TRANSACCIONES!$L$2:$L$1000)-ROW(TRANSACCIONES!$L$2)+1),13)),"")</f>
        <v/>
      </c>
      <c r="B18">
        <f>IFERROR(INDEX(TRANSACCIONES!$E$2:$E$1000,SMALL(IF(UPPER(TRANSACCIONES!$L$2:$L$1000)="PENDIENTE",ROW(TRANSACCIONES!$L$2:$L$1000)-ROW(TRANSACCIONES!$L$2)+1),13)),"")</f>
        <v/>
      </c>
      <c r="C18">
        <f>IFERROR(INDEX(TRANSACCIONES!$F$2:$F$1000,SMALL(IF(UPPER(TRANSACCIONES!$L$2:$L$1000)="PENDIENTE",ROW(TRANSACCIONES!$L$2:$L$1000)-ROW(TRANSACCIONES!$L$2)+1),13)),"")</f>
        <v/>
      </c>
      <c r="D18" s="9">
        <f>IFERROR(INDEX(TRANSACCIONES!$I$2:$I$1000,SMALL(IF(UPPER(TRANSACCIONES!$L$2:$L$1000)="PENDIENTE",ROW(TRANSACCIONES!$L$2:$L$1000)-ROW(TRANSACCIONES!$L$2)+1),13)),"")</f>
        <v/>
      </c>
      <c r="E18">
        <f>IFERROR(INDEX(TRANSACCIONES!$N$2:$N$1000,SMALL(IF(UPPER(TRANSACCIONES!$L$2:$L$1000)="PENDIENTE",ROW(TRANSACCIONES!$L$2:$L$1000)-ROW(TRANSACCIONES!$L$2)+1),13)),"")</f>
        <v/>
      </c>
      <c r="F18">
        <f>IF(A18="","",TODAY()-A18)</f>
        <v/>
      </c>
      <c r="G18">
        <f>IF(A18="","",IF(E18&lt;TODAY(),"VENCIDO",IF(E18&lt;=TODAY()+7,"POR VENCER","AL DÍA")))</f>
        <v/>
      </c>
      <c r="H18">
        <f>IFERROR(INDEX(TRANSACCIONES!$K$2:$K$1000,SMALL(IF(UPPER(TRANSACCIONES!$L$2:$L$1000)="PENDIENTE",ROW(TRANSACCIONES!$L$2:$L$1000)-ROW(TRANSACCIONES!$L$2)+1),13)),"")</f>
        <v/>
      </c>
    </row>
    <row r="19">
      <c r="A19">
        <f>IFERROR(INDEX(TRANSACCIONES!$A$2:$A$1000,SMALL(IF(UPPER(TRANSACCIONES!$L$2:$L$1000)="PENDIENTE",ROW(TRANSACCIONES!$L$2:$L$1000)-ROW(TRANSACCIONES!$L$2)+1),14)),"")</f>
        <v/>
      </c>
      <c r="B19">
        <f>IFERROR(INDEX(TRANSACCIONES!$E$2:$E$1000,SMALL(IF(UPPER(TRANSACCIONES!$L$2:$L$1000)="PENDIENTE",ROW(TRANSACCIONES!$L$2:$L$1000)-ROW(TRANSACCIONES!$L$2)+1),14)),"")</f>
        <v/>
      </c>
      <c r="C19">
        <f>IFERROR(INDEX(TRANSACCIONES!$F$2:$F$1000,SMALL(IF(UPPER(TRANSACCIONES!$L$2:$L$1000)="PENDIENTE",ROW(TRANSACCIONES!$L$2:$L$1000)-ROW(TRANSACCIONES!$L$2)+1),14)),"")</f>
        <v/>
      </c>
      <c r="D19" s="9">
        <f>IFERROR(INDEX(TRANSACCIONES!$I$2:$I$1000,SMALL(IF(UPPER(TRANSACCIONES!$L$2:$L$1000)="PENDIENTE",ROW(TRANSACCIONES!$L$2:$L$1000)-ROW(TRANSACCIONES!$L$2)+1),14)),"")</f>
        <v/>
      </c>
      <c r="E19">
        <f>IFERROR(INDEX(TRANSACCIONES!$N$2:$N$1000,SMALL(IF(UPPER(TRANSACCIONES!$L$2:$L$1000)="PENDIENTE",ROW(TRANSACCIONES!$L$2:$L$1000)-ROW(TRANSACCIONES!$L$2)+1),14)),"")</f>
        <v/>
      </c>
      <c r="F19">
        <f>IF(A19="","",TODAY()-A19)</f>
        <v/>
      </c>
      <c r="G19">
        <f>IF(A19="","",IF(E19&lt;TODAY(),"VENCIDO",IF(E19&lt;=TODAY()+7,"POR VENCER","AL DÍA")))</f>
        <v/>
      </c>
      <c r="H19">
        <f>IFERROR(INDEX(TRANSACCIONES!$K$2:$K$1000,SMALL(IF(UPPER(TRANSACCIONES!$L$2:$L$1000)="PENDIENTE",ROW(TRANSACCIONES!$L$2:$L$1000)-ROW(TRANSACCIONES!$L$2)+1),14)),"")</f>
        <v/>
      </c>
    </row>
    <row r="20">
      <c r="A20">
        <f>IFERROR(INDEX(TRANSACCIONES!$A$2:$A$1000,SMALL(IF(UPPER(TRANSACCIONES!$L$2:$L$1000)="PENDIENTE",ROW(TRANSACCIONES!$L$2:$L$1000)-ROW(TRANSACCIONES!$L$2)+1),15)),"")</f>
        <v/>
      </c>
      <c r="B20">
        <f>IFERROR(INDEX(TRANSACCIONES!$E$2:$E$1000,SMALL(IF(UPPER(TRANSACCIONES!$L$2:$L$1000)="PENDIENTE",ROW(TRANSACCIONES!$L$2:$L$1000)-ROW(TRANSACCIONES!$L$2)+1),15)),"")</f>
        <v/>
      </c>
      <c r="C20">
        <f>IFERROR(INDEX(TRANSACCIONES!$F$2:$F$1000,SMALL(IF(UPPER(TRANSACCIONES!$L$2:$L$1000)="PENDIENTE",ROW(TRANSACCIONES!$L$2:$L$1000)-ROW(TRANSACCIONES!$L$2)+1),15)),"")</f>
        <v/>
      </c>
      <c r="D20" s="9">
        <f>IFERROR(INDEX(TRANSACCIONES!$I$2:$I$1000,SMALL(IF(UPPER(TRANSACCIONES!$L$2:$L$1000)="PENDIENTE",ROW(TRANSACCIONES!$L$2:$L$1000)-ROW(TRANSACCIONES!$L$2)+1),15)),"")</f>
        <v/>
      </c>
      <c r="E20">
        <f>IFERROR(INDEX(TRANSACCIONES!$N$2:$N$1000,SMALL(IF(UPPER(TRANSACCIONES!$L$2:$L$1000)="PENDIENTE",ROW(TRANSACCIONES!$L$2:$L$1000)-ROW(TRANSACCIONES!$L$2)+1),15)),"")</f>
        <v/>
      </c>
      <c r="F20">
        <f>IF(A20="","",TODAY()-A20)</f>
        <v/>
      </c>
      <c r="G20">
        <f>IF(A20="","",IF(E20&lt;TODAY(),"VENCIDO",IF(E20&lt;=TODAY()+7,"POR VENCER","AL DÍA")))</f>
        <v/>
      </c>
      <c r="H20">
        <f>IFERROR(INDEX(TRANSACCIONES!$K$2:$K$1000,SMALL(IF(UPPER(TRANSACCIONES!$L$2:$L$1000)="PENDIENTE",ROW(TRANSACCIONES!$L$2:$L$1000)-ROW(TRANSACCIONES!$L$2)+1),15)),"")</f>
        <v/>
      </c>
    </row>
    <row r="21">
      <c r="A21">
        <f>IFERROR(INDEX(TRANSACCIONES!$A$2:$A$1000,SMALL(IF(UPPER(TRANSACCIONES!$L$2:$L$1000)="PENDIENTE",ROW(TRANSACCIONES!$L$2:$L$1000)-ROW(TRANSACCIONES!$L$2)+1),16)),"")</f>
        <v/>
      </c>
      <c r="B21">
        <f>IFERROR(INDEX(TRANSACCIONES!$E$2:$E$1000,SMALL(IF(UPPER(TRANSACCIONES!$L$2:$L$1000)="PENDIENTE",ROW(TRANSACCIONES!$L$2:$L$1000)-ROW(TRANSACCIONES!$L$2)+1),16)),"")</f>
        <v/>
      </c>
      <c r="C21">
        <f>IFERROR(INDEX(TRANSACCIONES!$F$2:$F$1000,SMALL(IF(UPPER(TRANSACCIONES!$L$2:$L$1000)="PENDIENTE",ROW(TRANSACCIONES!$L$2:$L$1000)-ROW(TRANSACCIONES!$L$2)+1),16)),"")</f>
        <v/>
      </c>
      <c r="D21" s="9">
        <f>IFERROR(INDEX(TRANSACCIONES!$I$2:$I$1000,SMALL(IF(UPPER(TRANSACCIONES!$L$2:$L$1000)="PENDIENTE",ROW(TRANSACCIONES!$L$2:$L$1000)-ROW(TRANSACCIONES!$L$2)+1),16)),"")</f>
        <v/>
      </c>
      <c r="E21">
        <f>IFERROR(INDEX(TRANSACCIONES!$N$2:$N$1000,SMALL(IF(UPPER(TRANSACCIONES!$L$2:$L$1000)="PENDIENTE",ROW(TRANSACCIONES!$L$2:$L$1000)-ROW(TRANSACCIONES!$L$2)+1),16)),"")</f>
        <v/>
      </c>
      <c r="F21">
        <f>IF(A21="","",TODAY()-A21)</f>
        <v/>
      </c>
      <c r="G21">
        <f>IF(A21="","",IF(E21&lt;TODAY(),"VENCIDO",IF(E21&lt;=TODAY()+7,"POR VENCER","AL DÍA")))</f>
        <v/>
      </c>
      <c r="H21">
        <f>IFERROR(INDEX(TRANSACCIONES!$K$2:$K$1000,SMALL(IF(UPPER(TRANSACCIONES!$L$2:$L$1000)="PENDIENTE",ROW(TRANSACCIONES!$L$2:$L$1000)-ROW(TRANSACCIONES!$L$2)+1),16)),"")</f>
        <v/>
      </c>
    </row>
    <row r="22">
      <c r="A22">
        <f>IFERROR(INDEX(TRANSACCIONES!$A$2:$A$1000,SMALL(IF(UPPER(TRANSACCIONES!$L$2:$L$1000)="PENDIENTE",ROW(TRANSACCIONES!$L$2:$L$1000)-ROW(TRANSACCIONES!$L$2)+1),17)),"")</f>
        <v/>
      </c>
      <c r="B22">
        <f>IFERROR(INDEX(TRANSACCIONES!$E$2:$E$1000,SMALL(IF(UPPER(TRANSACCIONES!$L$2:$L$1000)="PENDIENTE",ROW(TRANSACCIONES!$L$2:$L$1000)-ROW(TRANSACCIONES!$L$2)+1),17)),"")</f>
        <v/>
      </c>
      <c r="C22">
        <f>IFERROR(INDEX(TRANSACCIONES!$F$2:$F$1000,SMALL(IF(UPPER(TRANSACCIONES!$L$2:$L$1000)="PENDIENTE",ROW(TRANSACCIONES!$L$2:$L$1000)-ROW(TRANSACCIONES!$L$2)+1),17)),"")</f>
        <v/>
      </c>
      <c r="D22" s="9">
        <f>IFERROR(INDEX(TRANSACCIONES!$I$2:$I$1000,SMALL(IF(UPPER(TRANSACCIONES!$L$2:$L$1000)="PENDIENTE",ROW(TRANSACCIONES!$L$2:$L$1000)-ROW(TRANSACCIONES!$L$2)+1),17)),"")</f>
        <v/>
      </c>
      <c r="E22">
        <f>IFERROR(INDEX(TRANSACCIONES!$N$2:$N$1000,SMALL(IF(UPPER(TRANSACCIONES!$L$2:$L$1000)="PENDIENTE",ROW(TRANSACCIONES!$L$2:$L$1000)-ROW(TRANSACCIONES!$L$2)+1),17)),"")</f>
        <v/>
      </c>
      <c r="F22">
        <f>IF(A22="","",TODAY()-A22)</f>
        <v/>
      </c>
      <c r="G22">
        <f>IF(A22="","",IF(E22&lt;TODAY(),"VENCIDO",IF(E22&lt;=TODAY()+7,"POR VENCER","AL DÍA")))</f>
        <v/>
      </c>
      <c r="H22">
        <f>IFERROR(INDEX(TRANSACCIONES!$K$2:$K$1000,SMALL(IF(UPPER(TRANSACCIONES!$L$2:$L$1000)="PENDIENTE",ROW(TRANSACCIONES!$L$2:$L$1000)-ROW(TRANSACCIONES!$L$2)+1),17)),"")</f>
        <v/>
      </c>
    </row>
    <row r="23">
      <c r="A23">
        <f>IFERROR(INDEX(TRANSACCIONES!$A$2:$A$1000,SMALL(IF(UPPER(TRANSACCIONES!$L$2:$L$1000)="PENDIENTE",ROW(TRANSACCIONES!$L$2:$L$1000)-ROW(TRANSACCIONES!$L$2)+1),18)),"")</f>
        <v/>
      </c>
      <c r="B23">
        <f>IFERROR(INDEX(TRANSACCIONES!$E$2:$E$1000,SMALL(IF(UPPER(TRANSACCIONES!$L$2:$L$1000)="PENDIENTE",ROW(TRANSACCIONES!$L$2:$L$1000)-ROW(TRANSACCIONES!$L$2)+1),18)),"")</f>
        <v/>
      </c>
      <c r="C23">
        <f>IFERROR(INDEX(TRANSACCIONES!$F$2:$F$1000,SMALL(IF(UPPER(TRANSACCIONES!$L$2:$L$1000)="PENDIENTE",ROW(TRANSACCIONES!$L$2:$L$1000)-ROW(TRANSACCIONES!$L$2)+1),18)),"")</f>
        <v/>
      </c>
      <c r="D23" s="9">
        <f>IFERROR(INDEX(TRANSACCIONES!$I$2:$I$1000,SMALL(IF(UPPER(TRANSACCIONES!$L$2:$L$1000)="PENDIENTE",ROW(TRANSACCIONES!$L$2:$L$1000)-ROW(TRANSACCIONES!$L$2)+1),18)),"")</f>
        <v/>
      </c>
      <c r="E23">
        <f>IFERROR(INDEX(TRANSACCIONES!$N$2:$N$1000,SMALL(IF(UPPER(TRANSACCIONES!$L$2:$L$1000)="PENDIENTE",ROW(TRANSACCIONES!$L$2:$L$1000)-ROW(TRANSACCIONES!$L$2)+1),18)),"")</f>
        <v/>
      </c>
      <c r="F23">
        <f>IF(A23="","",TODAY()-A23)</f>
        <v/>
      </c>
      <c r="G23">
        <f>IF(A23="","",IF(E23&lt;TODAY(),"VENCIDO",IF(E23&lt;=TODAY()+7,"POR VENCER","AL DÍA")))</f>
        <v/>
      </c>
      <c r="H23">
        <f>IFERROR(INDEX(TRANSACCIONES!$K$2:$K$1000,SMALL(IF(UPPER(TRANSACCIONES!$L$2:$L$1000)="PENDIENTE",ROW(TRANSACCIONES!$L$2:$L$1000)-ROW(TRANSACCIONES!$L$2)+1),18)),"")</f>
        <v/>
      </c>
    </row>
    <row r="24">
      <c r="A24">
        <f>IFERROR(INDEX(TRANSACCIONES!$A$2:$A$1000,SMALL(IF(UPPER(TRANSACCIONES!$L$2:$L$1000)="PENDIENTE",ROW(TRANSACCIONES!$L$2:$L$1000)-ROW(TRANSACCIONES!$L$2)+1),19)),"")</f>
        <v/>
      </c>
      <c r="B24">
        <f>IFERROR(INDEX(TRANSACCIONES!$E$2:$E$1000,SMALL(IF(UPPER(TRANSACCIONES!$L$2:$L$1000)="PENDIENTE",ROW(TRANSACCIONES!$L$2:$L$1000)-ROW(TRANSACCIONES!$L$2)+1),19)),"")</f>
        <v/>
      </c>
      <c r="C24">
        <f>IFERROR(INDEX(TRANSACCIONES!$F$2:$F$1000,SMALL(IF(UPPER(TRANSACCIONES!$L$2:$L$1000)="PENDIENTE",ROW(TRANSACCIONES!$L$2:$L$1000)-ROW(TRANSACCIONES!$L$2)+1),19)),"")</f>
        <v/>
      </c>
      <c r="D24" s="9">
        <f>IFERROR(INDEX(TRANSACCIONES!$I$2:$I$1000,SMALL(IF(UPPER(TRANSACCIONES!$L$2:$L$1000)="PENDIENTE",ROW(TRANSACCIONES!$L$2:$L$1000)-ROW(TRANSACCIONES!$L$2)+1),19)),"")</f>
        <v/>
      </c>
      <c r="E24">
        <f>IFERROR(INDEX(TRANSACCIONES!$N$2:$N$1000,SMALL(IF(UPPER(TRANSACCIONES!$L$2:$L$1000)="PENDIENTE",ROW(TRANSACCIONES!$L$2:$L$1000)-ROW(TRANSACCIONES!$L$2)+1),19)),"")</f>
        <v/>
      </c>
      <c r="F24">
        <f>IF(A24="","",TODAY()-A24)</f>
        <v/>
      </c>
      <c r="G24">
        <f>IF(A24="","",IF(E24&lt;TODAY(),"VENCIDO",IF(E24&lt;=TODAY()+7,"POR VENCER","AL DÍA")))</f>
        <v/>
      </c>
      <c r="H24">
        <f>IFERROR(INDEX(TRANSACCIONES!$K$2:$K$1000,SMALL(IF(UPPER(TRANSACCIONES!$L$2:$L$1000)="PENDIENTE",ROW(TRANSACCIONES!$L$2:$L$1000)-ROW(TRANSACCIONES!$L$2)+1),19)),"")</f>
        <v/>
      </c>
    </row>
    <row r="25">
      <c r="A25">
        <f>IFERROR(INDEX(TRANSACCIONES!$A$2:$A$1000,SMALL(IF(UPPER(TRANSACCIONES!$L$2:$L$1000)="PENDIENTE",ROW(TRANSACCIONES!$L$2:$L$1000)-ROW(TRANSACCIONES!$L$2)+1),20)),"")</f>
        <v/>
      </c>
      <c r="B25">
        <f>IFERROR(INDEX(TRANSACCIONES!$E$2:$E$1000,SMALL(IF(UPPER(TRANSACCIONES!$L$2:$L$1000)="PENDIENTE",ROW(TRANSACCIONES!$L$2:$L$1000)-ROW(TRANSACCIONES!$L$2)+1),20)),"")</f>
        <v/>
      </c>
      <c r="C25">
        <f>IFERROR(INDEX(TRANSACCIONES!$F$2:$F$1000,SMALL(IF(UPPER(TRANSACCIONES!$L$2:$L$1000)="PENDIENTE",ROW(TRANSACCIONES!$L$2:$L$1000)-ROW(TRANSACCIONES!$L$2)+1),20)),"")</f>
        <v/>
      </c>
      <c r="D25" s="9">
        <f>IFERROR(INDEX(TRANSACCIONES!$I$2:$I$1000,SMALL(IF(UPPER(TRANSACCIONES!$L$2:$L$1000)="PENDIENTE",ROW(TRANSACCIONES!$L$2:$L$1000)-ROW(TRANSACCIONES!$L$2)+1),20)),"")</f>
        <v/>
      </c>
      <c r="E25">
        <f>IFERROR(INDEX(TRANSACCIONES!$N$2:$N$1000,SMALL(IF(UPPER(TRANSACCIONES!$L$2:$L$1000)="PENDIENTE",ROW(TRANSACCIONES!$L$2:$L$1000)-ROW(TRANSACCIONES!$L$2)+1),20)),"")</f>
        <v/>
      </c>
      <c r="F25">
        <f>IF(A25="","",TODAY()-A25)</f>
        <v/>
      </c>
      <c r="G25">
        <f>IF(A25="","",IF(E25&lt;TODAY(),"VENCIDO",IF(E25&lt;=TODAY()+7,"POR VENCER","AL DÍA")))</f>
        <v/>
      </c>
      <c r="H25">
        <f>IFERROR(INDEX(TRANSACCIONES!$K$2:$K$1000,SMALL(IF(UPPER(TRANSACCIONES!$L$2:$L$1000)="PENDIENTE",ROW(TRANSACCIONES!$L$2:$L$1000)-ROW(TRANSACCIONES!$L$2)+1),20)),"")</f>
        <v/>
      </c>
    </row>
    <row r="26">
      <c r="A26">
        <f>IFERROR(INDEX(TRANSACCIONES!$A$2:$A$1000,SMALL(IF(UPPER(TRANSACCIONES!$L$2:$L$1000)="PENDIENTE",ROW(TRANSACCIONES!$L$2:$L$1000)-ROW(TRANSACCIONES!$L$2)+1),21)),"")</f>
        <v/>
      </c>
      <c r="B26">
        <f>IFERROR(INDEX(TRANSACCIONES!$E$2:$E$1000,SMALL(IF(UPPER(TRANSACCIONES!$L$2:$L$1000)="PENDIENTE",ROW(TRANSACCIONES!$L$2:$L$1000)-ROW(TRANSACCIONES!$L$2)+1),21)),"")</f>
        <v/>
      </c>
      <c r="C26">
        <f>IFERROR(INDEX(TRANSACCIONES!$F$2:$F$1000,SMALL(IF(UPPER(TRANSACCIONES!$L$2:$L$1000)="PENDIENTE",ROW(TRANSACCIONES!$L$2:$L$1000)-ROW(TRANSACCIONES!$L$2)+1),21)),"")</f>
        <v/>
      </c>
      <c r="D26" s="9">
        <f>IFERROR(INDEX(TRANSACCIONES!$I$2:$I$1000,SMALL(IF(UPPER(TRANSACCIONES!$L$2:$L$1000)="PENDIENTE",ROW(TRANSACCIONES!$L$2:$L$1000)-ROW(TRANSACCIONES!$L$2)+1),21)),"")</f>
        <v/>
      </c>
      <c r="E26">
        <f>IFERROR(INDEX(TRANSACCIONES!$N$2:$N$1000,SMALL(IF(UPPER(TRANSACCIONES!$L$2:$L$1000)="PENDIENTE",ROW(TRANSACCIONES!$L$2:$L$1000)-ROW(TRANSACCIONES!$L$2)+1),21)),"")</f>
        <v/>
      </c>
      <c r="F26">
        <f>IF(A26="","",TODAY()-A26)</f>
        <v/>
      </c>
      <c r="G26">
        <f>IF(A26="","",IF(E26&lt;TODAY(),"VENCIDO",IF(E26&lt;=TODAY()+7,"POR VENCER","AL DÍA")))</f>
        <v/>
      </c>
      <c r="H26">
        <f>IFERROR(INDEX(TRANSACCIONES!$K$2:$K$1000,SMALL(IF(UPPER(TRANSACCIONES!$L$2:$L$1000)="PENDIENTE",ROW(TRANSACCIONES!$L$2:$L$1000)-ROW(TRANSACCIONES!$L$2)+1),21)),"")</f>
        <v/>
      </c>
    </row>
    <row r="27">
      <c r="A27">
        <f>IFERROR(INDEX(TRANSACCIONES!$A$2:$A$1000,SMALL(IF(UPPER(TRANSACCIONES!$L$2:$L$1000)="PENDIENTE",ROW(TRANSACCIONES!$L$2:$L$1000)-ROW(TRANSACCIONES!$L$2)+1),22)),"")</f>
        <v/>
      </c>
      <c r="B27">
        <f>IFERROR(INDEX(TRANSACCIONES!$E$2:$E$1000,SMALL(IF(UPPER(TRANSACCIONES!$L$2:$L$1000)="PENDIENTE",ROW(TRANSACCIONES!$L$2:$L$1000)-ROW(TRANSACCIONES!$L$2)+1),22)),"")</f>
        <v/>
      </c>
      <c r="C27">
        <f>IFERROR(INDEX(TRANSACCIONES!$F$2:$F$1000,SMALL(IF(UPPER(TRANSACCIONES!$L$2:$L$1000)="PENDIENTE",ROW(TRANSACCIONES!$L$2:$L$1000)-ROW(TRANSACCIONES!$L$2)+1),22)),"")</f>
        <v/>
      </c>
      <c r="D27" s="9">
        <f>IFERROR(INDEX(TRANSACCIONES!$I$2:$I$1000,SMALL(IF(UPPER(TRANSACCIONES!$L$2:$L$1000)="PENDIENTE",ROW(TRANSACCIONES!$L$2:$L$1000)-ROW(TRANSACCIONES!$L$2)+1),22)),"")</f>
        <v/>
      </c>
      <c r="E27">
        <f>IFERROR(INDEX(TRANSACCIONES!$N$2:$N$1000,SMALL(IF(UPPER(TRANSACCIONES!$L$2:$L$1000)="PENDIENTE",ROW(TRANSACCIONES!$L$2:$L$1000)-ROW(TRANSACCIONES!$L$2)+1),22)),"")</f>
        <v/>
      </c>
      <c r="F27">
        <f>IF(A27="","",TODAY()-A27)</f>
        <v/>
      </c>
      <c r="G27">
        <f>IF(A27="","",IF(E27&lt;TODAY(),"VENCIDO",IF(E27&lt;=TODAY()+7,"POR VENCER","AL DÍA")))</f>
        <v/>
      </c>
      <c r="H27">
        <f>IFERROR(INDEX(TRANSACCIONES!$K$2:$K$1000,SMALL(IF(UPPER(TRANSACCIONES!$L$2:$L$1000)="PENDIENTE",ROW(TRANSACCIONES!$L$2:$L$1000)-ROW(TRANSACCIONES!$L$2)+1),22)),"")</f>
        <v/>
      </c>
    </row>
    <row r="28">
      <c r="A28">
        <f>IFERROR(INDEX(TRANSACCIONES!$A$2:$A$1000,SMALL(IF(UPPER(TRANSACCIONES!$L$2:$L$1000)="PENDIENTE",ROW(TRANSACCIONES!$L$2:$L$1000)-ROW(TRANSACCIONES!$L$2)+1),23)),"")</f>
        <v/>
      </c>
      <c r="B28">
        <f>IFERROR(INDEX(TRANSACCIONES!$E$2:$E$1000,SMALL(IF(UPPER(TRANSACCIONES!$L$2:$L$1000)="PENDIENTE",ROW(TRANSACCIONES!$L$2:$L$1000)-ROW(TRANSACCIONES!$L$2)+1),23)),"")</f>
        <v/>
      </c>
      <c r="C28">
        <f>IFERROR(INDEX(TRANSACCIONES!$F$2:$F$1000,SMALL(IF(UPPER(TRANSACCIONES!$L$2:$L$1000)="PENDIENTE",ROW(TRANSACCIONES!$L$2:$L$1000)-ROW(TRANSACCIONES!$L$2)+1),23)),"")</f>
        <v/>
      </c>
      <c r="D28" s="9">
        <f>IFERROR(INDEX(TRANSACCIONES!$I$2:$I$1000,SMALL(IF(UPPER(TRANSACCIONES!$L$2:$L$1000)="PENDIENTE",ROW(TRANSACCIONES!$L$2:$L$1000)-ROW(TRANSACCIONES!$L$2)+1),23)),"")</f>
        <v/>
      </c>
      <c r="E28">
        <f>IFERROR(INDEX(TRANSACCIONES!$N$2:$N$1000,SMALL(IF(UPPER(TRANSACCIONES!$L$2:$L$1000)="PENDIENTE",ROW(TRANSACCIONES!$L$2:$L$1000)-ROW(TRANSACCIONES!$L$2)+1),23)),"")</f>
        <v/>
      </c>
      <c r="F28">
        <f>IF(A28="","",TODAY()-A28)</f>
        <v/>
      </c>
      <c r="G28">
        <f>IF(A28="","",IF(E28&lt;TODAY(),"VENCIDO",IF(E28&lt;=TODAY()+7,"POR VENCER","AL DÍA")))</f>
        <v/>
      </c>
      <c r="H28">
        <f>IFERROR(INDEX(TRANSACCIONES!$K$2:$K$1000,SMALL(IF(UPPER(TRANSACCIONES!$L$2:$L$1000)="PENDIENTE",ROW(TRANSACCIONES!$L$2:$L$1000)-ROW(TRANSACCIONES!$L$2)+1),23)),"")</f>
        <v/>
      </c>
    </row>
    <row r="29">
      <c r="A29">
        <f>IFERROR(INDEX(TRANSACCIONES!$A$2:$A$1000,SMALL(IF(UPPER(TRANSACCIONES!$L$2:$L$1000)="PENDIENTE",ROW(TRANSACCIONES!$L$2:$L$1000)-ROW(TRANSACCIONES!$L$2)+1),24)),"")</f>
        <v/>
      </c>
      <c r="B29">
        <f>IFERROR(INDEX(TRANSACCIONES!$E$2:$E$1000,SMALL(IF(UPPER(TRANSACCIONES!$L$2:$L$1000)="PENDIENTE",ROW(TRANSACCIONES!$L$2:$L$1000)-ROW(TRANSACCIONES!$L$2)+1),24)),"")</f>
        <v/>
      </c>
      <c r="C29">
        <f>IFERROR(INDEX(TRANSACCIONES!$F$2:$F$1000,SMALL(IF(UPPER(TRANSACCIONES!$L$2:$L$1000)="PENDIENTE",ROW(TRANSACCIONES!$L$2:$L$1000)-ROW(TRANSACCIONES!$L$2)+1),24)),"")</f>
        <v/>
      </c>
      <c r="D29" s="9">
        <f>IFERROR(INDEX(TRANSACCIONES!$I$2:$I$1000,SMALL(IF(UPPER(TRANSACCIONES!$L$2:$L$1000)="PENDIENTE",ROW(TRANSACCIONES!$L$2:$L$1000)-ROW(TRANSACCIONES!$L$2)+1),24)),"")</f>
        <v/>
      </c>
      <c r="E29">
        <f>IFERROR(INDEX(TRANSACCIONES!$N$2:$N$1000,SMALL(IF(UPPER(TRANSACCIONES!$L$2:$L$1000)="PENDIENTE",ROW(TRANSACCIONES!$L$2:$L$1000)-ROW(TRANSACCIONES!$L$2)+1),24)),"")</f>
        <v/>
      </c>
      <c r="F29">
        <f>IF(A29="","",TODAY()-A29)</f>
        <v/>
      </c>
      <c r="G29">
        <f>IF(A29="","",IF(E29&lt;TODAY(),"VENCIDO",IF(E29&lt;=TODAY()+7,"POR VENCER","AL DÍA")))</f>
        <v/>
      </c>
      <c r="H29">
        <f>IFERROR(INDEX(TRANSACCIONES!$K$2:$K$1000,SMALL(IF(UPPER(TRANSACCIONES!$L$2:$L$1000)="PENDIENTE",ROW(TRANSACCIONES!$L$2:$L$1000)-ROW(TRANSACCIONES!$L$2)+1),24)),"")</f>
        <v/>
      </c>
    </row>
    <row r="30">
      <c r="A30">
        <f>IFERROR(INDEX(TRANSACCIONES!$A$2:$A$1000,SMALL(IF(UPPER(TRANSACCIONES!$L$2:$L$1000)="PENDIENTE",ROW(TRANSACCIONES!$L$2:$L$1000)-ROW(TRANSACCIONES!$L$2)+1),25)),"")</f>
        <v/>
      </c>
      <c r="B30">
        <f>IFERROR(INDEX(TRANSACCIONES!$E$2:$E$1000,SMALL(IF(UPPER(TRANSACCIONES!$L$2:$L$1000)="PENDIENTE",ROW(TRANSACCIONES!$L$2:$L$1000)-ROW(TRANSACCIONES!$L$2)+1),25)),"")</f>
        <v/>
      </c>
      <c r="C30">
        <f>IFERROR(INDEX(TRANSACCIONES!$F$2:$F$1000,SMALL(IF(UPPER(TRANSACCIONES!$L$2:$L$1000)="PENDIENTE",ROW(TRANSACCIONES!$L$2:$L$1000)-ROW(TRANSACCIONES!$L$2)+1),25)),"")</f>
        <v/>
      </c>
      <c r="D30" s="9">
        <f>IFERROR(INDEX(TRANSACCIONES!$I$2:$I$1000,SMALL(IF(UPPER(TRANSACCIONES!$L$2:$L$1000)="PENDIENTE",ROW(TRANSACCIONES!$L$2:$L$1000)-ROW(TRANSACCIONES!$L$2)+1),25)),"")</f>
        <v/>
      </c>
      <c r="E30">
        <f>IFERROR(INDEX(TRANSACCIONES!$N$2:$N$1000,SMALL(IF(UPPER(TRANSACCIONES!$L$2:$L$1000)="PENDIENTE",ROW(TRANSACCIONES!$L$2:$L$1000)-ROW(TRANSACCIONES!$L$2)+1),25)),"")</f>
        <v/>
      </c>
      <c r="F30">
        <f>IF(A30="","",TODAY()-A30)</f>
        <v/>
      </c>
      <c r="G30">
        <f>IF(A30="","",IF(E30&lt;TODAY(),"VENCIDO",IF(E30&lt;=TODAY()+7,"POR VENCER","AL DÍA")))</f>
        <v/>
      </c>
      <c r="H30">
        <f>IFERROR(INDEX(TRANSACCIONES!$K$2:$K$1000,SMALL(IF(UPPER(TRANSACCIONES!$L$2:$L$1000)="PENDIENTE",ROW(TRANSACCIONES!$L$2:$L$1000)-ROW(TRANSACCIONES!$L$2)+1),25)),"")</f>
        <v/>
      </c>
    </row>
    <row r="31">
      <c r="A31">
        <f>IFERROR(INDEX(TRANSACCIONES!$A$2:$A$1000,SMALL(IF(UPPER(TRANSACCIONES!$L$2:$L$1000)="PENDIENTE",ROW(TRANSACCIONES!$L$2:$L$1000)-ROW(TRANSACCIONES!$L$2)+1),26)),"")</f>
        <v/>
      </c>
      <c r="B31">
        <f>IFERROR(INDEX(TRANSACCIONES!$E$2:$E$1000,SMALL(IF(UPPER(TRANSACCIONES!$L$2:$L$1000)="PENDIENTE",ROW(TRANSACCIONES!$L$2:$L$1000)-ROW(TRANSACCIONES!$L$2)+1),26)),"")</f>
        <v/>
      </c>
      <c r="C31">
        <f>IFERROR(INDEX(TRANSACCIONES!$F$2:$F$1000,SMALL(IF(UPPER(TRANSACCIONES!$L$2:$L$1000)="PENDIENTE",ROW(TRANSACCIONES!$L$2:$L$1000)-ROW(TRANSACCIONES!$L$2)+1),26)),"")</f>
        <v/>
      </c>
      <c r="D31" s="9">
        <f>IFERROR(INDEX(TRANSACCIONES!$I$2:$I$1000,SMALL(IF(UPPER(TRANSACCIONES!$L$2:$L$1000)="PENDIENTE",ROW(TRANSACCIONES!$L$2:$L$1000)-ROW(TRANSACCIONES!$L$2)+1),26)),"")</f>
        <v/>
      </c>
      <c r="E31">
        <f>IFERROR(INDEX(TRANSACCIONES!$N$2:$N$1000,SMALL(IF(UPPER(TRANSACCIONES!$L$2:$L$1000)="PENDIENTE",ROW(TRANSACCIONES!$L$2:$L$1000)-ROW(TRANSACCIONES!$L$2)+1),26)),"")</f>
        <v/>
      </c>
      <c r="F31">
        <f>IF(A31="","",TODAY()-A31)</f>
        <v/>
      </c>
      <c r="G31">
        <f>IF(A31="","",IF(E31&lt;TODAY(),"VENCIDO",IF(E31&lt;=TODAY()+7,"POR VENCER","AL DÍA")))</f>
        <v/>
      </c>
      <c r="H31">
        <f>IFERROR(INDEX(TRANSACCIONES!$K$2:$K$1000,SMALL(IF(UPPER(TRANSACCIONES!$L$2:$L$1000)="PENDIENTE",ROW(TRANSACCIONES!$L$2:$L$1000)-ROW(TRANSACCIONES!$L$2)+1),26)),"")</f>
        <v/>
      </c>
    </row>
    <row r="32">
      <c r="A32">
        <f>IFERROR(INDEX(TRANSACCIONES!$A$2:$A$1000,SMALL(IF(UPPER(TRANSACCIONES!$L$2:$L$1000)="PENDIENTE",ROW(TRANSACCIONES!$L$2:$L$1000)-ROW(TRANSACCIONES!$L$2)+1),27)),"")</f>
        <v/>
      </c>
      <c r="B32">
        <f>IFERROR(INDEX(TRANSACCIONES!$E$2:$E$1000,SMALL(IF(UPPER(TRANSACCIONES!$L$2:$L$1000)="PENDIENTE",ROW(TRANSACCIONES!$L$2:$L$1000)-ROW(TRANSACCIONES!$L$2)+1),27)),"")</f>
        <v/>
      </c>
      <c r="C32">
        <f>IFERROR(INDEX(TRANSACCIONES!$F$2:$F$1000,SMALL(IF(UPPER(TRANSACCIONES!$L$2:$L$1000)="PENDIENTE",ROW(TRANSACCIONES!$L$2:$L$1000)-ROW(TRANSACCIONES!$L$2)+1),27)),"")</f>
        <v/>
      </c>
      <c r="D32" s="9">
        <f>IFERROR(INDEX(TRANSACCIONES!$I$2:$I$1000,SMALL(IF(UPPER(TRANSACCIONES!$L$2:$L$1000)="PENDIENTE",ROW(TRANSACCIONES!$L$2:$L$1000)-ROW(TRANSACCIONES!$L$2)+1),27)),"")</f>
        <v/>
      </c>
      <c r="E32">
        <f>IFERROR(INDEX(TRANSACCIONES!$N$2:$N$1000,SMALL(IF(UPPER(TRANSACCIONES!$L$2:$L$1000)="PENDIENTE",ROW(TRANSACCIONES!$L$2:$L$1000)-ROW(TRANSACCIONES!$L$2)+1),27)),"")</f>
        <v/>
      </c>
      <c r="F32">
        <f>IF(A32="","",TODAY()-A32)</f>
        <v/>
      </c>
      <c r="G32">
        <f>IF(A32="","",IF(E32&lt;TODAY(),"VENCIDO",IF(E32&lt;=TODAY()+7,"POR VENCER","AL DÍA")))</f>
        <v/>
      </c>
      <c r="H32">
        <f>IFERROR(INDEX(TRANSACCIONES!$K$2:$K$1000,SMALL(IF(UPPER(TRANSACCIONES!$L$2:$L$1000)="PENDIENTE",ROW(TRANSACCIONES!$L$2:$L$1000)-ROW(TRANSACCIONES!$L$2)+1),27)),"")</f>
        <v/>
      </c>
    </row>
    <row r="33">
      <c r="A33">
        <f>IFERROR(INDEX(TRANSACCIONES!$A$2:$A$1000,SMALL(IF(UPPER(TRANSACCIONES!$L$2:$L$1000)="PENDIENTE",ROW(TRANSACCIONES!$L$2:$L$1000)-ROW(TRANSACCIONES!$L$2)+1),28)),"")</f>
        <v/>
      </c>
      <c r="B33">
        <f>IFERROR(INDEX(TRANSACCIONES!$E$2:$E$1000,SMALL(IF(UPPER(TRANSACCIONES!$L$2:$L$1000)="PENDIENTE",ROW(TRANSACCIONES!$L$2:$L$1000)-ROW(TRANSACCIONES!$L$2)+1),28)),"")</f>
        <v/>
      </c>
      <c r="C33">
        <f>IFERROR(INDEX(TRANSACCIONES!$F$2:$F$1000,SMALL(IF(UPPER(TRANSACCIONES!$L$2:$L$1000)="PENDIENTE",ROW(TRANSACCIONES!$L$2:$L$1000)-ROW(TRANSACCIONES!$L$2)+1),28)),"")</f>
        <v/>
      </c>
      <c r="D33" s="9">
        <f>IFERROR(INDEX(TRANSACCIONES!$I$2:$I$1000,SMALL(IF(UPPER(TRANSACCIONES!$L$2:$L$1000)="PENDIENTE",ROW(TRANSACCIONES!$L$2:$L$1000)-ROW(TRANSACCIONES!$L$2)+1),28)),"")</f>
        <v/>
      </c>
      <c r="E33">
        <f>IFERROR(INDEX(TRANSACCIONES!$N$2:$N$1000,SMALL(IF(UPPER(TRANSACCIONES!$L$2:$L$1000)="PENDIENTE",ROW(TRANSACCIONES!$L$2:$L$1000)-ROW(TRANSACCIONES!$L$2)+1),28)),"")</f>
        <v/>
      </c>
      <c r="F33">
        <f>IF(A33="","",TODAY()-A33)</f>
        <v/>
      </c>
      <c r="G33">
        <f>IF(A33="","",IF(E33&lt;TODAY(),"VENCIDO",IF(E33&lt;=TODAY()+7,"POR VENCER","AL DÍA")))</f>
        <v/>
      </c>
      <c r="H33">
        <f>IFERROR(INDEX(TRANSACCIONES!$K$2:$K$1000,SMALL(IF(UPPER(TRANSACCIONES!$L$2:$L$1000)="PENDIENTE",ROW(TRANSACCIONES!$L$2:$L$1000)-ROW(TRANSACCIONES!$L$2)+1),28)),"")</f>
        <v/>
      </c>
    </row>
    <row r="34">
      <c r="A34">
        <f>IFERROR(INDEX(TRANSACCIONES!$A$2:$A$1000,SMALL(IF(UPPER(TRANSACCIONES!$L$2:$L$1000)="PENDIENTE",ROW(TRANSACCIONES!$L$2:$L$1000)-ROW(TRANSACCIONES!$L$2)+1),29)),"")</f>
        <v/>
      </c>
      <c r="B34">
        <f>IFERROR(INDEX(TRANSACCIONES!$E$2:$E$1000,SMALL(IF(UPPER(TRANSACCIONES!$L$2:$L$1000)="PENDIENTE",ROW(TRANSACCIONES!$L$2:$L$1000)-ROW(TRANSACCIONES!$L$2)+1),29)),"")</f>
        <v/>
      </c>
      <c r="C34">
        <f>IFERROR(INDEX(TRANSACCIONES!$F$2:$F$1000,SMALL(IF(UPPER(TRANSACCIONES!$L$2:$L$1000)="PENDIENTE",ROW(TRANSACCIONES!$L$2:$L$1000)-ROW(TRANSACCIONES!$L$2)+1),29)),"")</f>
        <v/>
      </c>
      <c r="D34" s="9">
        <f>IFERROR(INDEX(TRANSACCIONES!$I$2:$I$1000,SMALL(IF(UPPER(TRANSACCIONES!$L$2:$L$1000)="PENDIENTE",ROW(TRANSACCIONES!$L$2:$L$1000)-ROW(TRANSACCIONES!$L$2)+1),29)),"")</f>
        <v/>
      </c>
      <c r="E34">
        <f>IFERROR(INDEX(TRANSACCIONES!$N$2:$N$1000,SMALL(IF(UPPER(TRANSACCIONES!$L$2:$L$1000)="PENDIENTE",ROW(TRANSACCIONES!$L$2:$L$1000)-ROW(TRANSACCIONES!$L$2)+1),29)),"")</f>
        <v/>
      </c>
      <c r="F34">
        <f>IF(A34="","",TODAY()-A34)</f>
        <v/>
      </c>
      <c r="G34">
        <f>IF(A34="","",IF(E34&lt;TODAY(),"VENCIDO",IF(E34&lt;=TODAY()+7,"POR VENCER","AL DÍA")))</f>
        <v/>
      </c>
      <c r="H34">
        <f>IFERROR(INDEX(TRANSACCIONES!$K$2:$K$1000,SMALL(IF(UPPER(TRANSACCIONES!$L$2:$L$1000)="PENDIENTE",ROW(TRANSACCIONES!$L$2:$L$1000)-ROW(TRANSACCIONES!$L$2)+1),29)),"")</f>
        <v/>
      </c>
    </row>
    <row r="35">
      <c r="A35">
        <f>IFERROR(INDEX(TRANSACCIONES!$A$2:$A$1000,SMALL(IF(UPPER(TRANSACCIONES!$L$2:$L$1000)="PENDIENTE",ROW(TRANSACCIONES!$L$2:$L$1000)-ROW(TRANSACCIONES!$L$2)+1),30)),"")</f>
        <v/>
      </c>
      <c r="B35">
        <f>IFERROR(INDEX(TRANSACCIONES!$E$2:$E$1000,SMALL(IF(UPPER(TRANSACCIONES!$L$2:$L$1000)="PENDIENTE",ROW(TRANSACCIONES!$L$2:$L$1000)-ROW(TRANSACCIONES!$L$2)+1),30)),"")</f>
        <v/>
      </c>
      <c r="C35">
        <f>IFERROR(INDEX(TRANSACCIONES!$F$2:$F$1000,SMALL(IF(UPPER(TRANSACCIONES!$L$2:$L$1000)="PENDIENTE",ROW(TRANSACCIONES!$L$2:$L$1000)-ROW(TRANSACCIONES!$L$2)+1),30)),"")</f>
        <v/>
      </c>
      <c r="D35" s="9">
        <f>IFERROR(INDEX(TRANSACCIONES!$I$2:$I$1000,SMALL(IF(UPPER(TRANSACCIONES!$L$2:$L$1000)="PENDIENTE",ROW(TRANSACCIONES!$L$2:$L$1000)-ROW(TRANSACCIONES!$L$2)+1),30)),"")</f>
        <v/>
      </c>
      <c r="E35">
        <f>IFERROR(INDEX(TRANSACCIONES!$N$2:$N$1000,SMALL(IF(UPPER(TRANSACCIONES!$L$2:$L$1000)="PENDIENTE",ROW(TRANSACCIONES!$L$2:$L$1000)-ROW(TRANSACCIONES!$L$2)+1),30)),"")</f>
        <v/>
      </c>
      <c r="F35">
        <f>IF(A35="","",TODAY()-A35)</f>
        <v/>
      </c>
      <c r="G35">
        <f>IF(A35="","",IF(E35&lt;TODAY(),"VENCIDO",IF(E35&lt;=TODAY()+7,"POR VENCER","AL DÍA")))</f>
        <v/>
      </c>
      <c r="H35">
        <f>IFERROR(INDEX(TRANSACCIONES!$K$2:$K$1000,SMALL(IF(UPPER(TRANSACCIONES!$L$2:$L$1000)="PENDIENTE",ROW(TRANSACCIONES!$L$2:$L$1000)-ROW(TRANSACCIONES!$L$2)+1),30)),"")</f>
        <v/>
      </c>
    </row>
    <row r="36">
      <c r="A36">
        <f>IFERROR(INDEX(TRANSACCIONES!$A$2:$A$1000,SMALL(IF(UPPER(TRANSACCIONES!$L$2:$L$1000)="PENDIENTE",ROW(TRANSACCIONES!$L$2:$L$1000)-ROW(TRANSACCIONES!$L$2)+1),31)),"")</f>
        <v/>
      </c>
      <c r="B36">
        <f>IFERROR(INDEX(TRANSACCIONES!$E$2:$E$1000,SMALL(IF(UPPER(TRANSACCIONES!$L$2:$L$1000)="PENDIENTE",ROW(TRANSACCIONES!$L$2:$L$1000)-ROW(TRANSACCIONES!$L$2)+1),31)),"")</f>
        <v/>
      </c>
      <c r="C36">
        <f>IFERROR(INDEX(TRANSACCIONES!$F$2:$F$1000,SMALL(IF(UPPER(TRANSACCIONES!$L$2:$L$1000)="PENDIENTE",ROW(TRANSACCIONES!$L$2:$L$1000)-ROW(TRANSACCIONES!$L$2)+1),31)),"")</f>
        <v/>
      </c>
      <c r="D36" s="9">
        <f>IFERROR(INDEX(TRANSACCIONES!$I$2:$I$1000,SMALL(IF(UPPER(TRANSACCIONES!$L$2:$L$1000)="PENDIENTE",ROW(TRANSACCIONES!$L$2:$L$1000)-ROW(TRANSACCIONES!$L$2)+1),31)),"")</f>
        <v/>
      </c>
      <c r="E36">
        <f>IFERROR(INDEX(TRANSACCIONES!$N$2:$N$1000,SMALL(IF(UPPER(TRANSACCIONES!$L$2:$L$1000)="PENDIENTE",ROW(TRANSACCIONES!$L$2:$L$1000)-ROW(TRANSACCIONES!$L$2)+1),31)),"")</f>
        <v/>
      </c>
      <c r="F36">
        <f>IF(A36="","",TODAY()-A36)</f>
        <v/>
      </c>
      <c r="G36">
        <f>IF(A36="","",IF(E36&lt;TODAY(),"VENCIDO",IF(E36&lt;=TODAY()+7,"POR VENCER","AL DÍA")))</f>
        <v/>
      </c>
      <c r="H36">
        <f>IFERROR(INDEX(TRANSACCIONES!$K$2:$K$1000,SMALL(IF(UPPER(TRANSACCIONES!$L$2:$L$1000)="PENDIENTE",ROW(TRANSACCIONES!$L$2:$L$1000)-ROW(TRANSACCIONES!$L$2)+1),31)),"")</f>
        <v/>
      </c>
    </row>
    <row r="37">
      <c r="A37">
        <f>IFERROR(INDEX(TRANSACCIONES!$A$2:$A$1000,SMALL(IF(UPPER(TRANSACCIONES!$L$2:$L$1000)="PENDIENTE",ROW(TRANSACCIONES!$L$2:$L$1000)-ROW(TRANSACCIONES!$L$2)+1),32)),"")</f>
        <v/>
      </c>
      <c r="B37">
        <f>IFERROR(INDEX(TRANSACCIONES!$E$2:$E$1000,SMALL(IF(UPPER(TRANSACCIONES!$L$2:$L$1000)="PENDIENTE",ROW(TRANSACCIONES!$L$2:$L$1000)-ROW(TRANSACCIONES!$L$2)+1),32)),"")</f>
        <v/>
      </c>
      <c r="C37">
        <f>IFERROR(INDEX(TRANSACCIONES!$F$2:$F$1000,SMALL(IF(UPPER(TRANSACCIONES!$L$2:$L$1000)="PENDIENTE",ROW(TRANSACCIONES!$L$2:$L$1000)-ROW(TRANSACCIONES!$L$2)+1),32)),"")</f>
        <v/>
      </c>
      <c r="D37" s="9">
        <f>IFERROR(INDEX(TRANSACCIONES!$I$2:$I$1000,SMALL(IF(UPPER(TRANSACCIONES!$L$2:$L$1000)="PENDIENTE",ROW(TRANSACCIONES!$L$2:$L$1000)-ROW(TRANSACCIONES!$L$2)+1),32)),"")</f>
        <v/>
      </c>
      <c r="E37">
        <f>IFERROR(INDEX(TRANSACCIONES!$N$2:$N$1000,SMALL(IF(UPPER(TRANSACCIONES!$L$2:$L$1000)="PENDIENTE",ROW(TRANSACCIONES!$L$2:$L$1000)-ROW(TRANSACCIONES!$L$2)+1),32)),"")</f>
        <v/>
      </c>
      <c r="F37">
        <f>IF(A37="","",TODAY()-A37)</f>
        <v/>
      </c>
      <c r="G37">
        <f>IF(A37="","",IF(E37&lt;TODAY(),"VENCIDO",IF(E37&lt;=TODAY()+7,"POR VENCER","AL DÍA")))</f>
        <v/>
      </c>
      <c r="H37">
        <f>IFERROR(INDEX(TRANSACCIONES!$K$2:$K$1000,SMALL(IF(UPPER(TRANSACCIONES!$L$2:$L$1000)="PENDIENTE",ROW(TRANSACCIONES!$L$2:$L$1000)-ROW(TRANSACCIONES!$L$2)+1),32)),"")</f>
        <v/>
      </c>
    </row>
    <row r="38">
      <c r="A38">
        <f>IFERROR(INDEX(TRANSACCIONES!$A$2:$A$1000,SMALL(IF(UPPER(TRANSACCIONES!$L$2:$L$1000)="PENDIENTE",ROW(TRANSACCIONES!$L$2:$L$1000)-ROW(TRANSACCIONES!$L$2)+1),33)),"")</f>
        <v/>
      </c>
      <c r="B38">
        <f>IFERROR(INDEX(TRANSACCIONES!$E$2:$E$1000,SMALL(IF(UPPER(TRANSACCIONES!$L$2:$L$1000)="PENDIENTE",ROW(TRANSACCIONES!$L$2:$L$1000)-ROW(TRANSACCIONES!$L$2)+1),33)),"")</f>
        <v/>
      </c>
      <c r="C38">
        <f>IFERROR(INDEX(TRANSACCIONES!$F$2:$F$1000,SMALL(IF(UPPER(TRANSACCIONES!$L$2:$L$1000)="PENDIENTE",ROW(TRANSACCIONES!$L$2:$L$1000)-ROW(TRANSACCIONES!$L$2)+1),33)),"")</f>
        <v/>
      </c>
      <c r="D38" s="9">
        <f>IFERROR(INDEX(TRANSACCIONES!$I$2:$I$1000,SMALL(IF(UPPER(TRANSACCIONES!$L$2:$L$1000)="PENDIENTE",ROW(TRANSACCIONES!$L$2:$L$1000)-ROW(TRANSACCIONES!$L$2)+1),33)),"")</f>
        <v/>
      </c>
      <c r="E38">
        <f>IFERROR(INDEX(TRANSACCIONES!$N$2:$N$1000,SMALL(IF(UPPER(TRANSACCIONES!$L$2:$L$1000)="PENDIENTE",ROW(TRANSACCIONES!$L$2:$L$1000)-ROW(TRANSACCIONES!$L$2)+1),33)),"")</f>
        <v/>
      </c>
      <c r="F38">
        <f>IF(A38="","",TODAY()-A38)</f>
        <v/>
      </c>
      <c r="G38">
        <f>IF(A38="","",IF(E38&lt;TODAY(),"VENCIDO",IF(E38&lt;=TODAY()+7,"POR VENCER","AL DÍA")))</f>
        <v/>
      </c>
      <c r="H38">
        <f>IFERROR(INDEX(TRANSACCIONES!$K$2:$K$1000,SMALL(IF(UPPER(TRANSACCIONES!$L$2:$L$1000)="PENDIENTE",ROW(TRANSACCIONES!$L$2:$L$1000)-ROW(TRANSACCIONES!$L$2)+1),33)),"")</f>
        <v/>
      </c>
    </row>
    <row r="39">
      <c r="A39">
        <f>IFERROR(INDEX(TRANSACCIONES!$A$2:$A$1000,SMALL(IF(UPPER(TRANSACCIONES!$L$2:$L$1000)="PENDIENTE",ROW(TRANSACCIONES!$L$2:$L$1000)-ROW(TRANSACCIONES!$L$2)+1),34)),"")</f>
        <v/>
      </c>
      <c r="B39">
        <f>IFERROR(INDEX(TRANSACCIONES!$E$2:$E$1000,SMALL(IF(UPPER(TRANSACCIONES!$L$2:$L$1000)="PENDIENTE",ROW(TRANSACCIONES!$L$2:$L$1000)-ROW(TRANSACCIONES!$L$2)+1),34)),"")</f>
        <v/>
      </c>
      <c r="C39">
        <f>IFERROR(INDEX(TRANSACCIONES!$F$2:$F$1000,SMALL(IF(UPPER(TRANSACCIONES!$L$2:$L$1000)="PENDIENTE",ROW(TRANSACCIONES!$L$2:$L$1000)-ROW(TRANSACCIONES!$L$2)+1),34)),"")</f>
        <v/>
      </c>
      <c r="D39" s="9">
        <f>IFERROR(INDEX(TRANSACCIONES!$I$2:$I$1000,SMALL(IF(UPPER(TRANSACCIONES!$L$2:$L$1000)="PENDIENTE",ROW(TRANSACCIONES!$L$2:$L$1000)-ROW(TRANSACCIONES!$L$2)+1),34)),"")</f>
        <v/>
      </c>
      <c r="E39">
        <f>IFERROR(INDEX(TRANSACCIONES!$N$2:$N$1000,SMALL(IF(UPPER(TRANSACCIONES!$L$2:$L$1000)="PENDIENTE",ROW(TRANSACCIONES!$L$2:$L$1000)-ROW(TRANSACCIONES!$L$2)+1),34)),"")</f>
        <v/>
      </c>
      <c r="F39">
        <f>IF(A39="","",TODAY()-A39)</f>
        <v/>
      </c>
      <c r="G39">
        <f>IF(A39="","",IF(E39&lt;TODAY(),"VENCIDO",IF(E39&lt;=TODAY()+7,"POR VENCER","AL DÍA")))</f>
        <v/>
      </c>
      <c r="H39">
        <f>IFERROR(INDEX(TRANSACCIONES!$K$2:$K$1000,SMALL(IF(UPPER(TRANSACCIONES!$L$2:$L$1000)="PENDIENTE",ROW(TRANSACCIONES!$L$2:$L$1000)-ROW(TRANSACCIONES!$L$2)+1),34)),"")</f>
        <v/>
      </c>
    </row>
    <row r="40">
      <c r="A40">
        <f>IFERROR(INDEX(TRANSACCIONES!$A$2:$A$1000,SMALL(IF(UPPER(TRANSACCIONES!$L$2:$L$1000)="PENDIENTE",ROW(TRANSACCIONES!$L$2:$L$1000)-ROW(TRANSACCIONES!$L$2)+1),35)),"")</f>
        <v/>
      </c>
      <c r="B40">
        <f>IFERROR(INDEX(TRANSACCIONES!$E$2:$E$1000,SMALL(IF(UPPER(TRANSACCIONES!$L$2:$L$1000)="PENDIENTE",ROW(TRANSACCIONES!$L$2:$L$1000)-ROW(TRANSACCIONES!$L$2)+1),35)),"")</f>
        <v/>
      </c>
      <c r="C40">
        <f>IFERROR(INDEX(TRANSACCIONES!$F$2:$F$1000,SMALL(IF(UPPER(TRANSACCIONES!$L$2:$L$1000)="PENDIENTE",ROW(TRANSACCIONES!$L$2:$L$1000)-ROW(TRANSACCIONES!$L$2)+1),35)),"")</f>
        <v/>
      </c>
      <c r="D40" s="9">
        <f>IFERROR(INDEX(TRANSACCIONES!$I$2:$I$1000,SMALL(IF(UPPER(TRANSACCIONES!$L$2:$L$1000)="PENDIENTE",ROW(TRANSACCIONES!$L$2:$L$1000)-ROW(TRANSACCIONES!$L$2)+1),35)),"")</f>
        <v/>
      </c>
      <c r="E40">
        <f>IFERROR(INDEX(TRANSACCIONES!$N$2:$N$1000,SMALL(IF(UPPER(TRANSACCIONES!$L$2:$L$1000)="PENDIENTE",ROW(TRANSACCIONES!$L$2:$L$1000)-ROW(TRANSACCIONES!$L$2)+1),35)),"")</f>
        <v/>
      </c>
      <c r="F40">
        <f>IF(A40="","",TODAY()-A40)</f>
        <v/>
      </c>
      <c r="G40">
        <f>IF(A40="","",IF(E40&lt;TODAY(),"VENCIDO",IF(E40&lt;=TODAY()+7,"POR VENCER","AL DÍA")))</f>
        <v/>
      </c>
      <c r="H40">
        <f>IFERROR(INDEX(TRANSACCIONES!$K$2:$K$1000,SMALL(IF(UPPER(TRANSACCIONES!$L$2:$L$1000)="PENDIENTE",ROW(TRANSACCIONES!$L$2:$L$1000)-ROW(TRANSACCIONES!$L$2)+1),35)),"")</f>
        <v/>
      </c>
    </row>
    <row r="41">
      <c r="A41">
        <f>IFERROR(INDEX(TRANSACCIONES!$A$2:$A$1000,SMALL(IF(UPPER(TRANSACCIONES!$L$2:$L$1000)="PENDIENTE",ROW(TRANSACCIONES!$L$2:$L$1000)-ROW(TRANSACCIONES!$L$2)+1),36)),"")</f>
        <v/>
      </c>
      <c r="B41">
        <f>IFERROR(INDEX(TRANSACCIONES!$E$2:$E$1000,SMALL(IF(UPPER(TRANSACCIONES!$L$2:$L$1000)="PENDIENTE",ROW(TRANSACCIONES!$L$2:$L$1000)-ROW(TRANSACCIONES!$L$2)+1),36)),"")</f>
        <v/>
      </c>
      <c r="C41">
        <f>IFERROR(INDEX(TRANSACCIONES!$F$2:$F$1000,SMALL(IF(UPPER(TRANSACCIONES!$L$2:$L$1000)="PENDIENTE",ROW(TRANSACCIONES!$L$2:$L$1000)-ROW(TRANSACCIONES!$L$2)+1),36)),"")</f>
        <v/>
      </c>
      <c r="D41" s="9">
        <f>IFERROR(INDEX(TRANSACCIONES!$I$2:$I$1000,SMALL(IF(UPPER(TRANSACCIONES!$L$2:$L$1000)="PENDIENTE",ROW(TRANSACCIONES!$L$2:$L$1000)-ROW(TRANSACCIONES!$L$2)+1),36)),"")</f>
        <v/>
      </c>
      <c r="E41">
        <f>IFERROR(INDEX(TRANSACCIONES!$N$2:$N$1000,SMALL(IF(UPPER(TRANSACCIONES!$L$2:$L$1000)="PENDIENTE",ROW(TRANSACCIONES!$L$2:$L$1000)-ROW(TRANSACCIONES!$L$2)+1),36)),"")</f>
        <v/>
      </c>
      <c r="F41">
        <f>IF(A41="","",TODAY()-A41)</f>
        <v/>
      </c>
      <c r="G41">
        <f>IF(A41="","",IF(E41&lt;TODAY(),"VENCIDO",IF(E41&lt;=TODAY()+7,"POR VENCER","AL DÍA")))</f>
        <v/>
      </c>
      <c r="H41">
        <f>IFERROR(INDEX(TRANSACCIONES!$K$2:$K$1000,SMALL(IF(UPPER(TRANSACCIONES!$L$2:$L$1000)="PENDIENTE",ROW(TRANSACCIONES!$L$2:$L$1000)-ROW(TRANSACCIONES!$L$2)+1),36)),"")</f>
        <v/>
      </c>
    </row>
    <row r="42">
      <c r="A42">
        <f>IFERROR(INDEX(TRANSACCIONES!$A$2:$A$1000,SMALL(IF(UPPER(TRANSACCIONES!$L$2:$L$1000)="PENDIENTE",ROW(TRANSACCIONES!$L$2:$L$1000)-ROW(TRANSACCIONES!$L$2)+1),37)),"")</f>
        <v/>
      </c>
      <c r="B42">
        <f>IFERROR(INDEX(TRANSACCIONES!$E$2:$E$1000,SMALL(IF(UPPER(TRANSACCIONES!$L$2:$L$1000)="PENDIENTE",ROW(TRANSACCIONES!$L$2:$L$1000)-ROW(TRANSACCIONES!$L$2)+1),37)),"")</f>
        <v/>
      </c>
      <c r="C42">
        <f>IFERROR(INDEX(TRANSACCIONES!$F$2:$F$1000,SMALL(IF(UPPER(TRANSACCIONES!$L$2:$L$1000)="PENDIENTE",ROW(TRANSACCIONES!$L$2:$L$1000)-ROW(TRANSACCIONES!$L$2)+1),37)),"")</f>
        <v/>
      </c>
      <c r="D42" s="9">
        <f>IFERROR(INDEX(TRANSACCIONES!$I$2:$I$1000,SMALL(IF(UPPER(TRANSACCIONES!$L$2:$L$1000)="PENDIENTE",ROW(TRANSACCIONES!$L$2:$L$1000)-ROW(TRANSACCIONES!$L$2)+1),37)),"")</f>
        <v/>
      </c>
      <c r="E42">
        <f>IFERROR(INDEX(TRANSACCIONES!$N$2:$N$1000,SMALL(IF(UPPER(TRANSACCIONES!$L$2:$L$1000)="PENDIENTE",ROW(TRANSACCIONES!$L$2:$L$1000)-ROW(TRANSACCIONES!$L$2)+1),37)),"")</f>
        <v/>
      </c>
      <c r="F42">
        <f>IF(A42="","",TODAY()-A42)</f>
        <v/>
      </c>
      <c r="G42">
        <f>IF(A42="","",IF(E42&lt;TODAY(),"VENCIDO",IF(E42&lt;=TODAY()+7,"POR VENCER","AL DÍA")))</f>
        <v/>
      </c>
      <c r="H42">
        <f>IFERROR(INDEX(TRANSACCIONES!$K$2:$K$1000,SMALL(IF(UPPER(TRANSACCIONES!$L$2:$L$1000)="PENDIENTE",ROW(TRANSACCIONES!$L$2:$L$1000)-ROW(TRANSACCIONES!$L$2)+1),37)),"")</f>
        <v/>
      </c>
    </row>
    <row r="43">
      <c r="A43">
        <f>IFERROR(INDEX(TRANSACCIONES!$A$2:$A$1000,SMALL(IF(UPPER(TRANSACCIONES!$L$2:$L$1000)="PENDIENTE",ROW(TRANSACCIONES!$L$2:$L$1000)-ROW(TRANSACCIONES!$L$2)+1),38)),"")</f>
        <v/>
      </c>
      <c r="B43">
        <f>IFERROR(INDEX(TRANSACCIONES!$E$2:$E$1000,SMALL(IF(UPPER(TRANSACCIONES!$L$2:$L$1000)="PENDIENTE",ROW(TRANSACCIONES!$L$2:$L$1000)-ROW(TRANSACCIONES!$L$2)+1),38)),"")</f>
        <v/>
      </c>
      <c r="C43">
        <f>IFERROR(INDEX(TRANSACCIONES!$F$2:$F$1000,SMALL(IF(UPPER(TRANSACCIONES!$L$2:$L$1000)="PENDIENTE",ROW(TRANSACCIONES!$L$2:$L$1000)-ROW(TRANSACCIONES!$L$2)+1),38)),"")</f>
        <v/>
      </c>
      <c r="D43" s="9">
        <f>IFERROR(INDEX(TRANSACCIONES!$I$2:$I$1000,SMALL(IF(UPPER(TRANSACCIONES!$L$2:$L$1000)="PENDIENTE",ROW(TRANSACCIONES!$L$2:$L$1000)-ROW(TRANSACCIONES!$L$2)+1),38)),"")</f>
        <v/>
      </c>
      <c r="E43">
        <f>IFERROR(INDEX(TRANSACCIONES!$N$2:$N$1000,SMALL(IF(UPPER(TRANSACCIONES!$L$2:$L$1000)="PENDIENTE",ROW(TRANSACCIONES!$L$2:$L$1000)-ROW(TRANSACCIONES!$L$2)+1),38)),"")</f>
        <v/>
      </c>
      <c r="F43">
        <f>IF(A43="","",TODAY()-A43)</f>
        <v/>
      </c>
      <c r="G43">
        <f>IF(A43="","",IF(E43&lt;TODAY(),"VENCIDO",IF(E43&lt;=TODAY()+7,"POR VENCER","AL DÍA")))</f>
        <v/>
      </c>
      <c r="H43">
        <f>IFERROR(INDEX(TRANSACCIONES!$K$2:$K$1000,SMALL(IF(UPPER(TRANSACCIONES!$L$2:$L$1000)="PENDIENTE",ROW(TRANSACCIONES!$L$2:$L$1000)-ROW(TRANSACCIONES!$L$2)+1),38)),"")</f>
        <v/>
      </c>
    </row>
    <row r="44">
      <c r="A44">
        <f>IFERROR(INDEX(TRANSACCIONES!$A$2:$A$1000,SMALL(IF(UPPER(TRANSACCIONES!$L$2:$L$1000)="PENDIENTE",ROW(TRANSACCIONES!$L$2:$L$1000)-ROW(TRANSACCIONES!$L$2)+1),39)),"")</f>
        <v/>
      </c>
      <c r="B44">
        <f>IFERROR(INDEX(TRANSACCIONES!$E$2:$E$1000,SMALL(IF(UPPER(TRANSACCIONES!$L$2:$L$1000)="PENDIENTE",ROW(TRANSACCIONES!$L$2:$L$1000)-ROW(TRANSACCIONES!$L$2)+1),39)),"")</f>
        <v/>
      </c>
      <c r="C44">
        <f>IFERROR(INDEX(TRANSACCIONES!$F$2:$F$1000,SMALL(IF(UPPER(TRANSACCIONES!$L$2:$L$1000)="PENDIENTE",ROW(TRANSACCIONES!$L$2:$L$1000)-ROW(TRANSACCIONES!$L$2)+1),39)),"")</f>
        <v/>
      </c>
      <c r="D44" s="9">
        <f>IFERROR(INDEX(TRANSACCIONES!$I$2:$I$1000,SMALL(IF(UPPER(TRANSACCIONES!$L$2:$L$1000)="PENDIENTE",ROW(TRANSACCIONES!$L$2:$L$1000)-ROW(TRANSACCIONES!$L$2)+1),39)),"")</f>
        <v/>
      </c>
      <c r="E44">
        <f>IFERROR(INDEX(TRANSACCIONES!$N$2:$N$1000,SMALL(IF(UPPER(TRANSACCIONES!$L$2:$L$1000)="PENDIENTE",ROW(TRANSACCIONES!$L$2:$L$1000)-ROW(TRANSACCIONES!$L$2)+1),39)),"")</f>
        <v/>
      </c>
      <c r="F44">
        <f>IF(A44="","",TODAY()-A44)</f>
        <v/>
      </c>
      <c r="G44">
        <f>IF(A44="","",IF(E44&lt;TODAY(),"VENCIDO",IF(E44&lt;=TODAY()+7,"POR VENCER","AL DÍA")))</f>
        <v/>
      </c>
      <c r="H44">
        <f>IFERROR(INDEX(TRANSACCIONES!$K$2:$K$1000,SMALL(IF(UPPER(TRANSACCIONES!$L$2:$L$1000)="PENDIENTE",ROW(TRANSACCIONES!$L$2:$L$1000)-ROW(TRANSACCIONES!$L$2)+1),39)),"")</f>
        <v/>
      </c>
    </row>
    <row r="45">
      <c r="A45">
        <f>IFERROR(INDEX(TRANSACCIONES!$A$2:$A$1000,SMALL(IF(UPPER(TRANSACCIONES!$L$2:$L$1000)="PENDIENTE",ROW(TRANSACCIONES!$L$2:$L$1000)-ROW(TRANSACCIONES!$L$2)+1),40)),"")</f>
        <v/>
      </c>
      <c r="B45">
        <f>IFERROR(INDEX(TRANSACCIONES!$E$2:$E$1000,SMALL(IF(UPPER(TRANSACCIONES!$L$2:$L$1000)="PENDIENTE",ROW(TRANSACCIONES!$L$2:$L$1000)-ROW(TRANSACCIONES!$L$2)+1),40)),"")</f>
        <v/>
      </c>
      <c r="C45">
        <f>IFERROR(INDEX(TRANSACCIONES!$F$2:$F$1000,SMALL(IF(UPPER(TRANSACCIONES!$L$2:$L$1000)="PENDIENTE",ROW(TRANSACCIONES!$L$2:$L$1000)-ROW(TRANSACCIONES!$L$2)+1),40)),"")</f>
        <v/>
      </c>
      <c r="D45" s="9">
        <f>IFERROR(INDEX(TRANSACCIONES!$I$2:$I$1000,SMALL(IF(UPPER(TRANSACCIONES!$L$2:$L$1000)="PENDIENTE",ROW(TRANSACCIONES!$L$2:$L$1000)-ROW(TRANSACCIONES!$L$2)+1),40)),"")</f>
        <v/>
      </c>
      <c r="E45">
        <f>IFERROR(INDEX(TRANSACCIONES!$N$2:$N$1000,SMALL(IF(UPPER(TRANSACCIONES!$L$2:$L$1000)="PENDIENTE",ROW(TRANSACCIONES!$L$2:$L$1000)-ROW(TRANSACCIONES!$L$2)+1),40)),"")</f>
        <v/>
      </c>
      <c r="F45">
        <f>IF(A45="","",TODAY()-A45)</f>
        <v/>
      </c>
      <c r="G45">
        <f>IF(A45="","",IF(E45&lt;TODAY(),"VENCIDO",IF(E45&lt;=TODAY()+7,"POR VENCER","AL DÍA")))</f>
        <v/>
      </c>
      <c r="H45">
        <f>IFERROR(INDEX(TRANSACCIONES!$K$2:$K$1000,SMALL(IF(UPPER(TRANSACCIONES!$L$2:$L$1000)="PENDIENTE",ROW(TRANSACCIONES!$L$2:$L$1000)-ROW(TRANSACCIONES!$L$2)+1),40)),"")</f>
        <v/>
      </c>
    </row>
    <row r="46">
      <c r="A46">
        <f>IFERROR(INDEX(TRANSACCIONES!$A$2:$A$1000,SMALL(IF(UPPER(TRANSACCIONES!$L$2:$L$1000)="PENDIENTE",ROW(TRANSACCIONES!$L$2:$L$1000)-ROW(TRANSACCIONES!$L$2)+1),41)),"")</f>
        <v/>
      </c>
      <c r="B46">
        <f>IFERROR(INDEX(TRANSACCIONES!$E$2:$E$1000,SMALL(IF(UPPER(TRANSACCIONES!$L$2:$L$1000)="PENDIENTE",ROW(TRANSACCIONES!$L$2:$L$1000)-ROW(TRANSACCIONES!$L$2)+1),41)),"")</f>
        <v/>
      </c>
      <c r="C46">
        <f>IFERROR(INDEX(TRANSACCIONES!$F$2:$F$1000,SMALL(IF(UPPER(TRANSACCIONES!$L$2:$L$1000)="PENDIENTE",ROW(TRANSACCIONES!$L$2:$L$1000)-ROW(TRANSACCIONES!$L$2)+1),41)),"")</f>
        <v/>
      </c>
      <c r="D46" s="9">
        <f>IFERROR(INDEX(TRANSACCIONES!$I$2:$I$1000,SMALL(IF(UPPER(TRANSACCIONES!$L$2:$L$1000)="PENDIENTE",ROW(TRANSACCIONES!$L$2:$L$1000)-ROW(TRANSACCIONES!$L$2)+1),41)),"")</f>
        <v/>
      </c>
      <c r="E46">
        <f>IFERROR(INDEX(TRANSACCIONES!$N$2:$N$1000,SMALL(IF(UPPER(TRANSACCIONES!$L$2:$L$1000)="PENDIENTE",ROW(TRANSACCIONES!$L$2:$L$1000)-ROW(TRANSACCIONES!$L$2)+1),41)),"")</f>
        <v/>
      </c>
      <c r="F46">
        <f>IF(A46="","",TODAY()-A46)</f>
        <v/>
      </c>
      <c r="G46">
        <f>IF(A46="","",IF(E46&lt;TODAY(),"VENCIDO",IF(E46&lt;=TODAY()+7,"POR VENCER","AL DÍA")))</f>
        <v/>
      </c>
      <c r="H46">
        <f>IFERROR(INDEX(TRANSACCIONES!$K$2:$K$1000,SMALL(IF(UPPER(TRANSACCIONES!$L$2:$L$1000)="PENDIENTE",ROW(TRANSACCIONES!$L$2:$L$1000)-ROW(TRANSACCIONES!$L$2)+1),41)),"")</f>
        <v/>
      </c>
    </row>
    <row r="47">
      <c r="A47">
        <f>IFERROR(INDEX(TRANSACCIONES!$A$2:$A$1000,SMALL(IF(UPPER(TRANSACCIONES!$L$2:$L$1000)="PENDIENTE",ROW(TRANSACCIONES!$L$2:$L$1000)-ROW(TRANSACCIONES!$L$2)+1),42)),"")</f>
        <v/>
      </c>
      <c r="B47">
        <f>IFERROR(INDEX(TRANSACCIONES!$E$2:$E$1000,SMALL(IF(UPPER(TRANSACCIONES!$L$2:$L$1000)="PENDIENTE",ROW(TRANSACCIONES!$L$2:$L$1000)-ROW(TRANSACCIONES!$L$2)+1),42)),"")</f>
        <v/>
      </c>
      <c r="C47">
        <f>IFERROR(INDEX(TRANSACCIONES!$F$2:$F$1000,SMALL(IF(UPPER(TRANSACCIONES!$L$2:$L$1000)="PENDIENTE",ROW(TRANSACCIONES!$L$2:$L$1000)-ROW(TRANSACCIONES!$L$2)+1),42)),"")</f>
        <v/>
      </c>
      <c r="D47" s="9">
        <f>IFERROR(INDEX(TRANSACCIONES!$I$2:$I$1000,SMALL(IF(UPPER(TRANSACCIONES!$L$2:$L$1000)="PENDIENTE",ROW(TRANSACCIONES!$L$2:$L$1000)-ROW(TRANSACCIONES!$L$2)+1),42)),"")</f>
        <v/>
      </c>
      <c r="E47">
        <f>IFERROR(INDEX(TRANSACCIONES!$N$2:$N$1000,SMALL(IF(UPPER(TRANSACCIONES!$L$2:$L$1000)="PENDIENTE",ROW(TRANSACCIONES!$L$2:$L$1000)-ROW(TRANSACCIONES!$L$2)+1),42)),"")</f>
        <v/>
      </c>
      <c r="F47">
        <f>IF(A47="","",TODAY()-A47)</f>
        <v/>
      </c>
      <c r="G47">
        <f>IF(A47="","",IF(E47&lt;TODAY(),"VENCIDO",IF(E47&lt;=TODAY()+7,"POR VENCER","AL DÍA")))</f>
        <v/>
      </c>
      <c r="H47">
        <f>IFERROR(INDEX(TRANSACCIONES!$K$2:$K$1000,SMALL(IF(UPPER(TRANSACCIONES!$L$2:$L$1000)="PENDIENTE",ROW(TRANSACCIONES!$L$2:$L$1000)-ROW(TRANSACCIONES!$L$2)+1),42)),"")</f>
        <v/>
      </c>
    </row>
    <row r="48">
      <c r="A48">
        <f>IFERROR(INDEX(TRANSACCIONES!$A$2:$A$1000,SMALL(IF(UPPER(TRANSACCIONES!$L$2:$L$1000)="PENDIENTE",ROW(TRANSACCIONES!$L$2:$L$1000)-ROW(TRANSACCIONES!$L$2)+1),43)),"")</f>
        <v/>
      </c>
      <c r="B48">
        <f>IFERROR(INDEX(TRANSACCIONES!$E$2:$E$1000,SMALL(IF(UPPER(TRANSACCIONES!$L$2:$L$1000)="PENDIENTE",ROW(TRANSACCIONES!$L$2:$L$1000)-ROW(TRANSACCIONES!$L$2)+1),43)),"")</f>
        <v/>
      </c>
      <c r="C48">
        <f>IFERROR(INDEX(TRANSACCIONES!$F$2:$F$1000,SMALL(IF(UPPER(TRANSACCIONES!$L$2:$L$1000)="PENDIENTE",ROW(TRANSACCIONES!$L$2:$L$1000)-ROW(TRANSACCIONES!$L$2)+1),43)),"")</f>
        <v/>
      </c>
      <c r="D48" s="9">
        <f>IFERROR(INDEX(TRANSACCIONES!$I$2:$I$1000,SMALL(IF(UPPER(TRANSACCIONES!$L$2:$L$1000)="PENDIENTE",ROW(TRANSACCIONES!$L$2:$L$1000)-ROW(TRANSACCIONES!$L$2)+1),43)),"")</f>
        <v/>
      </c>
      <c r="E48">
        <f>IFERROR(INDEX(TRANSACCIONES!$N$2:$N$1000,SMALL(IF(UPPER(TRANSACCIONES!$L$2:$L$1000)="PENDIENTE",ROW(TRANSACCIONES!$L$2:$L$1000)-ROW(TRANSACCIONES!$L$2)+1),43)),"")</f>
        <v/>
      </c>
      <c r="F48">
        <f>IF(A48="","",TODAY()-A48)</f>
        <v/>
      </c>
      <c r="G48">
        <f>IF(A48="","",IF(E48&lt;TODAY(),"VENCIDO",IF(E48&lt;=TODAY()+7,"POR VENCER","AL DÍA")))</f>
        <v/>
      </c>
      <c r="H48">
        <f>IFERROR(INDEX(TRANSACCIONES!$K$2:$K$1000,SMALL(IF(UPPER(TRANSACCIONES!$L$2:$L$1000)="PENDIENTE",ROW(TRANSACCIONES!$L$2:$L$1000)-ROW(TRANSACCIONES!$L$2)+1),43)),"")</f>
        <v/>
      </c>
    </row>
    <row r="49">
      <c r="A49">
        <f>IFERROR(INDEX(TRANSACCIONES!$A$2:$A$1000,SMALL(IF(UPPER(TRANSACCIONES!$L$2:$L$1000)="PENDIENTE",ROW(TRANSACCIONES!$L$2:$L$1000)-ROW(TRANSACCIONES!$L$2)+1),44)),"")</f>
        <v/>
      </c>
      <c r="B49">
        <f>IFERROR(INDEX(TRANSACCIONES!$E$2:$E$1000,SMALL(IF(UPPER(TRANSACCIONES!$L$2:$L$1000)="PENDIENTE",ROW(TRANSACCIONES!$L$2:$L$1000)-ROW(TRANSACCIONES!$L$2)+1),44)),"")</f>
        <v/>
      </c>
      <c r="C49">
        <f>IFERROR(INDEX(TRANSACCIONES!$F$2:$F$1000,SMALL(IF(UPPER(TRANSACCIONES!$L$2:$L$1000)="PENDIENTE",ROW(TRANSACCIONES!$L$2:$L$1000)-ROW(TRANSACCIONES!$L$2)+1),44)),"")</f>
        <v/>
      </c>
      <c r="D49" s="9">
        <f>IFERROR(INDEX(TRANSACCIONES!$I$2:$I$1000,SMALL(IF(UPPER(TRANSACCIONES!$L$2:$L$1000)="PENDIENTE",ROW(TRANSACCIONES!$L$2:$L$1000)-ROW(TRANSACCIONES!$L$2)+1),44)),"")</f>
        <v/>
      </c>
      <c r="E49">
        <f>IFERROR(INDEX(TRANSACCIONES!$N$2:$N$1000,SMALL(IF(UPPER(TRANSACCIONES!$L$2:$L$1000)="PENDIENTE",ROW(TRANSACCIONES!$L$2:$L$1000)-ROW(TRANSACCIONES!$L$2)+1),44)),"")</f>
        <v/>
      </c>
      <c r="F49">
        <f>IF(A49="","",TODAY()-A49)</f>
        <v/>
      </c>
      <c r="G49">
        <f>IF(A49="","",IF(E49&lt;TODAY(),"VENCIDO",IF(E49&lt;=TODAY()+7,"POR VENCER","AL DÍA")))</f>
        <v/>
      </c>
      <c r="H49">
        <f>IFERROR(INDEX(TRANSACCIONES!$K$2:$K$1000,SMALL(IF(UPPER(TRANSACCIONES!$L$2:$L$1000)="PENDIENTE",ROW(TRANSACCIONES!$L$2:$L$1000)-ROW(TRANSACCIONES!$L$2)+1),44)),"")</f>
        <v/>
      </c>
    </row>
    <row r="50">
      <c r="A50">
        <f>IFERROR(INDEX(TRANSACCIONES!$A$2:$A$1000,SMALL(IF(UPPER(TRANSACCIONES!$L$2:$L$1000)="PENDIENTE",ROW(TRANSACCIONES!$L$2:$L$1000)-ROW(TRANSACCIONES!$L$2)+1),45)),"")</f>
        <v/>
      </c>
      <c r="B50">
        <f>IFERROR(INDEX(TRANSACCIONES!$E$2:$E$1000,SMALL(IF(UPPER(TRANSACCIONES!$L$2:$L$1000)="PENDIENTE",ROW(TRANSACCIONES!$L$2:$L$1000)-ROW(TRANSACCIONES!$L$2)+1),45)),"")</f>
        <v/>
      </c>
      <c r="C50">
        <f>IFERROR(INDEX(TRANSACCIONES!$F$2:$F$1000,SMALL(IF(UPPER(TRANSACCIONES!$L$2:$L$1000)="PENDIENTE",ROW(TRANSACCIONES!$L$2:$L$1000)-ROW(TRANSACCIONES!$L$2)+1),45)),"")</f>
        <v/>
      </c>
      <c r="D50" s="9">
        <f>IFERROR(INDEX(TRANSACCIONES!$I$2:$I$1000,SMALL(IF(UPPER(TRANSACCIONES!$L$2:$L$1000)="PENDIENTE",ROW(TRANSACCIONES!$L$2:$L$1000)-ROW(TRANSACCIONES!$L$2)+1),45)),"")</f>
        <v/>
      </c>
      <c r="E50">
        <f>IFERROR(INDEX(TRANSACCIONES!$N$2:$N$1000,SMALL(IF(UPPER(TRANSACCIONES!$L$2:$L$1000)="PENDIENTE",ROW(TRANSACCIONES!$L$2:$L$1000)-ROW(TRANSACCIONES!$L$2)+1),45)),"")</f>
        <v/>
      </c>
      <c r="F50">
        <f>IF(A50="","",TODAY()-A50)</f>
        <v/>
      </c>
      <c r="G50">
        <f>IF(A50="","",IF(E50&lt;TODAY(),"VENCIDO",IF(E50&lt;=TODAY()+7,"POR VENCER","AL DÍA")))</f>
        <v/>
      </c>
      <c r="H50">
        <f>IFERROR(INDEX(TRANSACCIONES!$K$2:$K$1000,SMALL(IF(UPPER(TRANSACCIONES!$L$2:$L$1000)="PENDIENTE",ROW(TRANSACCIONES!$L$2:$L$1000)-ROW(TRANSACCIONES!$L$2)+1),45)),"")</f>
        <v/>
      </c>
    </row>
    <row r="51">
      <c r="A51">
        <f>IFERROR(INDEX(TRANSACCIONES!$A$2:$A$1000,SMALL(IF(UPPER(TRANSACCIONES!$L$2:$L$1000)="PENDIENTE",ROW(TRANSACCIONES!$L$2:$L$1000)-ROW(TRANSACCIONES!$L$2)+1),46)),"")</f>
        <v/>
      </c>
      <c r="B51">
        <f>IFERROR(INDEX(TRANSACCIONES!$E$2:$E$1000,SMALL(IF(UPPER(TRANSACCIONES!$L$2:$L$1000)="PENDIENTE",ROW(TRANSACCIONES!$L$2:$L$1000)-ROW(TRANSACCIONES!$L$2)+1),46)),"")</f>
        <v/>
      </c>
      <c r="C51">
        <f>IFERROR(INDEX(TRANSACCIONES!$F$2:$F$1000,SMALL(IF(UPPER(TRANSACCIONES!$L$2:$L$1000)="PENDIENTE",ROW(TRANSACCIONES!$L$2:$L$1000)-ROW(TRANSACCIONES!$L$2)+1),46)),"")</f>
        <v/>
      </c>
      <c r="D51" s="9">
        <f>IFERROR(INDEX(TRANSACCIONES!$I$2:$I$1000,SMALL(IF(UPPER(TRANSACCIONES!$L$2:$L$1000)="PENDIENTE",ROW(TRANSACCIONES!$L$2:$L$1000)-ROW(TRANSACCIONES!$L$2)+1),46)),"")</f>
        <v/>
      </c>
      <c r="E51">
        <f>IFERROR(INDEX(TRANSACCIONES!$N$2:$N$1000,SMALL(IF(UPPER(TRANSACCIONES!$L$2:$L$1000)="PENDIENTE",ROW(TRANSACCIONES!$L$2:$L$1000)-ROW(TRANSACCIONES!$L$2)+1),46)),"")</f>
        <v/>
      </c>
      <c r="F51">
        <f>IF(A51="","",TODAY()-A51)</f>
        <v/>
      </c>
      <c r="G51">
        <f>IF(A51="","",IF(E51&lt;TODAY(),"VENCIDO",IF(E51&lt;=TODAY()+7,"POR VENCER","AL DÍA")))</f>
        <v/>
      </c>
      <c r="H51">
        <f>IFERROR(INDEX(TRANSACCIONES!$K$2:$K$1000,SMALL(IF(UPPER(TRANSACCIONES!$L$2:$L$1000)="PENDIENTE",ROW(TRANSACCIONES!$L$2:$L$1000)-ROW(TRANSACCIONES!$L$2)+1),46)),"")</f>
        <v/>
      </c>
    </row>
    <row r="52">
      <c r="A52">
        <f>IFERROR(INDEX(TRANSACCIONES!$A$2:$A$1000,SMALL(IF(UPPER(TRANSACCIONES!$L$2:$L$1000)="PENDIENTE",ROW(TRANSACCIONES!$L$2:$L$1000)-ROW(TRANSACCIONES!$L$2)+1),47)),"")</f>
        <v/>
      </c>
      <c r="B52">
        <f>IFERROR(INDEX(TRANSACCIONES!$E$2:$E$1000,SMALL(IF(UPPER(TRANSACCIONES!$L$2:$L$1000)="PENDIENTE",ROW(TRANSACCIONES!$L$2:$L$1000)-ROW(TRANSACCIONES!$L$2)+1),47)),"")</f>
        <v/>
      </c>
      <c r="C52">
        <f>IFERROR(INDEX(TRANSACCIONES!$F$2:$F$1000,SMALL(IF(UPPER(TRANSACCIONES!$L$2:$L$1000)="PENDIENTE",ROW(TRANSACCIONES!$L$2:$L$1000)-ROW(TRANSACCIONES!$L$2)+1),47)),"")</f>
        <v/>
      </c>
      <c r="D52" s="9">
        <f>IFERROR(INDEX(TRANSACCIONES!$I$2:$I$1000,SMALL(IF(UPPER(TRANSACCIONES!$L$2:$L$1000)="PENDIENTE",ROW(TRANSACCIONES!$L$2:$L$1000)-ROW(TRANSACCIONES!$L$2)+1),47)),"")</f>
        <v/>
      </c>
      <c r="E52">
        <f>IFERROR(INDEX(TRANSACCIONES!$N$2:$N$1000,SMALL(IF(UPPER(TRANSACCIONES!$L$2:$L$1000)="PENDIENTE",ROW(TRANSACCIONES!$L$2:$L$1000)-ROW(TRANSACCIONES!$L$2)+1),47)),"")</f>
        <v/>
      </c>
      <c r="F52">
        <f>IF(A52="","",TODAY()-A52)</f>
        <v/>
      </c>
      <c r="G52">
        <f>IF(A52="","",IF(E52&lt;TODAY(),"VENCIDO",IF(E52&lt;=TODAY()+7,"POR VENCER","AL DÍA")))</f>
        <v/>
      </c>
      <c r="H52">
        <f>IFERROR(INDEX(TRANSACCIONES!$K$2:$K$1000,SMALL(IF(UPPER(TRANSACCIONES!$L$2:$L$1000)="PENDIENTE",ROW(TRANSACCIONES!$L$2:$L$1000)-ROW(TRANSACCIONES!$L$2)+1),47)),"")</f>
        <v/>
      </c>
    </row>
    <row r="53">
      <c r="A53">
        <f>IFERROR(INDEX(TRANSACCIONES!$A$2:$A$1000,SMALL(IF(UPPER(TRANSACCIONES!$L$2:$L$1000)="PENDIENTE",ROW(TRANSACCIONES!$L$2:$L$1000)-ROW(TRANSACCIONES!$L$2)+1),48)),"")</f>
        <v/>
      </c>
      <c r="B53">
        <f>IFERROR(INDEX(TRANSACCIONES!$E$2:$E$1000,SMALL(IF(UPPER(TRANSACCIONES!$L$2:$L$1000)="PENDIENTE",ROW(TRANSACCIONES!$L$2:$L$1000)-ROW(TRANSACCIONES!$L$2)+1),48)),"")</f>
        <v/>
      </c>
      <c r="C53">
        <f>IFERROR(INDEX(TRANSACCIONES!$F$2:$F$1000,SMALL(IF(UPPER(TRANSACCIONES!$L$2:$L$1000)="PENDIENTE",ROW(TRANSACCIONES!$L$2:$L$1000)-ROW(TRANSACCIONES!$L$2)+1),48)),"")</f>
        <v/>
      </c>
      <c r="D53" s="9">
        <f>IFERROR(INDEX(TRANSACCIONES!$I$2:$I$1000,SMALL(IF(UPPER(TRANSACCIONES!$L$2:$L$1000)="PENDIENTE",ROW(TRANSACCIONES!$L$2:$L$1000)-ROW(TRANSACCIONES!$L$2)+1),48)),"")</f>
        <v/>
      </c>
      <c r="E53">
        <f>IFERROR(INDEX(TRANSACCIONES!$N$2:$N$1000,SMALL(IF(UPPER(TRANSACCIONES!$L$2:$L$1000)="PENDIENTE",ROW(TRANSACCIONES!$L$2:$L$1000)-ROW(TRANSACCIONES!$L$2)+1),48)),"")</f>
        <v/>
      </c>
      <c r="F53">
        <f>IF(A53="","",TODAY()-A53)</f>
        <v/>
      </c>
      <c r="G53">
        <f>IF(A53="","",IF(E53&lt;TODAY(),"VENCIDO",IF(E53&lt;=TODAY()+7,"POR VENCER","AL DÍA")))</f>
        <v/>
      </c>
      <c r="H53">
        <f>IFERROR(INDEX(TRANSACCIONES!$K$2:$K$1000,SMALL(IF(UPPER(TRANSACCIONES!$L$2:$L$1000)="PENDIENTE",ROW(TRANSACCIONES!$L$2:$L$1000)-ROW(TRANSACCIONES!$L$2)+1),48)),"")</f>
        <v/>
      </c>
    </row>
    <row r="54">
      <c r="A54">
        <f>IFERROR(INDEX(TRANSACCIONES!$A$2:$A$1000,SMALL(IF(UPPER(TRANSACCIONES!$L$2:$L$1000)="PENDIENTE",ROW(TRANSACCIONES!$L$2:$L$1000)-ROW(TRANSACCIONES!$L$2)+1),49)),"")</f>
        <v/>
      </c>
      <c r="B54">
        <f>IFERROR(INDEX(TRANSACCIONES!$E$2:$E$1000,SMALL(IF(UPPER(TRANSACCIONES!$L$2:$L$1000)="PENDIENTE",ROW(TRANSACCIONES!$L$2:$L$1000)-ROW(TRANSACCIONES!$L$2)+1),49)),"")</f>
        <v/>
      </c>
      <c r="C54">
        <f>IFERROR(INDEX(TRANSACCIONES!$F$2:$F$1000,SMALL(IF(UPPER(TRANSACCIONES!$L$2:$L$1000)="PENDIENTE",ROW(TRANSACCIONES!$L$2:$L$1000)-ROW(TRANSACCIONES!$L$2)+1),49)),"")</f>
        <v/>
      </c>
      <c r="D54" s="9">
        <f>IFERROR(INDEX(TRANSACCIONES!$I$2:$I$1000,SMALL(IF(UPPER(TRANSACCIONES!$L$2:$L$1000)="PENDIENTE",ROW(TRANSACCIONES!$L$2:$L$1000)-ROW(TRANSACCIONES!$L$2)+1),49)),"")</f>
        <v/>
      </c>
      <c r="E54">
        <f>IFERROR(INDEX(TRANSACCIONES!$N$2:$N$1000,SMALL(IF(UPPER(TRANSACCIONES!$L$2:$L$1000)="PENDIENTE",ROW(TRANSACCIONES!$L$2:$L$1000)-ROW(TRANSACCIONES!$L$2)+1),49)),"")</f>
        <v/>
      </c>
      <c r="F54">
        <f>IF(A54="","",TODAY()-A54)</f>
        <v/>
      </c>
      <c r="G54">
        <f>IF(A54="","",IF(E54&lt;TODAY(),"VENCIDO",IF(E54&lt;=TODAY()+7,"POR VENCER","AL DÍA")))</f>
        <v/>
      </c>
      <c r="H54">
        <f>IFERROR(INDEX(TRANSACCIONES!$K$2:$K$1000,SMALL(IF(UPPER(TRANSACCIONES!$L$2:$L$1000)="PENDIENTE",ROW(TRANSACCIONES!$L$2:$L$1000)-ROW(TRANSACCIONES!$L$2)+1),49)),"")</f>
        <v/>
      </c>
    </row>
    <row r="55">
      <c r="A55">
        <f>IFERROR(INDEX(TRANSACCIONES!$A$2:$A$1000,SMALL(IF(UPPER(TRANSACCIONES!$L$2:$L$1000)="PENDIENTE",ROW(TRANSACCIONES!$L$2:$L$1000)-ROW(TRANSACCIONES!$L$2)+1),50)),"")</f>
        <v/>
      </c>
      <c r="B55">
        <f>IFERROR(INDEX(TRANSACCIONES!$E$2:$E$1000,SMALL(IF(UPPER(TRANSACCIONES!$L$2:$L$1000)="PENDIENTE",ROW(TRANSACCIONES!$L$2:$L$1000)-ROW(TRANSACCIONES!$L$2)+1),50)),"")</f>
        <v/>
      </c>
      <c r="C55">
        <f>IFERROR(INDEX(TRANSACCIONES!$F$2:$F$1000,SMALL(IF(UPPER(TRANSACCIONES!$L$2:$L$1000)="PENDIENTE",ROW(TRANSACCIONES!$L$2:$L$1000)-ROW(TRANSACCIONES!$L$2)+1),50)),"")</f>
        <v/>
      </c>
      <c r="D55" s="9">
        <f>IFERROR(INDEX(TRANSACCIONES!$I$2:$I$1000,SMALL(IF(UPPER(TRANSACCIONES!$L$2:$L$1000)="PENDIENTE",ROW(TRANSACCIONES!$L$2:$L$1000)-ROW(TRANSACCIONES!$L$2)+1),50)),"")</f>
        <v/>
      </c>
      <c r="E55">
        <f>IFERROR(INDEX(TRANSACCIONES!$N$2:$N$1000,SMALL(IF(UPPER(TRANSACCIONES!$L$2:$L$1000)="PENDIENTE",ROW(TRANSACCIONES!$L$2:$L$1000)-ROW(TRANSACCIONES!$L$2)+1),50)),"")</f>
        <v/>
      </c>
      <c r="F55">
        <f>IF(A55="","",TODAY()-A55)</f>
        <v/>
      </c>
      <c r="G55">
        <f>IF(A55="","",IF(E55&lt;TODAY(),"VENCIDO",IF(E55&lt;=TODAY()+7,"POR VENCER","AL DÍA")))</f>
        <v/>
      </c>
      <c r="H55">
        <f>IFERROR(INDEX(TRANSACCIONES!$K$2:$K$1000,SMALL(IF(UPPER(TRANSACCIONES!$L$2:$L$1000)="PENDIENTE",ROW(TRANSACCIONES!$L$2:$L$1000)-ROW(TRANSACCIONES!$L$2)+1),50)),"")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5" customWidth="1" min="4" max="4"/>
    <col width="19" customWidth="1" min="5" max="5"/>
    <col width="17" customWidth="1" min="6" max="6"/>
    <col width="15" customWidth="1" min="7" max="7"/>
    <col width="25" customWidth="1" min="8" max="8"/>
  </cols>
  <sheetData>
    <row r="1">
      <c r="A1" s="13" t="inlineStr">
        <is>
          <t>💵 CUENTAS POR COBRAR</t>
        </is>
      </c>
    </row>
    <row r="2"/>
    <row r="3">
      <c r="A3" t="inlineStr">
        <is>
          <t>Total por Cobrar:</t>
        </is>
      </c>
      <c r="B3" s="11">
        <f>SUM(D6:D55)</f>
        <v/>
      </c>
    </row>
    <row r="4"/>
    <row r="5">
      <c r="A5" s="14" t="inlineStr">
        <is>
          <t>Fecha</t>
        </is>
      </c>
      <c r="B5" s="14" t="inlineStr">
        <is>
          <t>Descripción</t>
        </is>
      </c>
      <c r="C5" s="14" t="inlineStr">
        <is>
          <t>Cliente</t>
        </is>
      </c>
      <c r="D5" s="14" t="inlineStr">
        <is>
          <t>Monto</t>
        </is>
      </c>
      <c r="E5" s="14" t="inlineStr">
        <is>
          <t>Fecha Vencimiento</t>
        </is>
      </c>
      <c r="F5" s="14" t="inlineStr">
        <is>
          <t>Días Pendientes</t>
        </is>
      </c>
      <c r="G5" s="14" t="inlineStr">
        <is>
          <t>Estado</t>
        </is>
      </c>
      <c r="H5" s="14" t="inlineStr">
        <is>
          <t>Notas</t>
        </is>
      </c>
    </row>
    <row r="6">
      <c r="A6">
        <f>IFERROR(INDEX(TRANSACCIONES!$A$2:$A$1000,SMALL(IF(UPPER(TRANSACCIONES!$L$2:$L$1000)="POR COBRAR",ROW(TRANSACCIONES!$L$2:$L$1000)-ROW(TRANSACCIONES!$L$2)+1),1)),"")</f>
        <v/>
      </c>
      <c r="B6">
        <f>IFERROR(INDEX(TRANSACCIONES!$E$2:$E$1000,SMALL(IF(UPPER(TRANSACCIONES!$L$2:$L$1000)="POR COBRAR",ROW(TRANSACCIONES!$L$2:$L$1000)-ROW(TRANSACCIONES!$L$2)+1),1)),"")</f>
        <v/>
      </c>
      <c r="C6">
        <f>IFERROR(INDEX(TRANSACCIONES!$F$2:$F$1000,SMALL(IF(UPPER(TRANSACCIONES!$L$2:$L$1000)="POR COBRAR",ROW(TRANSACCIONES!$L$2:$L$1000)-ROW(TRANSACCIONES!$L$2)+1),1)),"")</f>
        <v/>
      </c>
      <c r="D6" s="9">
        <f>IFERROR(INDEX(TRANSACCIONES!$I$2:$I$1000,SMALL(IF(UPPER(TRANSACCIONES!$L$2:$L$1000)="POR COBRAR",ROW(TRANSACCIONES!$L$2:$L$1000)-ROW(TRANSACCIONES!$L$2)+1),1)),"")</f>
        <v/>
      </c>
      <c r="E6">
        <f>IFERROR(INDEX(TRANSACCIONES!$N$2:$N$1000,SMALL(IF(UPPER(TRANSACCIONES!$L$2:$L$1000)="POR COBRAR",ROW(TRANSACCIONES!$L$2:$L$1000)-ROW(TRANSACCIONES!$L$2)+1),1)),"")</f>
        <v/>
      </c>
      <c r="F6">
        <f>IF(A6="","",TODAY()-A6)</f>
        <v/>
      </c>
      <c r="G6">
        <f>IF(A6="","",IF(E6&lt;TODAY(),"VENCIDO",IF(E6&lt;=TODAY()+7,"POR VENCER","AL DÍA")))</f>
        <v/>
      </c>
      <c r="H6">
        <f>IFERROR(INDEX(TRANSACCIONES!$K$2:$K$1000,SMALL(IF(UPPER(TRANSACCIONES!$L$2:$L$1000)="POR COBRAR",ROW(TRANSACCIONES!$L$2:$L$1000)-ROW(TRANSACCIONES!$L$2)+1),1)),"")</f>
        <v/>
      </c>
    </row>
    <row r="7">
      <c r="A7">
        <f>IFERROR(INDEX(TRANSACCIONES!$A$2:$A$1000,SMALL(IF(UPPER(TRANSACCIONES!$L$2:$L$1000)="POR COBRAR",ROW(TRANSACCIONES!$L$2:$L$1000)-ROW(TRANSACCIONES!$L$2)+1),2)),"")</f>
        <v/>
      </c>
      <c r="B7">
        <f>IFERROR(INDEX(TRANSACCIONES!$E$2:$E$1000,SMALL(IF(UPPER(TRANSACCIONES!$L$2:$L$1000)="POR COBRAR",ROW(TRANSACCIONES!$L$2:$L$1000)-ROW(TRANSACCIONES!$L$2)+1),2)),"")</f>
        <v/>
      </c>
      <c r="C7">
        <f>IFERROR(INDEX(TRANSACCIONES!$F$2:$F$1000,SMALL(IF(UPPER(TRANSACCIONES!$L$2:$L$1000)="POR COBRAR",ROW(TRANSACCIONES!$L$2:$L$1000)-ROW(TRANSACCIONES!$L$2)+1),2)),"")</f>
        <v/>
      </c>
      <c r="D7" s="9">
        <f>IFERROR(INDEX(TRANSACCIONES!$I$2:$I$1000,SMALL(IF(UPPER(TRANSACCIONES!$L$2:$L$1000)="POR COBRAR",ROW(TRANSACCIONES!$L$2:$L$1000)-ROW(TRANSACCIONES!$L$2)+1),2)),"")</f>
        <v/>
      </c>
      <c r="E7">
        <f>IFERROR(INDEX(TRANSACCIONES!$N$2:$N$1000,SMALL(IF(UPPER(TRANSACCIONES!$L$2:$L$1000)="POR COBRAR",ROW(TRANSACCIONES!$L$2:$L$1000)-ROW(TRANSACCIONES!$L$2)+1),2)),"")</f>
        <v/>
      </c>
      <c r="F7">
        <f>IF(A7="","",TODAY()-A7)</f>
        <v/>
      </c>
      <c r="G7">
        <f>IF(A7="","",IF(E7&lt;TODAY(),"VENCIDO",IF(E7&lt;=TODAY()+7,"POR VENCER","AL DÍA")))</f>
        <v/>
      </c>
      <c r="H7">
        <f>IFERROR(INDEX(TRANSACCIONES!$K$2:$K$1000,SMALL(IF(UPPER(TRANSACCIONES!$L$2:$L$1000)="POR COBRAR",ROW(TRANSACCIONES!$L$2:$L$1000)-ROW(TRANSACCIONES!$L$2)+1),2)),"")</f>
        <v/>
      </c>
    </row>
    <row r="8">
      <c r="A8">
        <f>IFERROR(INDEX(TRANSACCIONES!$A$2:$A$1000,SMALL(IF(UPPER(TRANSACCIONES!$L$2:$L$1000)="POR COBRAR",ROW(TRANSACCIONES!$L$2:$L$1000)-ROW(TRANSACCIONES!$L$2)+1),3)),"")</f>
        <v/>
      </c>
      <c r="B8">
        <f>IFERROR(INDEX(TRANSACCIONES!$E$2:$E$1000,SMALL(IF(UPPER(TRANSACCIONES!$L$2:$L$1000)="POR COBRAR",ROW(TRANSACCIONES!$L$2:$L$1000)-ROW(TRANSACCIONES!$L$2)+1),3)),"")</f>
        <v/>
      </c>
      <c r="C8">
        <f>IFERROR(INDEX(TRANSACCIONES!$F$2:$F$1000,SMALL(IF(UPPER(TRANSACCIONES!$L$2:$L$1000)="POR COBRAR",ROW(TRANSACCIONES!$L$2:$L$1000)-ROW(TRANSACCIONES!$L$2)+1),3)),"")</f>
        <v/>
      </c>
      <c r="D8" s="9">
        <f>IFERROR(INDEX(TRANSACCIONES!$I$2:$I$1000,SMALL(IF(UPPER(TRANSACCIONES!$L$2:$L$1000)="POR COBRAR",ROW(TRANSACCIONES!$L$2:$L$1000)-ROW(TRANSACCIONES!$L$2)+1),3)),"")</f>
        <v/>
      </c>
      <c r="E8">
        <f>IFERROR(INDEX(TRANSACCIONES!$N$2:$N$1000,SMALL(IF(UPPER(TRANSACCIONES!$L$2:$L$1000)="POR COBRAR",ROW(TRANSACCIONES!$L$2:$L$1000)-ROW(TRANSACCIONES!$L$2)+1),3)),"")</f>
        <v/>
      </c>
      <c r="F8">
        <f>IF(A8="","",TODAY()-A8)</f>
        <v/>
      </c>
      <c r="G8">
        <f>IF(A8="","",IF(E8&lt;TODAY(),"VENCIDO",IF(E8&lt;=TODAY()+7,"POR VENCER","AL DÍA")))</f>
        <v/>
      </c>
      <c r="H8">
        <f>IFERROR(INDEX(TRANSACCIONES!$K$2:$K$1000,SMALL(IF(UPPER(TRANSACCIONES!$L$2:$L$1000)="POR COBRAR",ROW(TRANSACCIONES!$L$2:$L$1000)-ROW(TRANSACCIONES!$L$2)+1),3)),"")</f>
        <v/>
      </c>
    </row>
    <row r="9">
      <c r="A9">
        <f>IFERROR(INDEX(TRANSACCIONES!$A$2:$A$1000,SMALL(IF(UPPER(TRANSACCIONES!$L$2:$L$1000)="POR COBRAR",ROW(TRANSACCIONES!$L$2:$L$1000)-ROW(TRANSACCIONES!$L$2)+1),4)),"")</f>
        <v/>
      </c>
      <c r="B9">
        <f>IFERROR(INDEX(TRANSACCIONES!$E$2:$E$1000,SMALL(IF(UPPER(TRANSACCIONES!$L$2:$L$1000)="POR COBRAR",ROW(TRANSACCIONES!$L$2:$L$1000)-ROW(TRANSACCIONES!$L$2)+1),4)),"")</f>
        <v/>
      </c>
      <c r="C9">
        <f>IFERROR(INDEX(TRANSACCIONES!$F$2:$F$1000,SMALL(IF(UPPER(TRANSACCIONES!$L$2:$L$1000)="POR COBRAR",ROW(TRANSACCIONES!$L$2:$L$1000)-ROW(TRANSACCIONES!$L$2)+1),4)),"")</f>
        <v/>
      </c>
      <c r="D9" s="9">
        <f>IFERROR(INDEX(TRANSACCIONES!$I$2:$I$1000,SMALL(IF(UPPER(TRANSACCIONES!$L$2:$L$1000)="POR COBRAR",ROW(TRANSACCIONES!$L$2:$L$1000)-ROW(TRANSACCIONES!$L$2)+1),4)),"")</f>
        <v/>
      </c>
      <c r="E9">
        <f>IFERROR(INDEX(TRANSACCIONES!$N$2:$N$1000,SMALL(IF(UPPER(TRANSACCIONES!$L$2:$L$1000)="POR COBRAR",ROW(TRANSACCIONES!$L$2:$L$1000)-ROW(TRANSACCIONES!$L$2)+1),4)),"")</f>
        <v/>
      </c>
      <c r="F9">
        <f>IF(A9="","",TODAY()-A9)</f>
        <v/>
      </c>
      <c r="G9">
        <f>IF(A9="","",IF(E9&lt;TODAY(),"VENCIDO",IF(E9&lt;=TODAY()+7,"POR VENCER","AL DÍA")))</f>
        <v/>
      </c>
      <c r="H9">
        <f>IFERROR(INDEX(TRANSACCIONES!$K$2:$K$1000,SMALL(IF(UPPER(TRANSACCIONES!$L$2:$L$1000)="POR COBRAR",ROW(TRANSACCIONES!$L$2:$L$1000)-ROW(TRANSACCIONES!$L$2)+1),4)),"")</f>
        <v/>
      </c>
    </row>
    <row r="10">
      <c r="A10">
        <f>IFERROR(INDEX(TRANSACCIONES!$A$2:$A$1000,SMALL(IF(UPPER(TRANSACCIONES!$L$2:$L$1000)="POR COBRAR",ROW(TRANSACCIONES!$L$2:$L$1000)-ROW(TRANSACCIONES!$L$2)+1),5)),"")</f>
        <v/>
      </c>
      <c r="B10">
        <f>IFERROR(INDEX(TRANSACCIONES!$E$2:$E$1000,SMALL(IF(UPPER(TRANSACCIONES!$L$2:$L$1000)="POR COBRAR",ROW(TRANSACCIONES!$L$2:$L$1000)-ROW(TRANSACCIONES!$L$2)+1),5)),"")</f>
        <v/>
      </c>
      <c r="C10">
        <f>IFERROR(INDEX(TRANSACCIONES!$F$2:$F$1000,SMALL(IF(UPPER(TRANSACCIONES!$L$2:$L$1000)="POR COBRAR",ROW(TRANSACCIONES!$L$2:$L$1000)-ROW(TRANSACCIONES!$L$2)+1),5)),"")</f>
        <v/>
      </c>
      <c r="D10" s="9">
        <f>IFERROR(INDEX(TRANSACCIONES!$I$2:$I$1000,SMALL(IF(UPPER(TRANSACCIONES!$L$2:$L$1000)="POR COBRAR",ROW(TRANSACCIONES!$L$2:$L$1000)-ROW(TRANSACCIONES!$L$2)+1),5)),"")</f>
        <v/>
      </c>
      <c r="E10">
        <f>IFERROR(INDEX(TRANSACCIONES!$N$2:$N$1000,SMALL(IF(UPPER(TRANSACCIONES!$L$2:$L$1000)="POR COBRAR",ROW(TRANSACCIONES!$L$2:$L$1000)-ROW(TRANSACCIONES!$L$2)+1),5)),"")</f>
        <v/>
      </c>
      <c r="F10">
        <f>IF(A10="","",TODAY()-A10)</f>
        <v/>
      </c>
      <c r="G10">
        <f>IF(A10="","",IF(E10&lt;TODAY(),"VENCIDO",IF(E10&lt;=TODAY()+7,"POR VENCER","AL DÍA")))</f>
        <v/>
      </c>
      <c r="H10">
        <f>IFERROR(INDEX(TRANSACCIONES!$K$2:$K$1000,SMALL(IF(UPPER(TRANSACCIONES!$L$2:$L$1000)="POR COBRAR",ROW(TRANSACCIONES!$L$2:$L$1000)-ROW(TRANSACCIONES!$L$2)+1),5)),"")</f>
        <v/>
      </c>
    </row>
    <row r="11">
      <c r="A11">
        <f>IFERROR(INDEX(TRANSACCIONES!$A$2:$A$1000,SMALL(IF(UPPER(TRANSACCIONES!$L$2:$L$1000)="POR COBRAR",ROW(TRANSACCIONES!$L$2:$L$1000)-ROW(TRANSACCIONES!$L$2)+1),6)),"")</f>
        <v/>
      </c>
      <c r="B11">
        <f>IFERROR(INDEX(TRANSACCIONES!$E$2:$E$1000,SMALL(IF(UPPER(TRANSACCIONES!$L$2:$L$1000)="POR COBRAR",ROW(TRANSACCIONES!$L$2:$L$1000)-ROW(TRANSACCIONES!$L$2)+1),6)),"")</f>
        <v/>
      </c>
      <c r="C11">
        <f>IFERROR(INDEX(TRANSACCIONES!$F$2:$F$1000,SMALL(IF(UPPER(TRANSACCIONES!$L$2:$L$1000)="POR COBRAR",ROW(TRANSACCIONES!$L$2:$L$1000)-ROW(TRANSACCIONES!$L$2)+1),6)),"")</f>
        <v/>
      </c>
      <c r="D11" s="9">
        <f>IFERROR(INDEX(TRANSACCIONES!$I$2:$I$1000,SMALL(IF(UPPER(TRANSACCIONES!$L$2:$L$1000)="POR COBRAR",ROW(TRANSACCIONES!$L$2:$L$1000)-ROW(TRANSACCIONES!$L$2)+1),6)),"")</f>
        <v/>
      </c>
      <c r="E11">
        <f>IFERROR(INDEX(TRANSACCIONES!$N$2:$N$1000,SMALL(IF(UPPER(TRANSACCIONES!$L$2:$L$1000)="POR COBRAR",ROW(TRANSACCIONES!$L$2:$L$1000)-ROW(TRANSACCIONES!$L$2)+1),6)),"")</f>
        <v/>
      </c>
      <c r="F11">
        <f>IF(A11="","",TODAY()-A11)</f>
        <v/>
      </c>
      <c r="G11">
        <f>IF(A11="","",IF(E11&lt;TODAY(),"VENCIDO",IF(E11&lt;=TODAY()+7,"POR VENCER","AL DÍA")))</f>
        <v/>
      </c>
      <c r="H11">
        <f>IFERROR(INDEX(TRANSACCIONES!$K$2:$K$1000,SMALL(IF(UPPER(TRANSACCIONES!$L$2:$L$1000)="POR COBRAR",ROW(TRANSACCIONES!$L$2:$L$1000)-ROW(TRANSACCIONES!$L$2)+1),6)),"")</f>
        <v/>
      </c>
    </row>
    <row r="12">
      <c r="A12">
        <f>IFERROR(INDEX(TRANSACCIONES!$A$2:$A$1000,SMALL(IF(UPPER(TRANSACCIONES!$L$2:$L$1000)="POR COBRAR",ROW(TRANSACCIONES!$L$2:$L$1000)-ROW(TRANSACCIONES!$L$2)+1),7)),"")</f>
        <v/>
      </c>
      <c r="B12">
        <f>IFERROR(INDEX(TRANSACCIONES!$E$2:$E$1000,SMALL(IF(UPPER(TRANSACCIONES!$L$2:$L$1000)="POR COBRAR",ROW(TRANSACCIONES!$L$2:$L$1000)-ROW(TRANSACCIONES!$L$2)+1),7)),"")</f>
        <v/>
      </c>
      <c r="C12">
        <f>IFERROR(INDEX(TRANSACCIONES!$F$2:$F$1000,SMALL(IF(UPPER(TRANSACCIONES!$L$2:$L$1000)="POR COBRAR",ROW(TRANSACCIONES!$L$2:$L$1000)-ROW(TRANSACCIONES!$L$2)+1),7)),"")</f>
        <v/>
      </c>
      <c r="D12" s="9">
        <f>IFERROR(INDEX(TRANSACCIONES!$I$2:$I$1000,SMALL(IF(UPPER(TRANSACCIONES!$L$2:$L$1000)="POR COBRAR",ROW(TRANSACCIONES!$L$2:$L$1000)-ROW(TRANSACCIONES!$L$2)+1),7)),"")</f>
        <v/>
      </c>
      <c r="E12">
        <f>IFERROR(INDEX(TRANSACCIONES!$N$2:$N$1000,SMALL(IF(UPPER(TRANSACCIONES!$L$2:$L$1000)="POR COBRAR",ROW(TRANSACCIONES!$L$2:$L$1000)-ROW(TRANSACCIONES!$L$2)+1),7)),"")</f>
        <v/>
      </c>
      <c r="F12">
        <f>IF(A12="","",TODAY()-A12)</f>
        <v/>
      </c>
      <c r="G12">
        <f>IF(A12="","",IF(E12&lt;TODAY(),"VENCIDO",IF(E12&lt;=TODAY()+7,"POR VENCER","AL DÍA")))</f>
        <v/>
      </c>
      <c r="H12">
        <f>IFERROR(INDEX(TRANSACCIONES!$K$2:$K$1000,SMALL(IF(UPPER(TRANSACCIONES!$L$2:$L$1000)="POR COBRAR",ROW(TRANSACCIONES!$L$2:$L$1000)-ROW(TRANSACCIONES!$L$2)+1),7)),"")</f>
        <v/>
      </c>
    </row>
    <row r="13">
      <c r="A13">
        <f>IFERROR(INDEX(TRANSACCIONES!$A$2:$A$1000,SMALL(IF(UPPER(TRANSACCIONES!$L$2:$L$1000)="POR COBRAR",ROW(TRANSACCIONES!$L$2:$L$1000)-ROW(TRANSACCIONES!$L$2)+1),8)),"")</f>
        <v/>
      </c>
      <c r="B13">
        <f>IFERROR(INDEX(TRANSACCIONES!$E$2:$E$1000,SMALL(IF(UPPER(TRANSACCIONES!$L$2:$L$1000)="POR COBRAR",ROW(TRANSACCIONES!$L$2:$L$1000)-ROW(TRANSACCIONES!$L$2)+1),8)),"")</f>
        <v/>
      </c>
      <c r="C13">
        <f>IFERROR(INDEX(TRANSACCIONES!$F$2:$F$1000,SMALL(IF(UPPER(TRANSACCIONES!$L$2:$L$1000)="POR COBRAR",ROW(TRANSACCIONES!$L$2:$L$1000)-ROW(TRANSACCIONES!$L$2)+1),8)),"")</f>
        <v/>
      </c>
      <c r="D13" s="9">
        <f>IFERROR(INDEX(TRANSACCIONES!$I$2:$I$1000,SMALL(IF(UPPER(TRANSACCIONES!$L$2:$L$1000)="POR COBRAR",ROW(TRANSACCIONES!$L$2:$L$1000)-ROW(TRANSACCIONES!$L$2)+1),8)),"")</f>
        <v/>
      </c>
      <c r="E13">
        <f>IFERROR(INDEX(TRANSACCIONES!$N$2:$N$1000,SMALL(IF(UPPER(TRANSACCIONES!$L$2:$L$1000)="POR COBRAR",ROW(TRANSACCIONES!$L$2:$L$1000)-ROW(TRANSACCIONES!$L$2)+1),8)),"")</f>
        <v/>
      </c>
      <c r="F13">
        <f>IF(A13="","",TODAY()-A13)</f>
        <v/>
      </c>
      <c r="G13">
        <f>IF(A13="","",IF(E13&lt;TODAY(),"VENCIDO",IF(E13&lt;=TODAY()+7,"POR VENCER","AL DÍA")))</f>
        <v/>
      </c>
      <c r="H13">
        <f>IFERROR(INDEX(TRANSACCIONES!$K$2:$K$1000,SMALL(IF(UPPER(TRANSACCIONES!$L$2:$L$1000)="POR COBRAR",ROW(TRANSACCIONES!$L$2:$L$1000)-ROW(TRANSACCIONES!$L$2)+1),8)),"")</f>
        <v/>
      </c>
    </row>
    <row r="14">
      <c r="A14">
        <f>IFERROR(INDEX(TRANSACCIONES!$A$2:$A$1000,SMALL(IF(UPPER(TRANSACCIONES!$L$2:$L$1000)="POR COBRAR",ROW(TRANSACCIONES!$L$2:$L$1000)-ROW(TRANSACCIONES!$L$2)+1),9)),"")</f>
        <v/>
      </c>
      <c r="B14">
        <f>IFERROR(INDEX(TRANSACCIONES!$E$2:$E$1000,SMALL(IF(UPPER(TRANSACCIONES!$L$2:$L$1000)="POR COBRAR",ROW(TRANSACCIONES!$L$2:$L$1000)-ROW(TRANSACCIONES!$L$2)+1),9)),"")</f>
        <v/>
      </c>
      <c r="C14">
        <f>IFERROR(INDEX(TRANSACCIONES!$F$2:$F$1000,SMALL(IF(UPPER(TRANSACCIONES!$L$2:$L$1000)="POR COBRAR",ROW(TRANSACCIONES!$L$2:$L$1000)-ROW(TRANSACCIONES!$L$2)+1),9)),"")</f>
        <v/>
      </c>
      <c r="D14" s="9">
        <f>IFERROR(INDEX(TRANSACCIONES!$I$2:$I$1000,SMALL(IF(UPPER(TRANSACCIONES!$L$2:$L$1000)="POR COBRAR",ROW(TRANSACCIONES!$L$2:$L$1000)-ROW(TRANSACCIONES!$L$2)+1),9)),"")</f>
        <v/>
      </c>
      <c r="E14">
        <f>IFERROR(INDEX(TRANSACCIONES!$N$2:$N$1000,SMALL(IF(UPPER(TRANSACCIONES!$L$2:$L$1000)="POR COBRAR",ROW(TRANSACCIONES!$L$2:$L$1000)-ROW(TRANSACCIONES!$L$2)+1),9)),"")</f>
        <v/>
      </c>
      <c r="F14">
        <f>IF(A14="","",TODAY()-A14)</f>
        <v/>
      </c>
      <c r="G14">
        <f>IF(A14="","",IF(E14&lt;TODAY(),"VENCIDO",IF(E14&lt;=TODAY()+7,"POR VENCER","AL DÍA")))</f>
        <v/>
      </c>
      <c r="H14">
        <f>IFERROR(INDEX(TRANSACCIONES!$K$2:$K$1000,SMALL(IF(UPPER(TRANSACCIONES!$L$2:$L$1000)="POR COBRAR",ROW(TRANSACCIONES!$L$2:$L$1000)-ROW(TRANSACCIONES!$L$2)+1),9)),"")</f>
        <v/>
      </c>
    </row>
    <row r="15">
      <c r="A15">
        <f>IFERROR(INDEX(TRANSACCIONES!$A$2:$A$1000,SMALL(IF(UPPER(TRANSACCIONES!$L$2:$L$1000)="POR COBRAR",ROW(TRANSACCIONES!$L$2:$L$1000)-ROW(TRANSACCIONES!$L$2)+1),10)),"")</f>
        <v/>
      </c>
      <c r="B15">
        <f>IFERROR(INDEX(TRANSACCIONES!$E$2:$E$1000,SMALL(IF(UPPER(TRANSACCIONES!$L$2:$L$1000)="POR COBRAR",ROW(TRANSACCIONES!$L$2:$L$1000)-ROW(TRANSACCIONES!$L$2)+1),10)),"")</f>
        <v/>
      </c>
      <c r="C15">
        <f>IFERROR(INDEX(TRANSACCIONES!$F$2:$F$1000,SMALL(IF(UPPER(TRANSACCIONES!$L$2:$L$1000)="POR COBRAR",ROW(TRANSACCIONES!$L$2:$L$1000)-ROW(TRANSACCIONES!$L$2)+1),10)),"")</f>
        <v/>
      </c>
      <c r="D15" s="9">
        <f>IFERROR(INDEX(TRANSACCIONES!$I$2:$I$1000,SMALL(IF(UPPER(TRANSACCIONES!$L$2:$L$1000)="POR COBRAR",ROW(TRANSACCIONES!$L$2:$L$1000)-ROW(TRANSACCIONES!$L$2)+1),10)),"")</f>
        <v/>
      </c>
      <c r="E15">
        <f>IFERROR(INDEX(TRANSACCIONES!$N$2:$N$1000,SMALL(IF(UPPER(TRANSACCIONES!$L$2:$L$1000)="POR COBRAR",ROW(TRANSACCIONES!$L$2:$L$1000)-ROW(TRANSACCIONES!$L$2)+1),10)),"")</f>
        <v/>
      </c>
      <c r="F15">
        <f>IF(A15="","",TODAY()-A15)</f>
        <v/>
      </c>
      <c r="G15">
        <f>IF(A15="","",IF(E15&lt;TODAY(),"VENCIDO",IF(E15&lt;=TODAY()+7,"POR VENCER","AL DÍA")))</f>
        <v/>
      </c>
      <c r="H15">
        <f>IFERROR(INDEX(TRANSACCIONES!$K$2:$K$1000,SMALL(IF(UPPER(TRANSACCIONES!$L$2:$L$1000)="POR COBRAR",ROW(TRANSACCIONES!$L$2:$L$1000)-ROW(TRANSACCIONES!$L$2)+1),10)),"")</f>
        <v/>
      </c>
    </row>
    <row r="16">
      <c r="A16">
        <f>IFERROR(INDEX(TRANSACCIONES!$A$2:$A$1000,SMALL(IF(UPPER(TRANSACCIONES!$L$2:$L$1000)="POR COBRAR",ROW(TRANSACCIONES!$L$2:$L$1000)-ROW(TRANSACCIONES!$L$2)+1),11)),"")</f>
        <v/>
      </c>
      <c r="B16">
        <f>IFERROR(INDEX(TRANSACCIONES!$E$2:$E$1000,SMALL(IF(UPPER(TRANSACCIONES!$L$2:$L$1000)="POR COBRAR",ROW(TRANSACCIONES!$L$2:$L$1000)-ROW(TRANSACCIONES!$L$2)+1),11)),"")</f>
        <v/>
      </c>
      <c r="C16">
        <f>IFERROR(INDEX(TRANSACCIONES!$F$2:$F$1000,SMALL(IF(UPPER(TRANSACCIONES!$L$2:$L$1000)="POR COBRAR",ROW(TRANSACCIONES!$L$2:$L$1000)-ROW(TRANSACCIONES!$L$2)+1),11)),"")</f>
        <v/>
      </c>
      <c r="D16" s="9">
        <f>IFERROR(INDEX(TRANSACCIONES!$I$2:$I$1000,SMALL(IF(UPPER(TRANSACCIONES!$L$2:$L$1000)="POR COBRAR",ROW(TRANSACCIONES!$L$2:$L$1000)-ROW(TRANSACCIONES!$L$2)+1),11)),"")</f>
        <v/>
      </c>
      <c r="E16">
        <f>IFERROR(INDEX(TRANSACCIONES!$N$2:$N$1000,SMALL(IF(UPPER(TRANSACCIONES!$L$2:$L$1000)="POR COBRAR",ROW(TRANSACCIONES!$L$2:$L$1000)-ROW(TRANSACCIONES!$L$2)+1),11)),"")</f>
        <v/>
      </c>
      <c r="F16">
        <f>IF(A16="","",TODAY()-A16)</f>
        <v/>
      </c>
      <c r="G16">
        <f>IF(A16="","",IF(E16&lt;TODAY(),"VENCIDO",IF(E16&lt;=TODAY()+7,"POR VENCER","AL DÍA")))</f>
        <v/>
      </c>
      <c r="H16">
        <f>IFERROR(INDEX(TRANSACCIONES!$K$2:$K$1000,SMALL(IF(UPPER(TRANSACCIONES!$L$2:$L$1000)="POR COBRAR",ROW(TRANSACCIONES!$L$2:$L$1000)-ROW(TRANSACCIONES!$L$2)+1),11)),"")</f>
        <v/>
      </c>
    </row>
    <row r="17">
      <c r="A17">
        <f>IFERROR(INDEX(TRANSACCIONES!$A$2:$A$1000,SMALL(IF(UPPER(TRANSACCIONES!$L$2:$L$1000)="POR COBRAR",ROW(TRANSACCIONES!$L$2:$L$1000)-ROW(TRANSACCIONES!$L$2)+1),12)),"")</f>
        <v/>
      </c>
      <c r="B17">
        <f>IFERROR(INDEX(TRANSACCIONES!$E$2:$E$1000,SMALL(IF(UPPER(TRANSACCIONES!$L$2:$L$1000)="POR COBRAR",ROW(TRANSACCIONES!$L$2:$L$1000)-ROW(TRANSACCIONES!$L$2)+1),12)),"")</f>
        <v/>
      </c>
      <c r="C17">
        <f>IFERROR(INDEX(TRANSACCIONES!$F$2:$F$1000,SMALL(IF(UPPER(TRANSACCIONES!$L$2:$L$1000)="POR COBRAR",ROW(TRANSACCIONES!$L$2:$L$1000)-ROW(TRANSACCIONES!$L$2)+1),12)),"")</f>
        <v/>
      </c>
      <c r="D17" s="9">
        <f>IFERROR(INDEX(TRANSACCIONES!$I$2:$I$1000,SMALL(IF(UPPER(TRANSACCIONES!$L$2:$L$1000)="POR COBRAR",ROW(TRANSACCIONES!$L$2:$L$1000)-ROW(TRANSACCIONES!$L$2)+1),12)),"")</f>
        <v/>
      </c>
      <c r="E17">
        <f>IFERROR(INDEX(TRANSACCIONES!$N$2:$N$1000,SMALL(IF(UPPER(TRANSACCIONES!$L$2:$L$1000)="POR COBRAR",ROW(TRANSACCIONES!$L$2:$L$1000)-ROW(TRANSACCIONES!$L$2)+1),12)),"")</f>
        <v/>
      </c>
      <c r="F17">
        <f>IF(A17="","",TODAY()-A17)</f>
        <v/>
      </c>
      <c r="G17">
        <f>IF(A17="","",IF(E17&lt;TODAY(),"VENCIDO",IF(E17&lt;=TODAY()+7,"POR VENCER","AL DÍA")))</f>
        <v/>
      </c>
      <c r="H17">
        <f>IFERROR(INDEX(TRANSACCIONES!$K$2:$K$1000,SMALL(IF(UPPER(TRANSACCIONES!$L$2:$L$1000)="POR COBRAR",ROW(TRANSACCIONES!$L$2:$L$1000)-ROW(TRANSACCIONES!$L$2)+1),12)),"")</f>
        <v/>
      </c>
    </row>
    <row r="18">
      <c r="A18">
        <f>IFERROR(INDEX(TRANSACCIONES!$A$2:$A$1000,SMALL(IF(UPPER(TRANSACCIONES!$L$2:$L$1000)="POR COBRAR",ROW(TRANSACCIONES!$L$2:$L$1000)-ROW(TRANSACCIONES!$L$2)+1),13)),"")</f>
        <v/>
      </c>
      <c r="B18">
        <f>IFERROR(INDEX(TRANSACCIONES!$E$2:$E$1000,SMALL(IF(UPPER(TRANSACCIONES!$L$2:$L$1000)="POR COBRAR",ROW(TRANSACCIONES!$L$2:$L$1000)-ROW(TRANSACCIONES!$L$2)+1),13)),"")</f>
        <v/>
      </c>
      <c r="C18">
        <f>IFERROR(INDEX(TRANSACCIONES!$F$2:$F$1000,SMALL(IF(UPPER(TRANSACCIONES!$L$2:$L$1000)="POR COBRAR",ROW(TRANSACCIONES!$L$2:$L$1000)-ROW(TRANSACCIONES!$L$2)+1),13)),"")</f>
        <v/>
      </c>
      <c r="D18" s="9">
        <f>IFERROR(INDEX(TRANSACCIONES!$I$2:$I$1000,SMALL(IF(UPPER(TRANSACCIONES!$L$2:$L$1000)="POR COBRAR",ROW(TRANSACCIONES!$L$2:$L$1000)-ROW(TRANSACCIONES!$L$2)+1),13)),"")</f>
        <v/>
      </c>
      <c r="E18">
        <f>IFERROR(INDEX(TRANSACCIONES!$N$2:$N$1000,SMALL(IF(UPPER(TRANSACCIONES!$L$2:$L$1000)="POR COBRAR",ROW(TRANSACCIONES!$L$2:$L$1000)-ROW(TRANSACCIONES!$L$2)+1),13)),"")</f>
        <v/>
      </c>
      <c r="F18">
        <f>IF(A18="","",TODAY()-A18)</f>
        <v/>
      </c>
      <c r="G18">
        <f>IF(A18="","",IF(E18&lt;TODAY(),"VENCIDO",IF(E18&lt;=TODAY()+7,"POR VENCER","AL DÍA")))</f>
        <v/>
      </c>
      <c r="H18">
        <f>IFERROR(INDEX(TRANSACCIONES!$K$2:$K$1000,SMALL(IF(UPPER(TRANSACCIONES!$L$2:$L$1000)="POR COBRAR",ROW(TRANSACCIONES!$L$2:$L$1000)-ROW(TRANSACCIONES!$L$2)+1),13)),"")</f>
        <v/>
      </c>
    </row>
    <row r="19">
      <c r="A19">
        <f>IFERROR(INDEX(TRANSACCIONES!$A$2:$A$1000,SMALL(IF(UPPER(TRANSACCIONES!$L$2:$L$1000)="POR COBRAR",ROW(TRANSACCIONES!$L$2:$L$1000)-ROW(TRANSACCIONES!$L$2)+1),14)),"")</f>
        <v/>
      </c>
      <c r="B19">
        <f>IFERROR(INDEX(TRANSACCIONES!$E$2:$E$1000,SMALL(IF(UPPER(TRANSACCIONES!$L$2:$L$1000)="POR COBRAR",ROW(TRANSACCIONES!$L$2:$L$1000)-ROW(TRANSACCIONES!$L$2)+1),14)),"")</f>
        <v/>
      </c>
      <c r="C19">
        <f>IFERROR(INDEX(TRANSACCIONES!$F$2:$F$1000,SMALL(IF(UPPER(TRANSACCIONES!$L$2:$L$1000)="POR COBRAR",ROW(TRANSACCIONES!$L$2:$L$1000)-ROW(TRANSACCIONES!$L$2)+1),14)),"")</f>
        <v/>
      </c>
      <c r="D19" s="9">
        <f>IFERROR(INDEX(TRANSACCIONES!$I$2:$I$1000,SMALL(IF(UPPER(TRANSACCIONES!$L$2:$L$1000)="POR COBRAR",ROW(TRANSACCIONES!$L$2:$L$1000)-ROW(TRANSACCIONES!$L$2)+1),14)),"")</f>
        <v/>
      </c>
      <c r="E19">
        <f>IFERROR(INDEX(TRANSACCIONES!$N$2:$N$1000,SMALL(IF(UPPER(TRANSACCIONES!$L$2:$L$1000)="POR COBRAR",ROW(TRANSACCIONES!$L$2:$L$1000)-ROW(TRANSACCIONES!$L$2)+1),14)),"")</f>
        <v/>
      </c>
      <c r="F19">
        <f>IF(A19="","",TODAY()-A19)</f>
        <v/>
      </c>
      <c r="G19">
        <f>IF(A19="","",IF(E19&lt;TODAY(),"VENCIDO",IF(E19&lt;=TODAY()+7,"POR VENCER","AL DÍA")))</f>
        <v/>
      </c>
      <c r="H19">
        <f>IFERROR(INDEX(TRANSACCIONES!$K$2:$K$1000,SMALL(IF(UPPER(TRANSACCIONES!$L$2:$L$1000)="POR COBRAR",ROW(TRANSACCIONES!$L$2:$L$1000)-ROW(TRANSACCIONES!$L$2)+1),14)),"")</f>
        <v/>
      </c>
    </row>
    <row r="20">
      <c r="A20">
        <f>IFERROR(INDEX(TRANSACCIONES!$A$2:$A$1000,SMALL(IF(UPPER(TRANSACCIONES!$L$2:$L$1000)="POR COBRAR",ROW(TRANSACCIONES!$L$2:$L$1000)-ROW(TRANSACCIONES!$L$2)+1),15)),"")</f>
        <v/>
      </c>
      <c r="B20">
        <f>IFERROR(INDEX(TRANSACCIONES!$E$2:$E$1000,SMALL(IF(UPPER(TRANSACCIONES!$L$2:$L$1000)="POR COBRAR",ROW(TRANSACCIONES!$L$2:$L$1000)-ROW(TRANSACCIONES!$L$2)+1),15)),"")</f>
        <v/>
      </c>
      <c r="C20">
        <f>IFERROR(INDEX(TRANSACCIONES!$F$2:$F$1000,SMALL(IF(UPPER(TRANSACCIONES!$L$2:$L$1000)="POR COBRAR",ROW(TRANSACCIONES!$L$2:$L$1000)-ROW(TRANSACCIONES!$L$2)+1),15)),"")</f>
        <v/>
      </c>
      <c r="D20" s="9">
        <f>IFERROR(INDEX(TRANSACCIONES!$I$2:$I$1000,SMALL(IF(UPPER(TRANSACCIONES!$L$2:$L$1000)="POR COBRAR",ROW(TRANSACCIONES!$L$2:$L$1000)-ROW(TRANSACCIONES!$L$2)+1),15)),"")</f>
        <v/>
      </c>
      <c r="E20">
        <f>IFERROR(INDEX(TRANSACCIONES!$N$2:$N$1000,SMALL(IF(UPPER(TRANSACCIONES!$L$2:$L$1000)="POR COBRAR",ROW(TRANSACCIONES!$L$2:$L$1000)-ROW(TRANSACCIONES!$L$2)+1),15)),"")</f>
        <v/>
      </c>
      <c r="F20">
        <f>IF(A20="","",TODAY()-A20)</f>
        <v/>
      </c>
      <c r="G20">
        <f>IF(A20="","",IF(E20&lt;TODAY(),"VENCIDO",IF(E20&lt;=TODAY()+7,"POR VENCER","AL DÍA")))</f>
        <v/>
      </c>
      <c r="H20">
        <f>IFERROR(INDEX(TRANSACCIONES!$K$2:$K$1000,SMALL(IF(UPPER(TRANSACCIONES!$L$2:$L$1000)="POR COBRAR",ROW(TRANSACCIONES!$L$2:$L$1000)-ROW(TRANSACCIONES!$L$2)+1),15)),"")</f>
        <v/>
      </c>
    </row>
    <row r="21">
      <c r="A21">
        <f>IFERROR(INDEX(TRANSACCIONES!$A$2:$A$1000,SMALL(IF(UPPER(TRANSACCIONES!$L$2:$L$1000)="POR COBRAR",ROW(TRANSACCIONES!$L$2:$L$1000)-ROW(TRANSACCIONES!$L$2)+1),16)),"")</f>
        <v/>
      </c>
      <c r="B21">
        <f>IFERROR(INDEX(TRANSACCIONES!$E$2:$E$1000,SMALL(IF(UPPER(TRANSACCIONES!$L$2:$L$1000)="POR COBRAR",ROW(TRANSACCIONES!$L$2:$L$1000)-ROW(TRANSACCIONES!$L$2)+1),16)),"")</f>
        <v/>
      </c>
      <c r="C21">
        <f>IFERROR(INDEX(TRANSACCIONES!$F$2:$F$1000,SMALL(IF(UPPER(TRANSACCIONES!$L$2:$L$1000)="POR COBRAR",ROW(TRANSACCIONES!$L$2:$L$1000)-ROW(TRANSACCIONES!$L$2)+1),16)),"")</f>
        <v/>
      </c>
      <c r="D21" s="9">
        <f>IFERROR(INDEX(TRANSACCIONES!$I$2:$I$1000,SMALL(IF(UPPER(TRANSACCIONES!$L$2:$L$1000)="POR COBRAR",ROW(TRANSACCIONES!$L$2:$L$1000)-ROW(TRANSACCIONES!$L$2)+1),16)),"")</f>
        <v/>
      </c>
      <c r="E21">
        <f>IFERROR(INDEX(TRANSACCIONES!$N$2:$N$1000,SMALL(IF(UPPER(TRANSACCIONES!$L$2:$L$1000)="POR COBRAR",ROW(TRANSACCIONES!$L$2:$L$1000)-ROW(TRANSACCIONES!$L$2)+1),16)),"")</f>
        <v/>
      </c>
      <c r="F21">
        <f>IF(A21="","",TODAY()-A21)</f>
        <v/>
      </c>
      <c r="G21">
        <f>IF(A21="","",IF(E21&lt;TODAY(),"VENCIDO",IF(E21&lt;=TODAY()+7,"POR VENCER","AL DÍA")))</f>
        <v/>
      </c>
      <c r="H21">
        <f>IFERROR(INDEX(TRANSACCIONES!$K$2:$K$1000,SMALL(IF(UPPER(TRANSACCIONES!$L$2:$L$1000)="POR COBRAR",ROW(TRANSACCIONES!$L$2:$L$1000)-ROW(TRANSACCIONES!$L$2)+1),16)),"")</f>
        <v/>
      </c>
    </row>
    <row r="22">
      <c r="A22">
        <f>IFERROR(INDEX(TRANSACCIONES!$A$2:$A$1000,SMALL(IF(UPPER(TRANSACCIONES!$L$2:$L$1000)="POR COBRAR",ROW(TRANSACCIONES!$L$2:$L$1000)-ROW(TRANSACCIONES!$L$2)+1),17)),"")</f>
        <v/>
      </c>
      <c r="B22">
        <f>IFERROR(INDEX(TRANSACCIONES!$E$2:$E$1000,SMALL(IF(UPPER(TRANSACCIONES!$L$2:$L$1000)="POR COBRAR",ROW(TRANSACCIONES!$L$2:$L$1000)-ROW(TRANSACCIONES!$L$2)+1),17)),"")</f>
        <v/>
      </c>
      <c r="C22">
        <f>IFERROR(INDEX(TRANSACCIONES!$F$2:$F$1000,SMALL(IF(UPPER(TRANSACCIONES!$L$2:$L$1000)="POR COBRAR",ROW(TRANSACCIONES!$L$2:$L$1000)-ROW(TRANSACCIONES!$L$2)+1),17)),"")</f>
        <v/>
      </c>
      <c r="D22" s="9">
        <f>IFERROR(INDEX(TRANSACCIONES!$I$2:$I$1000,SMALL(IF(UPPER(TRANSACCIONES!$L$2:$L$1000)="POR COBRAR",ROW(TRANSACCIONES!$L$2:$L$1000)-ROW(TRANSACCIONES!$L$2)+1),17)),"")</f>
        <v/>
      </c>
      <c r="E22">
        <f>IFERROR(INDEX(TRANSACCIONES!$N$2:$N$1000,SMALL(IF(UPPER(TRANSACCIONES!$L$2:$L$1000)="POR COBRAR",ROW(TRANSACCIONES!$L$2:$L$1000)-ROW(TRANSACCIONES!$L$2)+1),17)),"")</f>
        <v/>
      </c>
      <c r="F22">
        <f>IF(A22="","",TODAY()-A22)</f>
        <v/>
      </c>
      <c r="G22">
        <f>IF(A22="","",IF(E22&lt;TODAY(),"VENCIDO",IF(E22&lt;=TODAY()+7,"POR VENCER","AL DÍA")))</f>
        <v/>
      </c>
      <c r="H22">
        <f>IFERROR(INDEX(TRANSACCIONES!$K$2:$K$1000,SMALL(IF(UPPER(TRANSACCIONES!$L$2:$L$1000)="POR COBRAR",ROW(TRANSACCIONES!$L$2:$L$1000)-ROW(TRANSACCIONES!$L$2)+1),17)),"")</f>
        <v/>
      </c>
    </row>
    <row r="23">
      <c r="A23">
        <f>IFERROR(INDEX(TRANSACCIONES!$A$2:$A$1000,SMALL(IF(UPPER(TRANSACCIONES!$L$2:$L$1000)="POR COBRAR",ROW(TRANSACCIONES!$L$2:$L$1000)-ROW(TRANSACCIONES!$L$2)+1),18)),"")</f>
        <v/>
      </c>
      <c r="B23">
        <f>IFERROR(INDEX(TRANSACCIONES!$E$2:$E$1000,SMALL(IF(UPPER(TRANSACCIONES!$L$2:$L$1000)="POR COBRAR",ROW(TRANSACCIONES!$L$2:$L$1000)-ROW(TRANSACCIONES!$L$2)+1),18)),"")</f>
        <v/>
      </c>
      <c r="C23">
        <f>IFERROR(INDEX(TRANSACCIONES!$F$2:$F$1000,SMALL(IF(UPPER(TRANSACCIONES!$L$2:$L$1000)="POR COBRAR",ROW(TRANSACCIONES!$L$2:$L$1000)-ROW(TRANSACCIONES!$L$2)+1),18)),"")</f>
        <v/>
      </c>
      <c r="D23" s="9">
        <f>IFERROR(INDEX(TRANSACCIONES!$I$2:$I$1000,SMALL(IF(UPPER(TRANSACCIONES!$L$2:$L$1000)="POR COBRAR",ROW(TRANSACCIONES!$L$2:$L$1000)-ROW(TRANSACCIONES!$L$2)+1),18)),"")</f>
        <v/>
      </c>
      <c r="E23">
        <f>IFERROR(INDEX(TRANSACCIONES!$N$2:$N$1000,SMALL(IF(UPPER(TRANSACCIONES!$L$2:$L$1000)="POR COBRAR",ROW(TRANSACCIONES!$L$2:$L$1000)-ROW(TRANSACCIONES!$L$2)+1),18)),"")</f>
        <v/>
      </c>
      <c r="F23">
        <f>IF(A23="","",TODAY()-A23)</f>
        <v/>
      </c>
      <c r="G23">
        <f>IF(A23="","",IF(E23&lt;TODAY(),"VENCIDO",IF(E23&lt;=TODAY()+7,"POR VENCER","AL DÍA")))</f>
        <v/>
      </c>
      <c r="H23">
        <f>IFERROR(INDEX(TRANSACCIONES!$K$2:$K$1000,SMALL(IF(UPPER(TRANSACCIONES!$L$2:$L$1000)="POR COBRAR",ROW(TRANSACCIONES!$L$2:$L$1000)-ROW(TRANSACCIONES!$L$2)+1),18)),"")</f>
        <v/>
      </c>
    </row>
    <row r="24">
      <c r="A24">
        <f>IFERROR(INDEX(TRANSACCIONES!$A$2:$A$1000,SMALL(IF(UPPER(TRANSACCIONES!$L$2:$L$1000)="POR COBRAR",ROW(TRANSACCIONES!$L$2:$L$1000)-ROW(TRANSACCIONES!$L$2)+1),19)),"")</f>
        <v/>
      </c>
      <c r="B24">
        <f>IFERROR(INDEX(TRANSACCIONES!$E$2:$E$1000,SMALL(IF(UPPER(TRANSACCIONES!$L$2:$L$1000)="POR COBRAR",ROW(TRANSACCIONES!$L$2:$L$1000)-ROW(TRANSACCIONES!$L$2)+1),19)),"")</f>
        <v/>
      </c>
      <c r="C24">
        <f>IFERROR(INDEX(TRANSACCIONES!$F$2:$F$1000,SMALL(IF(UPPER(TRANSACCIONES!$L$2:$L$1000)="POR COBRAR",ROW(TRANSACCIONES!$L$2:$L$1000)-ROW(TRANSACCIONES!$L$2)+1),19)),"")</f>
        <v/>
      </c>
      <c r="D24" s="9">
        <f>IFERROR(INDEX(TRANSACCIONES!$I$2:$I$1000,SMALL(IF(UPPER(TRANSACCIONES!$L$2:$L$1000)="POR COBRAR",ROW(TRANSACCIONES!$L$2:$L$1000)-ROW(TRANSACCIONES!$L$2)+1),19)),"")</f>
        <v/>
      </c>
      <c r="E24">
        <f>IFERROR(INDEX(TRANSACCIONES!$N$2:$N$1000,SMALL(IF(UPPER(TRANSACCIONES!$L$2:$L$1000)="POR COBRAR",ROW(TRANSACCIONES!$L$2:$L$1000)-ROW(TRANSACCIONES!$L$2)+1),19)),"")</f>
        <v/>
      </c>
      <c r="F24">
        <f>IF(A24="","",TODAY()-A24)</f>
        <v/>
      </c>
      <c r="G24">
        <f>IF(A24="","",IF(E24&lt;TODAY(),"VENCIDO",IF(E24&lt;=TODAY()+7,"POR VENCER","AL DÍA")))</f>
        <v/>
      </c>
      <c r="H24">
        <f>IFERROR(INDEX(TRANSACCIONES!$K$2:$K$1000,SMALL(IF(UPPER(TRANSACCIONES!$L$2:$L$1000)="POR COBRAR",ROW(TRANSACCIONES!$L$2:$L$1000)-ROW(TRANSACCIONES!$L$2)+1),19)),"")</f>
        <v/>
      </c>
    </row>
    <row r="25">
      <c r="A25">
        <f>IFERROR(INDEX(TRANSACCIONES!$A$2:$A$1000,SMALL(IF(UPPER(TRANSACCIONES!$L$2:$L$1000)="POR COBRAR",ROW(TRANSACCIONES!$L$2:$L$1000)-ROW(TRANSACCIONES!$L$2)+1),20)),"")</f>
        <v/>
      </c>
      <c r="B25">
        <f>IFERROR(INDEX(TRANSACCIONES!$E$2:$E$1000,SMALL(IF(UPPER(TRANSACCIONES!$L$2:$L$1000)="POR COBRAR",ROW(TRANSACCIONES!$L$2:$L$1000)-ROW(TRANSACCIONES!$L$2)+1),20)),"")</f>
        <v/>
      </c>
      <c r="C25">
        <f>IFERROR(INDEX(TRANSACCIONES!$F$2:$F$1000,SMALL(IF(UPPER(TRANSACCIONES!$L$2:$L$1000)="POR COBRAR",ROW(TRANSACCIONES!$L$2:$L$1000)-ROW(TRANSACCIONES!$L$2)+1),20)),"")</f>
        <v/>
      </c>
      <c r="D25" s="9">
        <f>IFERROR(INDEX(TRANSACCIONES!$I$2:$I$1000,SMALL(IF(UPPER(TRANSACCIONES!$L$2:$L$1000)="POR COBRAR",ROW(TRANSACCIONES!$L$2:$L$1000)-ROW(TRANSACCIONES!$L$2)+1),20)),"")</f>
        <v/>
      </c>
      <c r="E25">
        <f>IFERROR(INDEX(TRANSACCIONES!$N$2:$N$1000,SMALL(IF(UPPER(TRANSACCIONES!$L$2:$L$1000)="POR COBRAR",ROW(TRANSACCIONES!$L$2:$L$1000)-ROW(TRANSACCIONES!$L$2)+1),20)),"")</f>
        <v/>
      </c>
      <c r="F25">
        <f>IF(A25="","",TODAY()-A25)</f>
        <v/>
      </c>
      <c r="G25">
        <f>IF(A25="","",IF(E25&lt;TODAY(),"VENCIDO",IF(E25&lt;=TODAY()+7,"POR VENCER","AL DÍA")))</f>
        <v/>
      </c>
      <c r="H25">
        <f>IFERROR(INDEX(TRANSACCIONES!$K$2:$K$1000,SMALL(IF(UPPER(TRANSACCIONES!$L$2:$L$1000)="POR COBRAR",ROW(TRANSACCIONES!$L$2:$L$1000)-ROW(TRANSACCIONES!$L$2)+1),20)),"")</f>
        <v/>
      </c>
    </row>
    <row r="26">
      <c r="A26">
        <f>IFERROR(INDEX(TRANSACCIONES!$A$2:$A$1000,SMALL(IF(UPPER(TRANSACCIONES!$L$2:$L$1000)="POR COBRAR",ROW(TRANSACCIONES!$L$2:$L$1000)-ROW(TRANSACCIONES!$L$2)+1),21)),"")</f>
        <v/>
      </c>
      <c r="B26">
        <f>IFERROR(INDEX(TRANSACCIONES!$E$2:$E$1000,SMALL(IF(UPPER(TRANSACCIONES!$L$2:$L$1000)="POR COBRAR",ROW(TRANSACCIONES!$L$2:$L$1000)-ROW(TRANSACCIONES!$L$2)+1),21)),"")</f>
        <v/>
      </c>
      <c r="C26">
        <f>IFERROR(INDEX(TRANSACCIONES!$F$2:$F$1000,SMALL(IF(UPPER(TRANSACCIONES!$L$2:$L$1000)="POR COBRAR",ROW(TRANSACCIONES!$L$2:$L$1000)-ROW(TRANSACCIONES!$L$2)+1),21)),"")</f>
        <v/>
      </c>
      <c r="D26" s="9">
        <f>IFERROR(INDEX(TRANSACCIONES!$I$2:$I$1000,SMALL(IF(UPPER(TRANSACCIONES!$L$2:$L$1000)="POR COBRAR",ROW(TRANSACCIONES!$L$2:$L$1000)-ROW(TRANSACCIONES!$L$2)+1),21)),"")</f>
        <v/>
      </c>
      <c r="E26">
        <f>IFERROR(INDEX(TRANSACCIONES!$N$2:$N$1000,SMALL(IF(UPPER(TRANSACCIONES!$L$2:$L$1000)="POR COBRAR",ROW(TRANSACCIONES!$L$2:$L$1000)-ROW(TRANSACCIONES!$L$2)+1),21)),"")</f>
        <v/>
      </c>
      <c r="F26">
        <f>IF(A26="","",TODAY()-A26)</f>
        <v/>
      </c>
      <c r="G26">
        <f>IF(A26="","",IF(E26&lt;TODAY(),"VENCIDO",IF(E26&lt;=TODAY()+7,"POR VENCER","AL DÍA")))</f>
        <v/>
      </c>
      <c r="H26">
        <f>IFERROR(INDEX(TRANSACCIONES!$K$2:$K$1000,SMALL(IF(UPPER(TRANSACCIONES!$L$2:$L$1000)="POR COBRAR",ROW(TRANSACCIONES!$L$2:$L$1000)-ROW(TRANSACCIONES!$L$2)+1),21)),"")</f>
        <v/>
      </c>
    </row>
    <row r="27">
      <c r="A27">
        <f>IFERROR(INDEX(TRANSACCIONES!$A$2:$A$1000,SMALL(IF(UPPER(TRANSACCIONES!$L$2:$L$1000)="POR COBRAR",ROW(TRANSACCIONES!$L$2:$L$1000)-ROW(TRANSACCIONES!$L$2)+1),22)),"")</f>
        <v/>
      </c>
      <c r="B27">
        <f>IFERROR(INDEX(TRANSACCIONES!$E$2:$E$1000,SMALL(IF(UPPER(TRANSACCIONES!$L$2:$L$1000)="POR COBRAR",ROW(TRANSACCIONES!$L$2:$L$1000)-ROW(TRANSACCIONES!$L$2)+1),22)),"")</f>
        <v/>
      </c>
      <c r="C27">
        <f>IFERROR(INDEX(TRANSACCIONES!$F$2:$F$1000,SMALL(IF(UPPER(TRANSACCIONES!$L$2:$L$1000)="POR COBRAR",ROW(TRANSACCIONES!$L$2:$L$1000)-ROW(TRANSACCIONES!$L$2)+1),22)),"")</f>
        <v/>
      </c>
      <c r="D27" s="9">
        <f>IFERROR(INDEX(TRANSACCIONES!$I$2:$I$1000,SMALL(IF(UPPER(TRANSACCIONES!$L$2:$L$1000)="POR COBRAR",ROW(TRANSACCIONES!$L$2:$L$1000)-ROW(TRANSACCIONES!$L$2)+1),22)),"")</f>
        <v/>
      </c>
      <c r="E27">
        <f>IFERROR(INDEX(TRANSACCIONES!$N$2:$N$1000,SMALL(IF(UPPER(TRANSACCIONES!$L$2:$L$1000)="POR COBRAR",ROW(TRANSACCIONES!$L$2:$L$1000)-ROW(TRANSACCIONES!$L$2)+1),22)),"")</f>
        <v/>
      </c>
      <c r="F27">
        <f>IF(A27="","",TODAY()-A27)</f>
        <v/>
      </c>
      <c r="G27">
        <f>IF(A27="","",IF(E27&lt;TODAY(),"VENCIDO",IF(E27&lt;=TODAY()+7,"POR VENCER","AL DÍA")))</f>
        <v/>
      </c>
      <c r="H27">
        <f>IFERROR(INDEX(TRANSACCIONES!$K$2:$K$1000,SMALL(IF(UPPER(TRANSACCIONES!$L$2:$L$1000)="POR COBRAR",ROW(TRANSACCIONES!$L$2:$L$1000)-ROW(TRANSACCIONES!$L$2)+1),22)),"")</f>
        <v/>
      </c>
    </row>
    <row r="28">
      <c r="A28">
        <f>IFERROR(INDEX(TRANSACCIONES!$A$2:$A$1000,SMALL(IF(UPPER(TRANSACCIONES!$L$2:$L$1000)="POR COBRAR",ROW(TRANSACCIONES!$L$2:$L$1000)-ROW(TRANSACCIONES!$L$2)+1),23)),"")</f>
        <v/>
      </c>
      <c r="B28">
        <f>IFERROR(INDEX(TRANSACCIONES!$E$2:$E$1000,SMALL(IF(UPPER(TRANSACCIONES!$L$2:$L$1000)="POR COBRAR",ROW(TRANSACCIONES!$L$2:$L$1000)-ROW(TRANSACCIONES!$L$2)+1),23)),"")</f>
        <v/>
      </c>
      <c r="C28">
        <f>IFERROR(INDEX(TRANSACCIONES!$F$2:$F$1000,SMALL(IF(UPPER(TRANSACCIONES!$L$2:$L$1000)="POR COBRAR",ROW(TRANSACCIONES!$L$2:$L$1000)-ROW(TRANSACCIONES!$L$2)+1),23)),"")</f>
        <v/>
      </c>
      <c r="D28" s="9">
        <f>IFERROR(INDEX(TRANSACCIONES!$I$2:$I$1000,SMALL(IF(UPPER(TRANSACCIONES!$L$2:$L$1000)="POR COBRAR",ROW(TRANSACCIONES!$L$2:$L$1000)-ROW(TRANSACCIONES!$L$2)+1),23)),"")</f>
        <v/>
      </c>
      <c r="E28">
        <f>IFERROR(INDEX(TRANSACCIONES!$N$2:$N$1000,SMALL(IF(UPPER(TRANSACCIONES!$L$2:$L$1000)="POR COBRAR",ROW(TRANSACCIONES!$L$2:$L$1000)-ROW(TRANSACCIONES!$L$2)+1),23)),"")</f>
        <v/>
      </c>
      <c r="F28">
        <f>IF(A28="","",TODAY()-A28)</f>
        <v/>
      </c>
      <c r="G28">
        <f>IF(A28="","",IF(E28&lt;TODAY(),"VENCIDO",IF(E28&lt;=TODAY()+7,"POR VENCER","AL DÍA")))</f>
        <v/>
      </c>
      <c r="H28">
        <f>IFERROR(INDEX(TRANSACCIONES!$K$2:$K$1000,SMALL(IF(UPPER(TRANSACCIONES!$L$2:$L$1000)="POR COBRAR",ROW(TRANSACCIONES!$L$2:$L$1000)-ROW(TRANSACCIONES!$L$2)+1),23)),"")</f>
        <v/>
      </c>
    </row>
    <row r="29">
      <c r="A29">
        <f>IFERROR(INDEX(TRANSACCIONES!$A$2:$A$1000,SMALL(IF(UPPER(TRANSACCIONES!$L$2:$L$1000)="POR COBRAR",ROW(TRANSACCIONES!$L$2:$L$1000)-ROW(TRANSACCIONES!$L$2)+1),24)),"")</f>
        <v/>
      </c>
      <c r="B29">
        <f>IFERROR(INDEX(TRANSACCIONES!$E$2:$E$1000,SMALL(IF(UPPER(TRANSACCIONES!$L$2:$L$1000)="POR COBRAR",ROW(TRANSACCIONES!$L$2:$L$1000)-ROW(TRANSACCIONES!$L$2)+1),24)),"")</f>
        <v/>
      </c>
      <c r="C29">
        <f>IFERROR(INDEX(TRANSACCIONES!$F$2:$F$1000,SMALL(IF(UPPER(TRANSACCIONES!$L$2:$L$1000)="POR COBRAR",ROW(TRANSACCIONES!$L$2:$L$1000)-ROW(TRANSACCIONES!$L$2)+1),24)),"")</f>
        <v/>
      </c>
      <c r="D29" s="9">
        <f>IFERROR(INDEX(TRANSACCIONES!$I$2:$I$1000,SMALL(IF(UPPER(TRANSACCIONES!$L$2:$L$1000)="POR COBRAR",ROW(TRANSACCIONES!$L$2:$L$1000)-ROW(TRANSACCIONES!$L$2)+1),24)),"")</f>
        <v/>
      </c>
      <c r="E29">
        <f>IFERROR(INDEX(TRANSACCIONES!$N$2:$N$1000,SMALL(IF(UPPER(TRANSACCIONES!$L$2:$L$1000)="POR COBRAR",ROW(TRANSACCIONES!$L$2:$L$1000)-ROW(TRANSACCIONES!$L$2)+1),24)),"")</f>
        <v/>
      </c>
      <c r="F29">
        <f>IF(A29="","",TODAY()-A29)</f>
        <v/>
      </c>
      <c r="G29">
        <f>IF(A29="","",IF(E29&lt;TODAY(),"VENCIDO",IF(E29&lt;=TODAY()+7,"POR VENCER","AL DÍA")))</f>
        <v/>
      </c>
      <c r="H29">
        <f>IFERROR(INDEX(TRANSACCIONES!$K$2:$K$1000,SMALL(IF(UPPER(TRANSACCIONES!$L$2:$L$1000)="POR COBRAR",ROW(TRANSACCIONES!$L$2:$L$1000)-ROW(TRANSACCIONES!$L$2)+1),24)),"")</f>
        <v/>
      </c>
    </row>
    <row r="30">
      <c r="A30">
        <f>IFERROR(INDEX(TRANSACCIONES!$A$2:$A$1000,SMALL(IF(UPPER(TRANSACCIONES!$L$2:$L$1000)="POR COBRAR",ROW(TRANSACCIONES!$L$2:$L$1000)-ROW(TRANSACCIONES!$L$2)+1),25)),"")</f>
        <v/>
      </c>
      <c r="B30">
        <f>IFERROR(INDEX(TRANSACCIONES!$E$2:$E$1000,SMALL(IF(UPPER(TRANSACCIONES!$L$2:$L$1000)="POR COBRAR",ROW(TRANSACCIONES!$L$2:$L$1000)-ROW(TRANSACCIONES!$L$2)+1),25)),"")</f>
        <v/>
      </c>
      <c r="C30">
        <f>IFERROR(INDEX(TRANSACCIONES!$F$2:$F$1000,SMALL(IF(UPPER(TRANSACCIONES!$L$2:$L$1000)="POR COBRAR",ROW(TRANSACCIONES!$L$2:$L$1000)-ROW(TRANSACCIONES!$L$2)+1),25)),"")</f>
        <v/>
      </c>
      <c r="D30" s="9">
        <f>IFERROR(INDEX(TRANSACCIONES!$I$2:$I$1000,SMALL(IF(UPPER(TRANSACCIONES!$L$2:$L$1000)="POR COBRAR",ROW(TRANSACCIONES!$L$2:$L$1000)-ROW(TRANSACCIONES!$L$2)+1),25)),"")</f>
        <v/>
      </c>
      <c r="E30">
        <f>IFERROR(INDEX(TRANSACCIONES!$N$2:$N$1000,SMALL(IF(UPPER(TRANSACCIONES!$L$2:$L$1000)="POR COBRAR",ROW(TRANSACCIONES!$L$2:$L$1000)-ROW(TRANSACCIONES!$L$2)+1),25)),"")</f>
        <v/>
      </c>
      <c r="F30">
        <f>IF(A30="","",TODAY()-A30)</f>
        <v/>
      </c>
      <c r="G30">
        <f>IF(A30="","",IF(E30&lt;TODAY(),"VENCIDO",IF(E30&lt;=TODAY()+7,"POR VENCER","AL DÍA")))</f>
        <v/>
      </c>
      <c r="H30">
        <f>IFERROR(INDEX(TRANSACCIONES!$K$2:$K$1000,SMALL(IF(UPPER(TRANSACCIONES!$L$2:$L$1000)="POR COBRAR",ROW(TRANSACCIONES!$L$2:$L$1000)-ROW(TRANSACCIONES!$L$2)+1),25)),"")</f>
        <v/>
      </c>
    </row>
    <row r="31">
      <c r="A31">
        <f>IFERROR(INDEX(TRANSACCIONES!$A$2:$A$1000,SMALL(IF(UPPER(TRANSACCIONES!$L$2:$L$1000)="POR COBRAR",ROW(TRANSACCIONES!$L$2:$L$1000)-ROW(TRANSACCIONES!$L$2)+1),26)),"")</f>
        <v/>
      </c>
      <c r="B31">
        <f>IFERROR(INDEX(TRANSACCIONES!$E$2:$E$1000,SMALL(IF(UPPER(TRANSACCIONES!$L$2:$L$1000)="POR COBRAR",ROW(TRANSACCIONES!$L$2:$L$1000)-ROW(TRANSACCIONES!$L$2)+1),26)),"")</f>
        <v/>
      </c>
      <c r="C31">
        <f>IFERROR(INDEX(TRANSACCIONES!$F$2:$F$1000,SMALL(IF(UPPER(TRANSACCIONES!$L$2:$L$1000)="POR COBRAR",ROW(TRANSACCIONES!$L$2:$L$1000)-ROW(TRANSACCIONES!$L$2)+1),26)),"")</f>
        <v/>
      </c>
      <c r="D31" s="9">
        <f>IFERROR(INDEX(TRANSACCIONES!$I$2:$I$1000,SMALL(IF(UPPER(TRANSACCIONES!$L$2:$L$1000)="POR COBRAR",ROW(TRANSACCIONES!$L$2:$L$1000)-ROW(TRANSACCIONES!$L$2)+1),26)),"")</f>
        <v/>
      </c>
      <c r="E31">
        <f>IFERROR(INDEX(TRANSACCIONES!$N$2:$N$1000,SMALL(IF(UPPER(TRANSACCIONES!$L$2:$L$1000)="POR COBRAR",ROW(TRANSACCIONES!$L$2:$L$1000)-ROW(TRANSACCIONES!$L$2)+1),26)),"")</f>
        <v/>
      </c>
      <c r="F31">
        <f>IF(A31="","",TODAY()-A31)</f>
        <v/>
      </c>
      <c r="G31">
        <f>IF(A31="","",IF(E31&lt;TODAY(),"VENCIDO",IF(E31&lt;=TODAY()+7,"POR VENCER","AL DÍA")))</f>
        <v/>
      </c>
      <c r="H31">
        <f>IFERROR(INDEX(TRANSACCIONES!$K$2:$K$1000,SMALL(IF(UPPER(TRANSACCIONES!$L$2:$L$1000)="POR COBRAR",ROW(TRANSACCIONES!$L$2:$L$1000)-ROW(TRANSACCIONES!$L$2)+1),26)),"")</f>
        <v/>
      </c>
    </row>
    <row r="32">
      <c r="A32">
        <f>IFERROR(INDEX(TRANSACCIONES!$A$2:$A$1000,SMALL(IF(UPPER(TRANSACCIONES!$L$2:$L$1000)="POR COBRAR",ROW(TRANSACCIONES!$L$2:$L$1000)-ROW(TRANSACCIONES!$L$2)+1),27)),"")</f>
        <v/>
      </c>
      <c r="B32">
        <f>IFERROR(INDEX(TRANSACCIONES!$E$2:$E$1000,SMALL(IF(UPPER(TRANSACCIONES!$L$2:$L$1000)="POR COBRAR",ROW(TRANSACCIONES!$L$2:$L$1000)-ROW(TRANSACCIONES!$L$2)+1),27)),"")</f>
        <v/>
      </c>
      <c r="C32">
        <f>IFERROR(INDEX(TRANSACCIONES!$F$2:$F$1000,SMALL(IF(UPPER(TRANSACCIONES!$L$2:$L$1000)="POR COBRAR",ROW(TRANSACCIONES!$L$2:$L$1000)-ROW(TRANSACCIONES!$L$2)+1),27)),"")</f>
        <v/>
      </c>
      <c r="D32" s="9">
        <f>IFERROR(INDEX(TRANSACCIONES!$I$2:$I$1000,SMALL(IF(UPPER(TRANSACCIONES!$L$2:$L$1000)="POR COBRAR",ROW(TRANSACCIONES!$L$2:$L$1000)-ROW(TRANSACCIONES!$L$2)+1),27)),"")</f>
        <v/>
      </c>
      <c r="E32">
        <f>IFERROR(INDEX(TRANSACCIONES!$N$2:$N$1000,SMALL(IF(UPPER(TRANSACCIONES!$L$2:$L$1000)="POR COBRAR",ROW(TRANSACCIONES!$L$2:$L$1000)-ROW(TRANSACCIONES!$L$2)+1),27)),"")</f>
        <v/>
      </c>
      <c r="F32">
        <f>IF(A32="","",TODAY()-A32)</f>
        <v/>
      </c>
      <c r="G32">
        <f>IF(A32="","",IF(E32&lt;TODAY(),"VENCIDO",IF(E32&lt;=TODAY()+7,"POR VENCER","AL DÍA")))</f>
        <v/>
      </c>
      <c r="H32">
        <f>IFERROR(INDEX(TRANSACCIONES!$K$2:$K$1000,SMALL(IF(UPPER(TRANSACCIONES!$L$2:$L$1000)="POR COBRAR",ROW(TRANSACCIONES!$L$2:$L$1000)-ROW(TRANSACCIONES!$L$2)+1),27)),"")</f>
        <v/>
      </c>
    </row>
    <row r="33">
      <c r="A33">
        <f>IFERROR(INDEX(TRANSACCIONES!$A$2:$A$1000,SMALL(IF(UPPER(TRANSACCIONES!$L$2:$L$1000)="POR COBRAR",ROW(TRANSACCIONES!$L$2:$L$1000)-ROW(TRANSACCIONES!$L$2)+1),28)),"")</f>
        <v/>
      </c>
      <c r="B33">
        <f>IFERROR(INDEX(TRANSACCIONES!$E$2:$E$1000,SMALL(IF(UPPER(TRANSACCIONES!$L$2:$L$1000)="POR COBRAR",ROW(TRANSACCIONES!$L$2:$L$1000)-ROW(TRANSACCIONES!$L$2)+1),28)),"")</f>
        <v/>
      </c>
      <c r="C33">
        <f>IFERROR(INDEX(TRANSACCIONES!$F$2:$F$1000,SMALL(IF(UPPER(TRANSACCIONES!$L$2:$L$1000)="POR COBRAR",ROW(TRANSACCIONES!$L$2:$L$1000)-ROW(TRANSACCIONES!$L$2)+1),28)),"")</f>
        <v/>
      </c>
      <c r="D33" s="9">
        <f>IFERROR(INDEX(TRANSACCIONES!$I$2:$I$1000,SMALL(IF(UPPER(TRANSACCIONES!$L$2:$L$1000)="POR COBRAR",ROW(TRANSACCIONES!$L$2:$L$1000)-ROW(TRANSACCIONES!$L$2)+1),28)),"")</f>
        <v/>
      </c>
      <c r="E33">
        <f>IFERROR(INDEX(TRANSACCIONES!$N$2:$N$1000,SMALL(IF(UPPER(TRANSACCIONES!$L$2:$L$1000)="POR COBRAR",ROW(TRANSACCIONES!$L$2:$L$1000)-ROW(TRANSACCIONES!$L$2)+1),28)),"")</f>
        <v/>
      </c>
      <c r="F33">
        <f>IF(A33="","",TODAY()-A33)</f>
        <v/>
      </c>
      <c r="G33">
        <f>IF(A33="","",IF(E33&lt;TODAY(),"VENCIDO",IF(E33&lt;=TODAY()+7,"POR VENCER","AL DÍA")))</f>
        <v/>
      </c>
      <c r="H33">
        <f>IFERROR(INDEX(TRANSACCIONES!$K$2:$K$1000,SMALL(IF(UPPER(TRANSACCIONES!$L$2:$L$1000)="POR COBRAR",ROW(TRANSACCIONES!$L$2:$L$1000)-ROW(TRANSACCIONES!$L$2)+1),28)),"")</f>
        <v/>
      </c>
    </row>
    <row r="34">
      <c r="A34">
        <f>IFERROR(INDEX(TRANSACCIONES!$A$2:$A$1000,SMALL(IF(UPPER(TRANSACCIONES!$L$2:$L$1000)="POR COBRAR",ROW(TRANSACCIONES!$L$2:$L$1000)-ROW(TRANSACCIONES!$L$2)+1),29)),"")</f>
        <v/>
      </c>
      <c r="B34">
        <f>IFERROR(INDEX(TRANSACCIONES!$E$2:$E$1000,SMALL(IF(UPPER(TRANSACCIONES!$L$2:$L$1000)="POR COBRAR",ROW(TRANSACCIONES!$L$2:$L$1000)-ROW(TRANSACCIONES!$L$2)+1),29)),"")</f>
        <v/>
      </c>
      <c r="C34">
        <f>IFERROR(INDEX(TRANSACCIONES!$F$2:$F$1000,SMALL(IF(UPPER(TRANSACCIONES!$L$2:$L$1000)="POR COBRAR",ROW(TRANSACCIONES!$L$2:$L$1000)-ROW(TRANSACCIONES!$L$2)+1),29)),"")</f>
        <v/>
      </c>
      <c r="D34" s="9">
        <f>IFERROR(INDEX(TRANSACCIONES!$I$2:$I$1000,SMALL(IF(UPPER(TRANSACCIONES!$L$2:$L$1000)="POR COBRAR",ROW(TRANSACCIONES!$L$2:$L$1000)-ROW(TRANSACCIONES!$L$2)+1),29)),"")</f>
        <v/>
      </c>
      <c r="E34">
        <f>IFERROR(INDEX(TRANSACCIONES!$N$2:$N$1000,SMALL(IF(UPPER(TRANSACCIONES!$L$2:$L$1000)="POR COBRAR",ROW(TRANSACCIONES!$L$2:$L$1000)-ROW(TRANSACCIONES!$L$2)+1),29)),"")</f>
        <v/>
      </c>
      <c r="F34">
        <f>IF(A34="","",TODAY()-A34)</f>
        <v/>
      </c>
      <c r="G34">
        <f>IF(A34="","",IF(E34&lt;TODAY(),"VENCIDO",IF(E34&lt;=TODAY()+7,"POR VENCER","AL DÍA")))</f>
        <v/>
      </c>
      <c r="H34">
        <f>IFERROR(INDEX(TRANSACCIONES!$K$2:$K$1000,SMALL(IF(UPPER(TRANSACCIONES!$L$2:$L$1000)="POR COBRAR",ROW(TRANSACCIONES!$L$2:$L$1000)-ROW(TRANSACCIONES!$L$2)+1),29)),"")</f>
        <v/>
      </c>
    </row>
    <row r="35">
      <c r="A35">
        <f>IFERROR(INDEX(TRANSACCIONES!$A$2:$A$1000,SMALL(IF(UPPER(TRANSACCIONES!$L$2:$L$1000)="POR COBRAR",ROW(TRANSACCIONES!$L$2:$L$1000)-ROW(TRANSACCIONES!$L$2)+1),30)),"")</f>
        <v/>
      </c>
      <c r="B35">
        <f>IFERROR(INDEX(TRANSACCIONES!$E$2:$E$1000,SMALL(IF(UPPER(TRANSACCIONES!$L$2:$L$1000)="POR COBRAR",ROW(TRANSACCIONES!$L$2:$L$1000)-ROW(TRANSACCIONES!$L$2)+1),30)),"")</f>
        <v/>
      </c>
      <c r="C35">
        <f>IFERROR(INDEX(TRANSACCIONES!$F$2:$F$1000,SMALL(IF(UPPER(TRANSACCIONES!$L$2:$L$1000)="POR COBRAR",ROW(TRANSACCIONES!$L$2:$L$1000)-ROW(TRANSACCIONES!$L$2)+1),30)),"")</f>
        <v/>
      </c>
      <c r="D35" s="9">
        <f>IFERROR(INDEX(TRANSACCIONES!$I$2:$I$1000,SMALL(IF(UPPER(TRANSACCIONES!$L$2:$L$1000)="POR COBRAR",ROW(TRANSACCIONES!$L$2:$L$1000)-ROW(TRANSACCIONES!$L$2)+1),30)),"")</f>
        <v/>
      </c>
      <c r="E35">
        <f>IFERROR(INDEX(TRANSACCIONES!$N$2:$N$1000,SMALL(IF(UPPER(TRANSACCIONES!$L$2:$L$1000)="POR COBRAR",ROW(TRANSACCIONES!$L$2:$L$1000)-ROW(TRANSACCIONES!$L$2)+1),30)),"")</f>
        <v/>
      </c>
      <c r="F35">
        <f>IF(A35="","",TODAY()-A35)</f>
        <v/>
      </c>
      <c r="G35">
        <f>IF(A35="","",IF(E35&lt;TODAY(),"VENCIDO",IF(E35&lt;=TODAY()+7,"POR VENCER","AL DÍA")))</f>
        <v/>
      </c>
      <c r="H35">
        <f>IFERROR(INDEX(TRANSACCIONES!$K$2:$K$1000,SMALL(IF(UPPER(TRANSACCIONES!$L$2:$L$1000)="POR COBRAR",ROW(TRANSACCIONES!$L$2:$L$1000)-ROW(TRANSACCIONES!$L$2)+1),30)),"")</f>
        <v/>
      </c>
    </row>
    <row r="36">
      <c r="A36">
        <f>IFERROR(INDEX(TRANSACCIONES!$A$2:$A$1000,SMALL(IF(UPPER(TRANSACCIONES!$L$2:$L$1000)="POR COBRAR",ROW(TRANSACCIONES!$L$2:$L$1000)-ROW(TRANSACCIONES!$L$2)+1),31)),"")</f>
        <v/>
      </c>
      <c r="B36">
        <f>IFERROR(INDEX(TRANSACCIONES!$E$2:$E$1000,SMALL(IF(UPPER(TRANSACCIONES!$L$2:$L$1000)="POR COBRAR",ROW(TRANSACCIONES!$L$2:$L$1000)-ROW(TRANSACCIONES!$L$2)+1),31)),"")</f>
        <v/>
      </c>
      <c r="C36">
        <f>IFERROR(INDEX(TRANSACCIONES!$F$2:$F$1000,SMALL(IF(UPPER(TRANSACCIONES!$L$2:$L$1000)="POR COBRAR",ROW(TRANSACCIONES!$L$2:$L$1000)-ROW(TRANSACCIONES!$L$2)+1),31)),"")</f>
        <v/>
      </c>
      <c r="D36" s="9">
        <f>IFERROR(INDEX(TRANSACCIONES!$I$2:$I$1000,SMALL(IF(UPPER(TRANSACCIONES!$L$2:$L$1000)="POR COBRAR",ROW(TRANSACCIONES!$L$2:$L$1000)-ROW(TRANSACCIONES!$L$2)+1),31)),"")</f>
        <v/>
      </c>
      <c r="E36">
        <f>IFERROR(INDEX(TRANSACCIONES!$N$2:$N$1000,SMALL(IF(UPPER(TRANSACCIONES!$L$2:$L$1000)="POR COBRAR",ROW(TRANSACCIONES!$L$2:$L$1000)-ROW(TRANSACCIONES!$L$2)+1),31)),"")</f>
        <v/>
      </c>
      <c r="F36">
        <f>IF(A36="","",TODAY()-A36)</f>
        <v/>
      </c>
      <c r="G36">
        <f>IF(A36="","",IF(E36&lt;TODAY(),"VENCIDO",IF(E36&lt;=TODAY()+7,"POR VENCER","AL DÍA")))</f>
        <v/>
      </c>
      <c r="H36">
        <f>IFERROR(INDEX(TRANSACCIONES!$K$2:$K$1000,SMALL(IF(UPPER(TRANSACCIONES!$L$2:$L$1000)="POR COBRAR",ROW(TRANSACCIONES!$L$2:$L$1000)-ROW(TRANSACCIONES!$L$2)+1),31)),"")</f>
        <v/>
      </c>
    </row>
    <row r="37">
      <c r="A37">
        <f>IFERROR(INDEX(TRANSACCIONES!$A$2:$A$1000,SMALL(IF(UPPER(TRANSACCIONES!$L$2:$L$1000)="POR COBRAR",ROW(TRANSACCIONES!$L$2:$L$1000)-ROW(TRANSACCIONES!$L$2)+1),32)),"")</f>
        <v/>
      </c>
      <c r="B37">
        <f>IFERROR(INDEX(TRANSACCIONES!$E$2:$E$1000,SMALL(IF(UPPER(TRANSACCIONES!$L$2:$L$1000)="POR COBRAR",ROW(TRANSACCIONES!$L$2:$L$1000)-ROW(TRANSACCIONES!$L$2)+1),32)),"")</f>
        <v/>
      </c>
      <c r="C37">
        <f>IFERROR(INDEX(TRANSACCIONES!$F$2:$F$1000,SMALL(IF(UPPER(TRANSACCIONES!$L$2:$L$1000)="POR COBRAR",ROW(TRANSACCIONES!$L$2:$L$1000)-ROW(TRANSACCIONES!$L$2)+1),32)),"")</f>
        <v/>
      </c>
      <c r="D37" s="9">
        <f>IFERROR(INDEX(TRANSACCIONES!$I$2:$I$1000,SMALL(IF(UPPER(TRANSACCIONES!$L$2:$L$1000)="POR COBRAR",ROW(TRANSACCIONES!$L$2:$L$1000)-ROW(TRANSACCIONES!$L$2)+1),32)),"")</f>
        <v/>
      </c>
      <c r="E37">
        <f>IFERROR(INDEX(TRANSACCIONES!$N$2:$N$1000,SMALL(IF(UPPER(TRANSACCIONES!$L$2:$L$1000)="POR COBRAR",ROW(TRANSACCIONES!$L$2:$L$1000)-ROW(TRANSACCIONES!$L$2)+1),32)),"")</f>
        <v/>
      </c>
      <c r="F37">
        <f>IF(A37="","",TODAY()-A37)</f>
        <v/>
      </c>
      <c r="G37">
        <f>IF(A37="","",IF(E37&lt;TODAY(),"VENCIDO",IF(E37&lt;=TODAY()+7,"POR VENCER","AL DÍA")))</f>
        <v/>
      </c>
      <c r="H37">
        <f>IFERROR(INDEX(TRANSACCIONES!$K$2:$K$1000,SMALL(IF(UPPER(TRANSACCIONES!$L$2:$L$1000)="POR COBRAR",ROW(TRANSACCIONES!$L$2:$L$1000)-ROW(TRANSACCIONES!$L$2)+1),32)),"")</f>
        <v/>
      </c>
    </row>
    <row r="38">
      <c r="A38">
        <f>IFERROR(INDEX(TRANSACCIONES!$A$2:$A$1000,SMALL(IF(UPPER(TRANSACCIONES!$L$2:$L$1000)="POR COBRAR",ROW(TRANSACCIONES!$L$2:$L$1000)-ROW(TRANSACCIONES!$L$2)+1),33)),"")</f>
        <v/>
      </c>
      <c r="B38">
        <f>IFERROR(INDEX(TRANSACCIONES!$E$2:$E$1000,SMALL(IF(UPPER(TRANSACCIONES!$L$2:$L$1000)="POR COBRAR",ROW(TRANSACCIONES!$L$2:$L$1000)-ROW(TRANSACCIONES!$L$2)+1),33)),"")</f>
        <v/>
      </c>
      <c r="C38">
        <f>IFERROR(INDEX(TRANSACCIONES!$F$2:$F$1000,SMALL(IF(UPPER(TRANSACCIONES!$L$2:$L$1000)="POR COBRAR",ROW(TRANSACCIONES!$L$2:$L$1000)-ROW(TRANSACCIONES!$L$2)+1),33)),"")</f>
        <v/>
      </c>
      <c r="D38" s="9">
        <f>IFERROR(INDEX(TRANSACCIONES!$I$2:$I$1000,SMALL(IF(UPPER(TRANSACCIONES!$L$2:$L$1000)="POR COBRAR",ROW(TRANSACCIONES!$L$2:$L$1000)-ROW(TRANSACCIONES!$L$2)+1),33)),"")</f>
        <v/>
      </c>
      <c r="E38">
        <f>IFERROR(INDEX(TRANSACCIONES!$N$2:$N$1000,SMALL(IF(UPPER(TRANSACCIONES!$L$2:$L$1000)="POR COBRAR",ROW(TRANSACCIONES!$L$2:$L$1000)-ROW(TRANSACCIONES!$L$2)+1),33)),"")</f>
        <v/>
      </c>
      <c r="F38">
        <f>IF(A38="","",TODAY()-A38)</f>
        <v/>
      </c>
      <c r="G38">
        <f>IF(A38="","",IF(E38&lt;TODAY(),"VENCIDO",IF(E38&lt;=TODAY()+7,"POR VENCER","AL DÍA")))</f>
        <v/>
      </c>
      <c r="H38">
        <f>IFERROR(INDEX(TRANSACCIONES!$K$2:$K$1000,SMALL(IF(UPPER(TRANSACCIONES!$L$2:$L$1000)="POR COBRAR",ROW(TRANSACCIONES!$L$2:$L$1000)-ROW(TRANSACCIONES!$L$2)+1),33)),"")</f>
        <v/>
      </c>
    </row>
    <row r="39">
      <c r="A39">
        <f>IFERROR(INDEX(TRANSACCIONES!$A$2:$A$1000,SMALL(IF(UPPER(TRANSACCIONES!$L$2:$L$1000)="POR COBRAR",ROW(TRANSACCIONES!$L$2:$L$1000)-ROW(TRANSACCIONES!$L$2)+1),34)),"")</f>
        <v/>
      </c>
      <c r="B39">
        <f>IFERROR(INDEX(TRANSACCIONES!$E$2:$E$1000,SMALL(IF(UPPER(TRANSACCIONES!$L$2:$L$1000)="POR COBRAR",ROW(TRANSACCIONES!$L$2:$L$1000)-ROW(TRANSACCIONES!$L$2)+1),34)),"")</f>
        <v/>
      </c>
      <c r="C39">
        <f>IFERROR(INDEX(TRANSACCIONES!$F$2:$F$1000,SMALL(IF(UPPER(TRANSACCIONES!$L$2:$L$1000)="POR COBRAR",ROW(TRANSACCIONES!$L$2:$L$1000)-ROW(TRANSACCIONES!$L$2)+1),34)),"")</f>
        <v/>
      </c>
      <c r="D39" s="9">
        <f>IFERROR(INDEX(TRANSACCIONES!$I$2:$I$1000,SMALL(IF(UPPER(TRANSACCIONES!$L$2:$L$1000)="POR COBRAR",ROW(TRANSACCIONES!$L$2:$L$1000)-ROW(TRANSACCIONES!$L$2)+1),34)),"")</f>
        <v/>
      </c>
      <c r="E39">
        <f>IFERROR(INDEX(TRANSACCIONES!$N$2:$N$1000,SMALL(IF(UPPER(TRANSACCIONES!$L$2:$L$1000)="POR COBRAR",ROW(TRANSACCIONES!$L$2:$L$1000)-ROW(TRANSACCIONES!$L$2)+1),34)),"")</f>
        <v/>
      </c>
      <c r="F39">
        <f>IF(A39="","",TODAY()-A39)</f>
        <v/>
      </c>
      <c r="G39">
        <f>IF(A39="","",IF(E39&lt;TODAY(),"VENCIDO",IF(E39&lt;=TODAY()+7,"POR VENCER","AL DÍA")))</f>
        <v/>
      </c>
      <c r="H39">
        <f>IFERROR(INDEX(TRANSACCIONES!$K$2:$K$1000,SMALL(IF(UPPER(TRANSACCIONES!$L$2:$L$1000)="POR COBRAR",ROW(TRANSACCIONES!$L$2:$L$1000)-ROW(TRANSACCIONES!$L$2)+1),34)),"")</f>
        <v/>
      </c>
    </row>
    <row r="40">
      <c r="A40">
        <f>IFERROR(INDEX(TRANSACCIONES!$A$2:$A$1000,SMALL(IF(UPPER(TRANSACCIONES!$L$2:$L$1000)="POR COBRAR",ROW(TRANSACCIONES!$L$2:$L$1000)-ROW(TRANSACCIONES!$L$2)+1),35)),"")</f>
        <v/>
      </c>
      <c r="B40">
        <f>IFERROR(INDEX(TRANSACCIONES!$E$2:$E$1000,SMALL(IF(UPPER(TRANSACCIONES!$L$2:$L$1000)="POR COBRAR",ROW(TRANSACCIONES!$L$2:$L$1000)-ROW(TRANSACCIONES!$L$2)+1),35)),"")</f>
        <v/>
      </c>
      <c r="C40">
        <f>IFERROR(INDEX(TRANSACCIONES!$F$2:$F$1000,SMALL(IF(UPPER(TRANSACCIONES!$L$2:$L$1000)="POR COBRAR",ROW(TRANSACCIONES!$L$2:$L$1000)-ROW(TRANSACCIONES!$L$2)+1),35)),"")</f>
        <v/>
      </c>
      <c r="D40" s="9">
        <f>IFERROR(INDEX(TRANSACCIONES!$I$2:$I$1000,SMALL(IF(UPPER(TRANSACCIONES!$L$2:$L$1000)="POR COBRAR",ROW(TRANSACCIONES!$L$2:$L$1000)-ROW(TRANSACCIONES!$L$2)+1),35)),"")</f>
        <v/>
      </c>
      <c r="E40">
        <f>IFERROR(INDEX(TRANSACCIONES!$N$2:$N$1000,SMALL(IF(UPPER(TRANSACCIONES!$L$2:$L$1000)="POR COBRAR",ROW(TRANSACCIONES!$L$2:$L$1000)-ROW(TRANSACCIONES!$L$2)+1),35)),"")</f>
        <v/>
      </c>
      <c r="F40">
        <f>IF(A40="","",TODAY()-A40)</f>
        <v/>
      </c>
      <c r="G40">
        <f>IF(A40="","",IF(E40&lt;TODAY(),"VENCIDO",IF(E40&lt;=TODAY()+7,"POR VENCER","AL DÍA")))</f>
        <v/>
      </c>
      <c r="H40">
        <f>IFERROR(INDEX(TRANSACCIONES!$K$2:$K$1000,SMALL(IF(UPPER(TRANSACCIONES!$L$2:$L$1000)="POR COBRAR",ROW(TRANSACCIONES!$L$2:$L$1000)-ROW(TRANSACCIONES!$L$2)+1),35)),"")</f>
        <v/>
      </c>
    </row>
    <row r="41">
      <c r="A41">
        <f>IFERROR(INDEX(TRANSACCIONES!$A$2:$A$1000,SMALL(IF(UPPER(TRANSACCIONES!$L$2:$L$1000)="POR COBRAR",ROW(TRANSACCIONES!$L$2:$L$1000)-ROW(TRANSACCIONES!$L$2)+1),36)),"")</f>
        <v/>
      </c>
      <c r="B41">
        <f>IFERROR(INDEX(TRANSACCIONES!$E$2:$E$1000,SMALL(IF(UPPER(TRANSACCIONES!$L$2:$L$1000)="POR COBRAR",ROW(TRANSACCIONES!$L$2:$L$1000)-ROW(TRANSACCIONES!$L$2)+1),36)),"")</f>
        <v/>
      </c>
      <c r="C41">
        <f>IFERROR(INDEX(TRANSACCIONES!$F$2:$F$1000,SMALL(IF(UPPER(TRANSACCIONES!$L$2:$L$1000)="POR COBRAR",ROW(TRANSACCIONES!$L$2:$L$1000)-ROW(TRANSACCIONES!$L$2)+1),36)),"")</f>
        <v/>
      </c>
      <c r="D41" s="9">
        <f>IFERROR(INDEX(TRANSACCIONES!$I$2:$I$1000,SMALL(IF(UPPER(TRANSACCIONES!$L$2:$L$1000)="POR COBRAR",ROW(TRANSACCIONES!$L$2:$L$1000)-ROW(TRANSACCIONES!$L$2)+1),36)),"")</f>
        <v/>
      </c>
      <c r="E41">
        <f>IFERROR(INDEX(TRANSACCIONES!$N$2:$N$1000,SMALL(IF(UPPER(TRANSACCIONES!$L$2:$L$1000)="POR COBRAR",ROW(TRANSACCIONES!$L$2:$L$1000)-ROW(TRANSACCIONES!$L$2)+1),36)),"")</f>
        <v/>
      </c>
      <c r="F41">
        <f>IF(A41="","",TODAY()-A41)</f>
        <v/>
      </c>
      <c r="G41">
        <f>IF(A41="","",IF(E41&lt;TODAY(),"VENCIDO",IF(E41&lt;=TODAY()+7,"POR VENCER","AL DÍA")))</f>
        <v/>
      </c>
      <c r="H41">
        <f>IFERROR(INDEX(TRANSACCIONES!$K$2:$K$1000,SMALL(IF(UPPER(TRANSACCIONES!$L$2:$L$1000)="POR COBRAR",ROW(TRANSACCIONES!$L$2:$L$1000)-ROW(TRANSACCIONES!$L$2)+1),36)),"")</f>
        <v/>
      </c>
    </row>
    <row r="42">
      <c r="A42">
        <f>IFERROR(INDEX(TRANSACCIONES!$A$2:$A$1000,SMALL(IF(UPPER(TRANSACCIONES!$L$2:$L$1000)="POR COBRAR",ROW(TRANSACCIONES!$L$2:$L$1000)-ROW(TRANSACCIONES!$L$2)+1),37)),"")</f>
        <v/>
      </c>
      <c r="B42">
        <f>IFERROR(INDEX(TRANSACCIONES!$E$2:$E$1000,SMALL(IF(UPPER(TRANSACCIONES!$L$2:$L$1000)="POR COBRAR",ROW(TRANSACCIONES!$L$2:$L$1000)-ROW(TRANSACCIONES!$L$2)+1),37)),"")</f>
        <v/>
      </c>
      <c r="C42">
        <f>IFERROR(INDEX(TRANSACCIONES!$F$2:$F$1000,SMALL(IF(UPPER(TRANSACCIONES!$L$2:$L$1000)="POR COBRAR",ROW(TRANSACCIONES!$L$2:$L$1000)-ROW(TRANSACCIONES!$L$2)+1),37)),"")</f>
        <v/>
      </c>
      <c r="D42" s="9">
        <f>IFERROR(INDEX(TRANSACCIONES!$I$2:$I$1000,SMALL(IF(UPPER(TRANSACCIONES!$L$2:$L$1000)="POR COBRAR",ROW(TRANSACCIONES!$L$2:$L$1000)-ROW(TRANSACCIONES!$L$2)+1),37)),"")</f>
        <v/>
      </c>
      <c r="E42">
        <f>IFERROR(INDEX(TRANSACCIONES!$N$2:$N$1000,SMALL(IF(UPPER(TRANSACCIONES!$L$2:$L$1000)="POR COBRAR",ROW(TRANSACCIONES!$L$2:$L$1000)-ROW(TRANSACCIONES!$L$2)+1),37)),"")</f>
        <v/>
      </c>
      <c r="F42">
        <f>IF(A42="","",TODAY()-A42)</f>
        <v/>
      </c>
      <c r="G42">
        <f>IF(A42="","",IF(E42&lt;TODAY(),"VENCIDO",IF(E42&lt;=TODAY()+7,"POR VENCER","AL DÍA")))</f>
        <v/>
      </c>
      <c r="H42">
        <f>IFERROR(INDEX(TRANSACCIONES!$K$2:$K$1000,SMALL(IF(UPPER(TRANSACCIONES!$L$2:$L$1000)="POR COBRAR",ROW(TRANSACCIONES!$L$2:$L$1000)-ROW(TRANSACCIONES!$L$2)+1),37)),"")</f>
        <v/>
      </c>
    </row>
    <row r="43">
      <c r="A43">
        <f>IFERROR(INDEX(TRANSACCIONES!$A$2:$A$1000,SMALL(IF(UPPER(TRANSACCIONES!$L$2:$L$1000)="POR COBRAR",ROW(TRANSACCIONES!$L$2:$L$1000)-ROW(TRANSACCIONES!$L$2)+1),38)),"")</f>
        <v/>
      </c>
      <c r="B43">
        <f>IFERROR(INDEX(TRANSACCIONES!$E$2:$E$1000,SMALL(IF(UPPER(TRANSACCIONES!$L$2:$L$1000)="POR COBRAR",ROW(TRANSACCIONES!$L$2:$L$1000)-ROW(TRANSACCIONES!$L$2)+1),38)),"")</f>
        <v/>
      </c>
      <c r="C43">
        <f>IFERROR(INDEX(TRANSACCIONES!$F$2:$F$1000,SMALL(IF(UPPER(TRANSACCIONES!$L$2:$L$1000)="POR COBRAR",ROW(TRANSACCIONES!$L$2:$L$1000)-ROW(TRANSACCIONES!$L$2)+1),38)),"")</f>
        <v/>
      </c>
      <c r="D43" s="9">
        <f>IFERROR(INDEX(TRANSACCIONES!$I$2:$I$1000,SMALL(IF(UPPER(TRANSACCIONES!$L$2:$L$1000)="POR COBRAR",ROW(TRANSACCIONES!$L$2:$L$1000)-ROW(TRANSACCIONES!$L$2)+1),38)),"")</f>
        <v/>
      </c>
      <c r="E43">
        <f>IFERROR(INDEX(TRANSACCIONES!$N$2:$N$1000,SMALL(IF(UPPER(TRANSACCIONES!$L$2:$L$1000)="POR COBRAR",ROW(TRANSACCIONES!$L$2:$L$1000)-ROW(TRANSACCIONES!$L$2)+1),38)),"")</f>
        <v/>
      </c>
      <c r="F43">
        <f>IF(A43="","",TODAY()-A43)</f>
        <v/>
      </c>
      <c r="G43">
        <f>IF(A43="","",IF(E43&lt;TODAY(),"VENCIDO",IF(E43&lt;=TODAY()+7,"POR VENCER","AL DÍA")))</f>
        <v/>
      </c>
      <c r="H43">
        <f>IFERROR(INDEX(TRANSACCIONES!$K$2:$K$1000,SMALL(IF(UPPER(TRANSACCIONES!$L$2:$L$1000)="POR COBRAR",ROW(TRANSACCIONES!$L$2:$L$1000)-ROW(TRANSACCIONES!$L$2)+1),38)),"")</f>
        <v/>
      </c>
    </row>
    <row r="44">
      <c r="A44">
        <f>IFERROR(INDEX(TRANSACCIONES!$A$2:$A$1000,SMALL(IF(UPPER(TRANSACCIONES!$L$2:$L$1000)="POR COBRAR",ROW(TRANSACCIONES!$L$2:$L$1000)-ROW(TRANSACCIONES!$L$2)+1),39)),"")</f>
        <v/>
      </c>
      <c r="B44">
        <f>IFERROR(INDEX(TRANSACCIONES!$E$2:$E$1000,SMALL(IF(UPPER(TRANSACCIONES!$L$2:$L$1000)="POR COBRAR",ROW(TRANSACCIONES!$L$2:$L$1000)-ROW(TRANSACCIONES!$L$2)+1),39)),"")</f>
        <v/>
      </c>
      <c r="C44">
        <f>IFERROR(INDEX(TRANSACCIONES!$F$2:$F$1000,SMALL(IF(UPPER(TRANSACCIONES!$L$2:$L$1000)="POR COBRAR",ROW(TRANSACCIONES!$L$2:$L$1000)-ROW(TRANSACCIONES!$L$2)+1),39)),"")</f>
        <v/>
      </c>
      <c r="D44" s="9">
        <f>IFERROR(INDEX(TRANSACCIONES!$I$2:$I$1000,SMALL(IF(UPPER(TRANSACCIONES!$L$2:$L$1000)="POR COBRAR",ROW(TRANSACCIONES!$L$2:$L$1000)-ROW(TRANSACCIONES!$L$2)+1),39)),"")</f>
        <v/>
      </c>
      <c r="E44">
        <f>IFERROR(INDEX(TRANSACCIONES!$N$2:$N$1000,SMALL(IF(UPPER(TRANSACCIONES!$L$2:$L$1000)="POR COBRAR",ROW(TRANSACCIONES!$L$2:$L$1000)-ROW(TRANSACCIONES!$L$2)+1),39)),"")</f>
        <v/>
      </c>
      <c r="F44">
        <f>IF(A44="","",TODAY()-A44)</f>
        <v/>
      </c>
      <c r="G44">
        <f>IF(A44="","",IF(E44&lt;TODAY(),"VENCIDO",IF(E44&lt;=TODAY()+7,"POR VENCER","AL DÍA")))</f>
        <v/>
      </c>
      <c r="H44">
        <f>IFERROR(INDEX(TRANSACCIONES!$K$2:$K$1000,SMALL(IF(UPPER(TRANSACCIONES!$L$2:$L$1000)="POR COBRAR",ROW(TRANSACCIONES!$L$2:$L$1000)-ROW(TRANSACCIONES!$L$2)+1),39)),"")</f>
        <v/>
      </c>
    </row>
    <row r="45">
      <c r="A45">
        <f>IFERROR(INDEX(TRANSACCIONES!$A$2:$A$1000,SMALL(IF(UPPER(TRANSACCIONES!$L$2:$L$1000)="POR COBRAR",ROW(TRANSACCIONES!$L$2:$L$1000)-ROW(TRANSACCIONES!$L$2)+1),40)),"")</f>
        <v/>
      </c>
      <c r="B45">
        <f>IFERROR(INDEX(TRANSACCIONES!$E$2:$E$1000,SMALL(IF(UPPER(TRANSACCIONES!$L$2:$L$1000)="POR COBRAR",ROW(TRANSACCIONES!$L$2:$L$1000)-ROW(TRANSACCIONES!$L$2)+1),40)),"")</f>
        <v/>
      </c>
      <c r="C45">
        <f>IFERROR(INDEX(TRANSACCIONES!$F$2:$F$1000,SMALL(IF(UPPER(TRANSACCIONES!$L$2:$L$1000)="POR COBRAR",ROW(TRANSACCIONES!$L$2:$L$1000)-ROW(TRANSACCIONES!$L$2)+1),40)),"")</f>
        <v/>
      </c>
      <c r="D45" s="9">
        <f>IFERROR(INDEX(TRANSACCIONES!$I$2:$I$1000,SMALL(IF(UPPER(TRANSACCIONES!$L$2:$L$1000)="POR COBRAR",ROW(TRANSACCIONES!$L$2:$L$1000)-ROW(TRANSACCIONES!$L$2)+1),40)),"")</f>
        <v/>
      </c>
      <c r="E45">
        <f>IFERROR(INDEX(TRANSACCIONES!$N$2:$N$1000,SMALL(IF(UPPER(TRANSACCIONES!$L$2:$L$1000)="POR COBRAR",ROW(TRANSACCIONES!$L$2:$L$1000)-ROW(TRANSACCIONES!$L$2)+1),40)),"")</f>
        <v/>
      </c>
      <c r="F45">
        <f>IF(A45="","",TODAY()-A45)</f>
        <v/>
      </c>
      <c r="G45">
        <f>IF(A45="","",IF(E45&lt;TODAY(),"VENCIDO",IF(E45&lt;=TODAY()+7,"POR VENCER","AL DÍA")))</f>
        <v/>
      </c>
      <c r="H45">
        <f>IFERROR(INDEX(TRANSACCIONES!$K$2:$K$1000,SMALL(IF(UPPER(TRANSACCIONES!$L$2:$L$1000)="POR COBRAR",ROW(TRANSACCIONES!$L$2:$L$1000)-ROW(TRANSACCIONES!$L$2)+1),40)),"")</f>
        <v/>
      </c>
    </row>
    <row r="46">
      <c r="A46">
        <f>IFERROR(INDEX(TRANSACCIONES!$A$2:$A$1000,SMALL(IF(UPPER(TRANSACCIONES!$L$2:$L$1000)="POR COBRAR",ROW(TRANSACCIONES!$L$2:$L$1000)-ROW(TRANSACCIONES!$L$2)+1),41)),"")</f>
        <v/>
      </c>
      <c r="B46">
        <f>IFERROR(INDEX(TRANSACCIONES!$E$2:$E$1000,SMALL(IF(UPPER(TRANSACCIONES!$L$2:$L$1000)="POR COBRAR",ROW(TRANSACCIONES!$L$2:$L$1000)-ROW(TRANSACCIONES!$L$2)+1),41)),"")</f>
        <v/>
      </c>
      <c r="C46">
        <f>IFERROR(INDEX(TRANSACCIONES!$F$2:$F$1000,SMALL(IF(UPPER(TRANSACCIONES!$L$2:$L$1000)="POR COBRAR",ROW(TRANSACCIONES!$L$2:$L$1000)-ROW(TRANSACCIONES!$L$2)+1),41)),"")</f>
        <v/>
      </c>
      <c r="D46" s="9">
        <f>IFERROR(INDEX(TRANSACCIONES!$I$2:$I$1000,SMALL(IF(UPPER(TRANSACCIONES!$L$2:$L$1000)="POR COBRAR",ROW(TRANSACCIONES!$L$2:$L$1000)-ROW(TRANSACCIONES!$L$2)+1),41)),"")</f>
        <v/>
      </c>
      <c r="E46">
        <f>IFERROR(INDEX(TRANSACCIONES!$N$2:$N$1000,SMALL(IF(UPPER(TRANSACCIONES!$L$2:$L$1000)="POR COBRAR",ROW(TRANSACCIONES!$L$2:$L$1000)-ROW(TRANSACCIONES!$L$2)+1),41)),"")</f>
        <v/>
      </c>
      <c r="F46">
        <f>IF(A46="","",TODAY()-A46)</f>
        <v/>
      </c>
      <c r="G46">
        <f>IF(A46="","",IF(E46&lt;TODAY(),"VENCIDO",IF(E46&lt;=TODAY()+7,"POR VENCER","AL DÍA")))</f>
        <v/>
      </c>
      <c r="H46">
        <f>IFERROR(INDEX(TRANSACCIONES!$K$2:$K$1000,SMALL(IF(UPPER(TRANSACCIONES!$L$2:$L$1000)="POR COBRAR",ROW(TRANSACCIONES!$L$2:$L$1000)-ROW(TRANSACCIONES!$L$2)+1),41)),"")</f>
        <v/>
      </c>
    </row>
    <row r="47">
      <c r="A47">
        <f>IFERROR(INDEX(TRANSACCIONES!$A$2:$A$1000,SMALL(IF(UPPER(TRANSACCIONES!$L$2:$L$1000)="POR COBRAR",ROW(TRANSACCIONES!$L$2:$L$1000)-ROW(TRANSACCIONES!$L$2)+1),42)),"")</f>
        <v/>
      </c>
      <c r="B47">
        <f>IFERROR(INDEX(TRANSACCIONES!$E$2:$E$1000,SMALL(IF(UPPER(TRANSACCIONES!$L$2:$L$1000)="POR COBRAR",ROW(TRANSACCIONES!$L$2:$L$1000)-ROW(TRANSACCIONES!$L$2)+1),42)),"")</f>
        <v/>
      </c>
      <c r="C47">
        <f>IFERROR(INDEX(TRANSACCIONES!$F$2:$F$1000,SMALL(IF(UPPER(TRANSACCIONES!$L$2:$L$1000)="POR COBRAR",ROW(TRANSACCIONES!$L$2:$L$1000)-ROW(TRANSACCIONES!$L$2)+1),42)),"")</f>
        <v/>
      </c>
      <c r="D47" s="9">
        <f>IFERROR(INDEX(TRANSACCIONES!$I$2:$I$1000,SMALL(IF(UPPER(TRANSACCIONES!$L$2:$L$1000)="POR COBRAR",ROW(TRANSACCIONES!$L$2:$L$1000)-ROW(TRANSACCIONES!$L$2)+1),42)),"")</f>
        <v/>
      </c>
      <c r="E47">
        <f>IFERROR(INDEX(TRANSACCIONES!$N$2:$N$1000,SMALL(IF(UPPER(TRANSACCIONES!$L$2:$L$1000)="POR COBRAR",ROW(TRANSACCIONES!$L$2:$L$1000)-ROW(TRANSACCIONES!$L$2)+1),42)),"")</f>
        <v/>
      </c>
      <c r="F47">
        <f>IF(A47="","",TODAY()-A47)</f>
        <v/>
      </c>
      <c r="G47">
        <f>IF(A47="","",IF(E47&lt;TODAY(),"VENCIDO",IF(E47&lt;=TODAY()+7,"POR VENCER","AL DÍA")))</f>
        <v/>
      </c>
      <c r="H47">
        <f>IFERROR(INDEX(TRANSACCIONES!$K$2:$K$1000,SMALL(IF(UPPER(TRANSACCIONES!$L$2:$L$1000)="POR COBRAR",ROW(TRANSACCIONES!$L$2:$L$1000)-ROW(TRANSACCIONES!$L$2)+1),42)),"")</f>
        <v/>
      </c>
    </row>
    <row r="48">
      <c r="A48">
        <f>IFERROR(INDEX(TRANSACCIONES!$A$2:$A$1000,SMALL(IF(UPPER(TRANSACCIONES!$L$2:$L$1000)="POR COBRAR",ROW(TRANSACCIONES!$L$2:$L$1000)-ROW(TRANSACCIONES!$L$2)+1),43)),"")</f>
        <v/>
      </c>
      <c r="B48">
        <f>IFERROR(INDEX(TRANSACCIONES!$E$2:$E$1000,SMALL(IF(UPPER(TRANSACCIONES!$L$2:$L$1000)="POR COBRAR",ROW(TRANSACCIONES!$L$2:$L$1000)-ROW(TRANSACCIONES!$L$2)+1),43)),"")</f>
        <v/>
      </c>
      <c r="C48">
        <f>IFERROR(INDEX(TRANSACCIONES!$F$2:$F$1000,SMALL(IF(UPPER(TRANSACCIONES!$L$2:$L$1000)="POR COBRAR",ROW(TRANSACCIONES!$L$2:$L$1000)-ROW(TRANSACCIONES!$L$2)+1),43)),"")</f>
        <v/>
      </c>
      <c r="D48" s="9">
        <f>IFERROR(INDEX(TRANSACCIONES!$I$2:$I$1000,SMALL(IF(UPPER(TRANSACCIONES!$L$2:$L$1000)="POR COBRAR",ROW(TRANSACCIONES!$L$2:$L$1000)-ROW(TRANSACCIONES!$L$2)+1),43)),"")</f>
        <v/>
      </c>
      <c r="E48">
        <f>IFERROR(INDEX(TRANSACCIONES!$N$2:$N$1000,SMALL(IF(UPPER(TRANSACCIONES!$L$2:$L$1000)="POR COBRAR",ROW(TRANSACCIONES!$L$2:$L$1000)-ROW(TRANSACCIONES!$L$2)+1),43)),"")</f>
        <v/>
      </c>
      <c r="F48">
        <f>IF(A48="","",TODAY()-A48)</f>
        <v/>
      </c>
      <c r="G48">
        <f>IF(A48="","",IF(E48&lt;TODAY(),"VENCIDO",IF(E48&lt;=TODAY()+7,"POR VENCER","AL DÍA")))</f>
        <v/>
      </c>
      <c r="H48">
        <f>IFERROR(INDEX(TRANSACCIONES!$K$2:$K$1000,SMALL(IF(UPPER(TRANSACCIONES!$L$2:$L$1000)="POR COBRAR",ROW(TRANSACCIONES!$L$2:$L$1000)-ROW(TRANSACCIONES!$L$2)+1),43)),"")</f>
        <v/>
      </c>
    </row>
    <row r="49">
      <c r="A49">
        <f>IFERROR(INDEX(TRANSACCIONES!$A$2:$A$1000,SMALL(IF(UPPER(TRANSACCIONES!$L$2:$L$1000)="POR COBRAR",ROW(TRANSACCIONES!$L$2:$L$1000)-ROW(TRANSACCIONES!$L$2)+1),44)),"")</f>
        <v/>
      </c>
      <c r="B49">
        <f>IFERROR(INDEX(TRANSACCIONES!$E$2:$E$1000,SMALL(IF(UPPER(TRANSACCIONES!$L$2:$L$1000)="POR COBRAR",ROW(TRANSACCIONES!$L$2:$L$1000)-ROW(TRANSACCIONES!$L$2)+1),44)),"")</f>
        <v/>
      </c>
      <c r="C49">
        <f>IFERROR(INDEX(TRANSACCIONES!$F$2:$F$1000,SMALL(IF(UPPER(TRANSACCIONES!$L$2:$L$1000)="POR COBRAR",ROW(TRANSACCIONES!$L$2:$L$1000)-ROW(TRANSACCIONES!$L$2)+1),44)),"")</f>
        <v/>
      </c>
      <c r="D49" s="9">
        <f>IFERROR(INDEX(TRANSACCIONES!$I$2:$I$1000,SMALL(IF(UPPER(TRANSACCIONES!$L$2:$L$1000)="POR COBRAR",ROW(TRANSACCIONES!$L$2:$L$1000)-ROW(TRANSACCIONES!$L$2)+1),44)),"")</f>
        <v/>
      </c>
      <c r="E49">
        <f>IFERROR(INDEX(TRANSACCIONES!$N$2:$N$1000,SMALL(IF(UPPER(TRANSACCIONES!$L$2:$L$1000)="POR COBRAR",ROW(TRANSACCIONES!$L$2:$L$1000)-ROW(TRANSACCIONES!$L$2)+1),44)),"")</f>
        <v/>
      </c>
      <c r="F49">
        <f>IF(A49="","",TODAY()-A49)</f>
        <v/>
      </c>
      <c r="G49">
        <f>IF(A49="","",IF(E49&lt;TODAY(),"VENCIDO",IF(E49&lt;=TODAY()+7,"POR VENCER","AL DÍA")))</f>
        <v/>
      </c>
      <c r="H49">
        <f>IFERROR(INDEX(TRANSACCIONES!$K$2:$K$1000,SMALL(IF(UPPER(TRANSACCIONES!$L$2:$L$1000)="POR COBRAR",ROW(TRANSACCIONES!$L$2:$L$1000)-ROW(TRANSACCIONES!$L$2)+1),44)),"")</f>
        <v/>
      </c>
    </row>
    <row r="50">
      <c r="A50">
        <f>IFERROR(INDEX(TRANSACCIONES!$A$2:$A$1000,SMALL(IF(UPPER(TRANSACCIONES!$L$2:$L$1000)="POR COBRAR",ROW(TRANSACCIONES!$L$2:$L$1000)-ROW(TRANSACCIONES!$L$2)+1),45)),"")</f>
        <v/>
      </c>
      <c r="B50">
        <f>IFERROR(INDEX(TRANSACCIONES!$E$2:$E$1000,SMALL(IF(UPPER(TRANSACCIONES!$L$2:$L$1000)="POR COBRAR",ROW(TRANSACCIONES!$L$2:$L$1000)-ROW(TRANSACCIONES!$L$2)+1),45)),"")</f>
        <v/>
      </c>
      <c r="C50">
        <f>IFERROR(INDEX(TRANSACCIONES!$F$2:$F$1000,SMALL(IF(UPPER(TRANSACCIONES!$L$2:$L$1000)="POR COBRAR",ROW(TRANSACCIONES!$L$2:$L$1000)-ROW(TRANSACCIONES!$L$2)+1),45)),"")</f>
        <v/>
      </c>
      <c r="D50" s="9">
        <f>IFERROR(INDEX(TRANSACCIONES!$I$2:$I$1000,SMALL(IF(UPPER(TRANSACCIONES!$L$2:$L$1000)="POR COBRAR",ROW(TRANSACCIONES!$L$2:$L$1000)-ROW(TRANSACCIONES!$L$2)+1),45)),"")</f>
        <v/>
      </c>
      <c r="E50">
        <f>IFERROR(INDEX(TRANSACCIONES!$N$2:$N$1000,SMALL(IF(UPPER(TRANSACCIONES!$L$2:$L$1000)="POR COBRAR",ROW(TRANSACCIONES!$L$2:$L$1000)-ROW(TRANSACCIONES!$L$2)+1),45)),"")</f>
        <v/>
      </c>
      <c r="F50">
        <f>IF(A50="","",TODAY()-A50)</f>
        <v/>
      </c>
      <c r="G50">
        <f>IF(A50="","",IF(E50&lt;TODAY(),"VENCIDO",IF(E50&lt;=TODAY()+7,"POR VENCER","AL DÍA")))</f>
        <v/>
      </c>
      <c r="H50">
        <f>IFERROR(INDEX(TRANSACCIONES!$K$2:$K$1000,SMALL(IF(UPPER(TRANSACCIONES!$L$2:$L$1000)="POR COBRAR",ROW(TRANSACCIONES!$L$2:$L$1000)-ROW(TRANSACCIONES!$L$2)+1),45)),"")</f>
        <v/>
      </c>
    </row>
    <row r="51">
      <c r="A51">
        <f>IFERROR(INDEX(TRANSACCIONES!$A$2:$A$1000,SMALL(IF(UPPER(TRANSACCIONES!$L$2:$L$1000)="POR COBRAR",ROW(TRANSACCIONES!$L$2:$L$1000)-ROW(TRANSACCIONES!$L$2)+1),46)),"")</f>
        <v/>
      </c>
      <c r="B51">
        <f>IFERROR(INDEX(TRANSACCIONES!$E$2:$E$1000,SMALL(IF(UPPER(TRANSACCIONES!$L$2:$L$1000)="POR COBRAR",ROW(TRANSACCIONES!$L$2:$L$1000)-ROW(TRANSACCIONES!$L$2)+1),46)),"")</f>
        <v/>
      </c>
      <c r="C51">
        <f>IFERROR(INDEX(TRANSACCIONES!$F$2:$F$1000,SMALL(IF(UPPER(TRANSACCIONES!$L$2:$L$1000)="POR COBRAR",ROW(TRANSACCIONES!$L$2:$L$1000)-ROW(TRANSACCIONES!$L$2)+1),46)),"")</f>
        <v/>
      </c>
      <c r="D51" s="9">
        <f>IFERROR(INDEX(TRANSACCIONES!$I$2:$I$1000,SMALL(IF(UPPER(TRANSACCIONES!$L$2:$L$1000)="POR COBRAR",ROW(TRANSACCIONES!$L$2:$L$1000)-ROW(TRANSACCIONES!$L$2)+1),46)),"")</f>
        <v/>
      </c>
      <c r="E51">
        <f>IFERROR(INDEX(TRANSACCIONES!$N$2:$N$1000,SMALL(IF(UPPER(TRANSACCIONES!$L$2:$L$1000)="POR COBRAR",ROW(TRANSACCIONES!$L$2:$L$1000)-ROW(TRANSACCIONES!$L$2)+1),46)),"")</f>
        <v/>
      </c>
      <c r="F51">
        <f>IF(A51="","",TODAY()-A51)</f>
        <v/>
      </c>
      <c r="G51">
        <f>IF(A51="","",IF(E51&lt;TODAY(),"VENCIDO",IF(E51&lt;=TODAY()+7,"POR VENCER","AL DÍA")))</f>
        <v/>
      </c>
      <c r="H51">
        <f>IFERROR(INDEX(TRANSACCIONES!$K$2:$K$1000,SMALL(IF(UPPER(TRANSACCIONES!$L$2:$L$1000)="POR COBRAR",ROW(TRANSACCIONES!$L$2:$L$1000)-ROW(TRANSACCIONES!$L$2)+1),46)),"")</f>
        <v/>
      </c>
    </row>
    <row r="52">
      <c r="A52">
        <f>IFERROR(INDEX(TRANSACCIONES!$A$2:$A$1000,SMALL(IF(UPPER(TRANSACCIONES!$L$2:$L$1000)="POR COBRAR",ROW(TRANSACCIONES!$L$2:$L$1000)-ROW(TRANSACCIONES!$L$2)+1),47)),"")</f>
        <v/>
      </c>
      <c r="B52">
        <f>IFERROR(INDEX(TRANSACCIONES!$E$2:$E$1000,SMALL(IF(UPPER(TRANSACCIONES!$L$2:$L$1000)="POR COBRAR",ROW(TRANSACCIONES!$L$2:$L$1000)-ROW(TRANSACCIONES!$L$2)+1),47)),"")</f>
        <v/>
      </c>
      <c r="C52">
        <f>IFERROR(INDEX(TRANSACCIONES!$F$2:$F$1000,SMALL(IF(UPPER(TRANSACCIONES!$L$2:$L$1000)="POR COBRAR",ROW(TRANSACCIONES!$L$2:$L$1000)-ROW(TRANSACCIONES!$L$2)+1),47)),"")</f>
        <v/>
      </c>
      <c r="D52" s="9">
        <f>IFERROR(INDEX(TRANSACCIONES!$I$2:$I$1000,SMALL(IF(UPPER(TRANSACCIONES!$L$2:$L$1000)="POR COBRAR",ROW(TRANSACCIONES!$L$2:$L$1000)-ROW(TRANSACCIONES!$L$2)+1),47)),"")</f>
        <v/>
      </c>
      <c r="E52">
        <f>IFERROR(INDEX(TRANSACCIONES!$N$2:$N$1000,SMALL(IF(UPPER(TRANSACCIONES!$L$2:$L$1000)="POR COBRAR",ROW(TRANSACCIONES!$L$2:$L$1000)-ROW(TRANSACCIONES!$L$2)+1),47)),"")</f>
        <v/>
      </c>
      <c r="F52">
        <f>IF(A52="","",TODAY()-A52)</f>
        <v/>
      </c>
      <c r="G52">
        <f>IF(A52="","",IF(E52&lt;TODAY(),"VENCIDO",IF(E52&lt;=TODAY()+7,"POR VENCER","AL DÍA")))</f>
        <v/>
      </c>
      <c r="H52">
        <f>IFERROR(INDEX(TRANSACCIONES!$K$2:$K$1000,SMALL(IF(UPPER(TRANSACCIONES!$L$2:$L$1000)="POR COBRAR",ROW(TRANSACCIONES!$L$2:$L$1000)-ROW(TRANSACCIONES!$L$2)+1),47)),"")</f>
        <v/>
      </c>
    </row>
    <row r="53">
      <c r="A53">
        <f>IFERROR(INDEX(TRANSACCIONES!$A$2:$A$1000,SMALL(IF(UPPER(TRANSACCIONES!$L$2:$L$1000)="POR COBRAR",ROW(TRANSACCIONES!$L$2:$L$1000)-ROW(TRANSACCIONES!$L$2)+1),48)),"")</f>
        <v/>
      </c>
      <c r="B53">
        <f>IFERROR(INDEX(TRANSACCIONES!$E$2:$E$1000,SMALL(IF(UPPER(TRANSACCIONES!$L$2:$L$1000)="POR COBRAR",ROW(TRANSACCIONES!$L$2:$L$1000)-ROW(TRANSACCIONES!$L$2)+1),48)),"")</f>
        <v/>
      </c>
      <c r="C53">
        <f>IFERROR(INDEX(TRANSACCIONES!$F$2:$F$1000,SMALL(IF(UPPER(TRANSACCIONES!$L$2:$L$1000)="POR COBRAR",ROW(TRANSACCIONES!$L$2:$L$1000)-ROW(TRANSACCIONES!$L$2)+1),48)),"")</f>
        <v/>
      </c>
      <c r="D53" s="9">
        <f>IFERROR(INDEX(TRANSACCIONES!$I$2:$I$1000,SMALL(IF(UPPER(TRANSACCIONES!$L$2:$L$1000)="POR COBRAR",ROW(TRANSACCIONES!$L$2:$L$1000)-ROW(TRANSACCIONES!$L$2)+1),48)),"")</f>
        <v/>
      </c>
      <c r="E53">
        <f>IFERROR(INDEX(TRANSACCIONES!$N$2:$N$1000,SMALL(IF(UPPER(TRANSACCIONES!$L$2:$L$1000)="POR COBRAR",ROW(TRANSACCIONES!$L$2:$L$1000)-ROW(TRANSACCIONES!$L$2)+1),48)),"")</f>
        <v/>
      </c>
      <c r="F53">
        <f>IF(A53="","",TODAY()-A53)</f>
        <v/>
      </c>
      <c r="G53">
        <f>IF(A53="","",IF(E53&lt;TODAY(),"VENCIDO",IF(E53&lt;=TODAY()+7,"POR VENCER","AL DÍA")))</f>
        <v/>
      </c>
      <c r="H53">
        <f>IFERROR(INDEX(TRANSACCIONES!$K$2:$K$1000,SMALL(IF(UPPER(TRANSACCIONES!$L$2:$L$1000)="POR COBRAR",ROW(TRANSACCIONES!$L$2:$L$1000)-ROW(TRANSACCIONES!$L$2)+1),48)),"")</f>
        <v/>
      </c>
    </row>
    <row r="54">
      <c r="A54">
        <f>IFERROR(INDEX(TRANSACCIONES!$A$2:$A$1000,SMALL(IF(UPPER(TRANSACCIONES!$L$2:$L$1000)="POR COBRAR",ROW(TRANSACCIONES!$L$2:$L$1000)-ROW(TRANSACCIONES!$L$2)+1),49)),"")</f>
        <v/>
      </c>
      <c r="B54">
        <f>IFERROR(INDEX(TRANSACCIONES!$E$2:$E$1000,SMALL(IF(UPPER(TRANSACCIONES!$L$2:$L$1000)="POR COBRAR",ROW(TRANSACCIONES!$L$2:$L$1000)-ROW(TRANSACCIONES!$L$2)+1),49)),"")</f>
        <v/>
      </c>
      <c r="C54">
        <f>IFERROR(INDEX(TRANSACCIONES!$F$2:$F$1000,SMALL(IF(UPPER(TRANSACCIONES!$L$2:$L$1000)="POR COBRAR",ROW(TRANSACCIONES!$L$2:$L$1000)-ROW(TRANSACCIONES!$L$2)+1),49)),"")</f>
        <v/>
      </c>
      <c r="D54" s="9">
        <f>IFERROR(INDEX(TRANSACCIONES!$I$2:$I$1000,SMALL(IF(UPPER(TRANSACCIONES!$L$2:$L$1000)="POR COBRAR",ROW(TRANSACCIONES!$L$2:$L$1000)-ROW(TRANSACCIONES!$L$2)+1),49)),"")</f>
        <v/>
      </c>
      <c r="E54">
        <f>IFERROR(INDEX(TRANSACCIONES!$N$2:$N$1000,SMALL(IF(UPPER(TRANSACCIONES!$L$2:$L$1000)="POR COBRAR",ROW(TRANSACCIONES!$L$2:$L$1000)-ROW(TRANSACCIONES!$L$2)+1),49)),"")</f>
        <v/>
      </c>
      <c r="F54">
        <f>IF(A54="","",TODAY()-A54)</f>
        <v/>
      </c>
      <c r="G54">
        <f>IF(A54="","",IF(E54&lt;TODAY(),"VENCIDO",IF(E54&lt;=TODAY()+7,"POR VENCER","AL DÍA")))</f>
        <v/>
      </c>
      <c r="H54">
        <f>IFERROR(INDEX(TRANSACCIONES!$K$2:$K$1000,SMALL(IF(UPPER(TRANSACCIONES!$L$2:$L$1000)="POR COBRAR",ROW(TRANSACCIONES!$L$2:$L$1000)-ROW(TRANSACCIONES!$L$2)+1),49)),"")</f>
        <v/>
      </c>
    </row>
    <row r="55">
      <c r="A55">
        <f>IFERROR(INDEX(TRANSACCIONES!$A$2:$A$1000,SMALL(IF(UPPER(TRANSACCIONES!$L$2:$L$1000)="POR COBRAR",ROW(TRANSACCIONES!$L$2:$L$1000)-ROW(TRANSACCIONES!$L$2)+1),50)),"")</f>
        <v/>
      </c>
      <c r="B55">
        <f>IFERROR(INDEX(TRANSACCIONES!$E$2:$E$1000,SMALL(IF(UPPER(TRANSACCIONES!$L$2:$L$1000)="POR COBRAR",ROW(TRANSACCIONES!$L$2:$L$1000)-ROW(TRANSACCIONES!$L$2)+1),50)),"")</f>
        <v/>
      </c>
      <c r="C55">
        <f>IFERROR(INDEX(TRANSACCIONES!$F$2:$F$1000,SMALL(IF(UPPER(TRANSACCIONES!$L$2:$L$1000)="POR COBRAR",ROW(TRANSACCIONES!$L$2:$L$1000)-ROW(TRANSACCIONES!$L$2)+1),50)),"")</f>
        <v/>
      </c>
      <c r="D55" s="9">
        <f>IFERROR(INDEX(TRANSACCIONES!$I$2:$I$1000,SMALL(IF(UPPER(TRANSACCIONES!$L$2:$L$1000)="POR COBRAR",ROW(TRANSACCIONES!$L$2:$L$1000)-ROW(TRANSACCIONES!$L$2)+1),50)),"")</f>
        <v/>
      </c>
      <c r="E55">
        <f>IFERROR(INDEX(TRANSACCIONES!$N$2:$N$1000,SMALL(IF(UPPER(TRANSACCIONES!$L$2:$L$1000)="POR COBRAR",ROW(TRANSACCIONES!$L$2:$L$1000)-ROW(TRANSACCIONES!$L$2)+1),50)),"")</f>
        <v/>
      </c>
      <c r="F55">
        <f>IF(A55="","",TODAY()-A55)</f>
        <v/>
      </c>
      <c r="G55">
        <f>IF(A55="","",IF(E55&lt;TODAY(),"VENCIDO",IF(E55&lt;=TODAY()+7,"POR VENCER","AL DÍA")))</f>
        <v/>
      </c>
      <c r="H55">
        <f>IFERROR(INDEX(TRANSACCIONES!$K$2:$K$1000,SMALL(IF(UPPER(TRANSACCIONES!$L$2:$L$1000)="POR COBRAR",ROW(TRANSACCIONES!$L$2:$L$1000)-ROW(TRANSACCIONES!$L$2)+1),50)),"")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25" customWidth="1" min="4" max="4"/>
  </cols>
  <sheetData>
    <row r="1">
      <c r="A1" s="15" t="inlineStr">
        <is>
          <t>Alias</t>
        </is>
      </c>
      <c r="B1" s="15" t="inlineStr">
        <is>
          <t>Entidad Real</t>
        </is>
      </c>
      <c r="C1" s="15" t="inlineStr">
        <is>
          <t>Tipo</t>
        </is>
      </c>
      <c r="D1" s="15" t="inlineStr">
        <is>
          <t>Notas</t>
        </is>
      </c>
    </row>
    <row r="2">
      <c r="A2" t="inlineStr">
        <is>
          <t>XXXXXXXXXX1066X</t>
        </is>
      </c>
      <c r="B2" t="inlineStr">
        <is>
          <t>BNCR Cuenta Corriente Colones</t>
        </is>
      </c>
      <c r="C2" t="inlineStr">
        <is>
          <t>Cuenta</t>
        </is>
      </c>
      <c r="D2" t="inlineStr">
        <is>
          <t>Cuenta corriente BNCR en colones (enmascarada)</t>
        </is>
      </c>
    </row>
    <row r="3">
      <c r="A3" t="inlineStr">
        <is>
          <t>XXXXXXXXXX8618X</t>
        </is>
      </c>
      <c r="B3" t="inlineStr">
        <is>
          <t>BNCR Cuenta Corriente Dólares</t>
        </is>
      </c>
      <c r="C3" t="inlineStr">
        <is>
          <t>Cuenta</t>
        </is>
      </c>
      <c r="D3" t="inlineStr">
        <is>
          <t>Cuenta corriente BNCR en dólares (enmascarada)</t>
        </is>
      </c>
    </row>
    <row r="4">
      <c r="A4" t="inlineStr">
        <is>
          <t>BNCR CRC Ahorros (***8618)</t>
        </is>
      </c>
      <c r="B4" t="inlineStr">
        <is>
          <t>BNCR Ahorros Colones</t>
        </is>
      </c>
      <c r="C4" t="inlineStr">
        <is>
          <t>Cuenta</t>
        </is>
      </c>
      <c r="D4" t="inlineStr">
        <is>
          <t>Cuenta de ahorros BNCR en colones</t>
        </is>
      </c>
    </row>
    <row r="5">
      <c r="A5" t="inlineStr">
        <is>
          <t>BNCR USD Ahorros (***1066)</t>
        </is>
      </c>
      <c r="B5" t="inlineStr">
        <is>
          <t>BNCR Ahorros Dólares</t>
        </is>
      </c>
      <c r="C5" t="inlineStr">
        <is>
          <t>Cuenta</t>
        </is>
      </c>
      <c r="D5" t="inlineStr">
        <is>
          <t>Cuenta de ahorros BNCR en dólares</t>
        </is>
      </c>
    </row>
    <row r="6">
      <c r="A6" t="inlineStr">
        <is>
          <t>BNCR CRC Corriente (***2186)</t>
        </is>
      </c>
      <c r="B6" t="inlineStr">
        <is>
          <t>BNCR Cuenta Corriente Colones 2186</t>
        </is>
      </c>
      <c r="C6" t="inlineStr">
        <is>
          <t>Cuenta</t>
        </is>
      </c>
      <c r="D6" t="inlineStr">
        <is>
          <t>Cuenta corriente BNCR en colones</t>
        </is>
      </c>
    </row>
    <row r="7">
      <c r="A7" t="inlineStr">
        <is>
          <t>BNCR USD Corriente (***9589)</t>
        </is>
      </c>
      <c r="B7" t="inlineStr">
        <is>
          <t>BNCR Cuenta Corriente Dólares 9589</t>
        </is>
      </c>
      <c r="C7" t="inlineStr">
        <is>
          <t>Cuenta</t>
        </is>
      </c>
      <c r="D7" t="inlineStr">
        <is>
          <t>Cuenta corriente BNCR en dólares</t>
        </is>
      </c>
    </row>
    <row r="8">
      <c r="A8" t="inlineStr">
        <is>
          <t>BNCR USD Corriente (***1112)</t>
        </is>
      </c>
      <c r="B8" t="inlineStr">
        <is>
          <t>BNCR Cuenta Corriente Dólares 1112</t>
        </is>
      </c>
      <c r="C8" t="inlineStr">
        <is>
          <t>Cuenta</t>
        </is>
      </c>
      <c r="D8" t="inlineStr">
        <is>
          <t>Cuenta corriente BNCR en dólares (alternativa)</t>
        </is>
      </c>
    </row>
    <row r="9">
      <c r="A9" t="inlineStr">
        <is>
          <t>XXXX-XXXX-XXXX-1234</t>
        </is>
      </c>
      <c r="B9" t="inlineStr">
        <is>
          <t>Tarjeta Visa BAC 1234</t>
        </is>
      </c>
      <c r="C9" t="inlineStr">
        <is>
          <t>Tarjeta</t>
        </is>
      </c>
      <c r="D9" t="inlineStr">
        <is>
          <t>Tarjeta de crédito BAC Visa</t>
        </is>
      </c>
    </row>
    <row r="10">
      <c r="A10" t="inlineStr">
        <is>
          <t>XXXX-XXXX-XXXX-5678</t>
        </is>
      </c>
      <c r="B10" t="inlineStr">
        <is>
          <t>Tarjeta MasterCard BAC 5678</t>
        </is>
      </c>
      <c r="C10" t="inlineStr">
        <is>
          <t>Tarjeta</t>
        </is>
      </c>
      <c r="D10" t="inlineStr">
        <is>
          <t>Tarjeta de crédito BAC MasterCard</t>
        </is>
      </c>
    </row>
    <row r="11">
      <c r="A11" t="inlineStr">
        <is>
          <t>ICE</t>
        </is>
      </c>
      <c r="B11" t="inlineStr">
        <is>
          <t>Instituto Costarricense de Electricidad</t>
        </is>
      </c>
      <c r="C11" t="inlineStr">
        <is>
          <t>Proveedor</t>
        </is>
      </c>
      <c r="D11" t="inlineStr">
        <is>
          <t>Servicios eléctricos y telecomunicaciones</t>
        </is>
      </c>
    </row>
    <row r="12">
      <c r="A12" t="inlineStr">
        <is>
          <t>KOLBI</t>
        </is>
      </c>
      <c r="B12" t="inlineStr">
        <is>
          <t>Instituto Costarricense de Electricidad - Kolbi</t>
        </is>
      </c>
      <c r="C12" t="inlineStr">
        <is>
          <t>Proveedor</t>
        </is>
      </c>
      <c r="D12" t="inlineStr">
        <is>
          <t>Servicios de telecomunicaciones móviles</t>
        </is>
      </c>
    </row>
    <row r="13">
      <c r="A13" t="inlineStr">
        <is>
          <t>Credomatic</t>
        </is>
      </c>
      <c r="B13" t="inlineStr">
        <is>
          <t>Tarjeta Credomatic</t>
        </is>
      </c>
      <c r="C13" t="inlineStr">
        <is>
          <t>Tarjeta</t>
        </is>
      </c>
      <c r="D13" t="inlineStr">
        <is>
          <t>Tarjeta de crédito Credomatic - Pago: 15/11/2025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6" t="inlineStr">
        <is>
          <t>ESTADO DE RESULTADOS (P&amp;L)</t>
        </is>
      </c>
    </row>
    <row r="2">
      <c r="A2" s="17" t="inlineStr">
        <is>
          <t>AlvaroVelascoNet SRL - Período: November 2025</t>
        </is>
      </c>
    </row>
    <row r="4">
      <c r="A4" s="18" t="inlineStr">
        <is>
          <t>CONCEPTO</t>
        </is>
      </c>
      <c r="B4" s="18" t="inlineStr">
        <is>
          <t>MONTO (₡)</t>
        </is>
      </c>
      <c r="C4" s="18" t="inlineStr">
        <is>
          <t>MONTO ($)</t>
        </is>
      </c>
    </row>
    <row r="5">
      <c r="A5" s="19" t="inlineStr">
        <is>
          <t>📈 INGRESOS</t>
        </is>
      </c>
    </row>
    <row r="6">
      <c r="A6" t="inlineStr">
        <is>
          <t>Ventas de Servicios</t>
        </is>
      </c>
      <c r="B6" s="9">
        <f>SUMIFS(TRANSACCIONES!I:I,TRANSACCIONES!C:C,"INGRESO",TRANSACCIONES!L:L,"COBRADO",TRANSACCIONES!D:D,"Ingresos")</f>
        <v/>
      </c>
      <c r="C6" s="20">
        <f>B6/540</f>
        <v/>
      </c>
    </row>
    <row r="7">
      <c r="A7" t="inlineStr">
        <is>
          <t>Otros Ingresos</t>
        </is>
      </c>
      <c r="B7" s="9">
        <f>SUMIFS(TRANSACCIONES!I:I,TRANSACCIONES!C:C,"INGRESO",TRANSACCIONES!L:L,"COBRADO",TRANSACCIONES!D:D,"&lt;&gt;Ingresos")</f>
        <v/>
      </c>
      <c r="C7" s="20">
        <f>B7/540</f>
        <v/>
      </c>
    </row>
    <row r="8">
      <c r="A8" s="21" t="inlineStr">
        <is>
          <t>TOTAL INGRESOS</t>
        </is>
      </c>
      <c r="B8" s="22">
        <f>SUM(B6:B7)</f>
        <v/>
      </c>
      <c r="C8" s="23">
        <f>B8/540</f>
        <v/>
      </c>
    </row>
    <row r="10">
      <c r="A10" s="19" t="inlineStr">
        <is>
          <t>📉 GASTOS OPERATIVOS</t>
        </is>
      </c>
    </row>
    <row r="11">
      <c r="A11" t="inlineStr">
        <is>
          <t xml:space="preserve">  Operaciones</t>
        </is>
      </c>
      <c r="B11" s="9">
        <f>SUMIFS(TRANSACCIONES!I:I,TRANSACCIONES!C:C,"EGRESO",TRANSACCIONES!L:L,"PAGADO",TRANSACCIONES!D:D,"Operaciones")</f>
        <v/>
      </c>
      <c r="C11" s="20">
        <f>B11/540</f>
        <v/>
      </c>
    </row>
    <row r="12">
      <c r="A12" t="inlineStr">
        <is>
          <t xml:space="preserve">  Administrativos</t>
        </is>
      </c>
      <c r="B12" s="9">
        <f>SUMIFS(TRANSACCIONES!I:I,TRANSACCIONES!C:C,"EGRESO",TRANSACCIONES!L:L,"PAGADO",TRANSACCIONES!D:D,"Administrativos")</f>
        <v/>
      </c>
      <c r="C12" s="20">
        <f>B12/540</f>
        <v/>
      </c>
    </row>
    <row r="13">
      <c r="A13" t="inlineStr">
        <is>
          <t xml:space="preserve">  Ventas</t>
        </is>
      </c>
      <c r="B13" s="9">
        <f>SUMIFS(TRANSACCIONES!I:I,TRANSACCIONES!C:C,"EGRESO",TRANSACCIONES!L:L,"PAGADO",TRANSACCIONES!D:D,"Ventas")</f>
        <v/>
      </c>
      <c r="C13" s="20">
        <f>B13/540</f>
        <v/>
      </c>
    </row>
    <row r="14">
      <c r="A14" t="inlineStr">
        <is>
          <t xml:space="preserve">  Financieros</t>
        </is>
      </c>
      <c r="B14" s="9">
        <f>SUMIFS(TRANSACCIONES!I:I,TRANSACCIONES!C:C,"EGRESO",TRANSACCIONES!L:L,"PAGADO",TRANSACCIONES!D:D,"Financieros")</f>
        <v/>
      </c>
      <c r="C14" s="20">
        <f>B14/540</f>
        <v/>
      </c>
    </row>
    <row r="15">
      <c r="A15" s="21" t="inlineStr">
        <is>
          <t>TOTAL GASTOS</t>
        </is>
      </c>
      <c r="B15" s="22">
        <f>SUM(B11:B14)</f>
        <v/>
      </c>
      <c r="C15" s="23">
        <f>B15/540</f>
        <v/>
      </c>
    </row>
    <row r="17">
      <c r="A17" s="19" t="inlineStr">
        <is>
          <t>💰 UTILIDAD/PÉRDIDA NETA</t>
        </is>
      </c>
    </row>
    <row r="18">
      <c r="A18" s="24" t="inlineStr">
        <is>
          <t>RESULTADO DEL PERÍODO</t>
        </is>
      </c>
      <c r="B18" s="25">
        <f>B8-ABS(B15)</f>
        <v/>
      </c>
      <c r="C18" s="26">
        <f>B18/540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3">
    <mergeCell ref="A5:C5"/>
    <mergeCell ref="A17:C17"/>
    <mergeCell ref="A10:C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6" t="inlineStr">
        <is>
          <t>BALANCE GENERAL</t>
        </is>
      </c>
    </row>
    <row r="2">
      <c r="A2" s="17" t="inlineStr">
        <is>
          <t>AlvaroVelascoNet SRL - Al 14/11/2025</t>
        </is>
      </c>
    </row>
    <row r="4">
      <c r="A4" s="18" t="inlineStr">
        <is>
          <t>CONCEPTO</t>
        </is>
      </c>
      <c r="B4" s="18" t="inlineStr">
        <is>
          <t>MONTO (₡)</t>
        </is>
      </c>
      <c r="C4" s="18" t="inlineStr">
        <is>
          <t>MONTO ($)</t>
        </is>
      </c>
    </row>
    <row r="5">
      <c r="A5" s="19" t="inlineStr">
        <is>
          <t>📊 ACTIVOS</t>
        </is>
      </c>
    </row>
    <row r="6">
      <c r="A6" t="inlineStr">
        <is>
          <t>Efectivo en Bancos</t>
        </is>
      </c>
      <c r="B6" s="9">
        <f>SUMIFS(TRANSACCIONES!I:I,TRANSACCIONES!L:L,"PAGADO",TRANSACCIONES!C:C,"INGRESO")-SUMIFS(TRANSACCIONES!I:I,TRANSACCIONES!L:L,"PAGADO",TRANSACCIONES!C:C,"EGRESO")</f>
        <v/>
      </c>
      <c r="C6" s="20">
        <f>B6/540</f>
        <v/>
      </c>
    </row>
    <row r="7">
      <c r="A7" t="inlineStr">
        <is>
          <t>Cuentas por Cobrar</t>
        </is>
      </c>
      <c r="B7" s="9">
        <f>SUMIFS(TRANSACCIONES!I:I,TRANSACCIONES!C:C,"INGRESO",TRANSACCIONES!L:L,"POR COBRAR")</f>
        <v/>
      </c>
      <c r="C7" s="20">
        <f>B7/540</f>
        <v/>
      </c>
    </row>
    <row r="8">
      <c r="A8" s="21" t="inlineStr">
        <is>
          <t>TOTAL ACTIVOS</t>
        </is>
      </c>
      <c r="B8" s="22">
        <f>SUM(B6:B7)</f>
        <v/>
      </c>
      <c r="C8" s="23">
        <f>B8/540</f>
        <v/>
      </c>
    </row>
    <row r="10">
      <c r="A10" s="19" t="inlineStr">
        <is>
          <t>📉 PASIVOS</t>
        </is>
      </c>
    </row>
    <row r="11">
      <c r="A11" t="inlineStr">
        <is>
          <t>Cuentas por Pagar</t>
        </is>
      </c>
      <c r="B11" s="9">
        <f>ABS(SUMIFS(TRANSACCIONES!I:I,TRANSACCIONES!C:C,"EGRESO",TRANSACCIONES!L:L,"PENDIENTE"))</f>
        <v/>
      </c>
      <c r="C11" s="20">
        <f>B11/540</f>
        <v/>
      </c>
    </row>
    <row r="12">
      <c r="A12" s="27" t="inlineStr">
        <is>
          <t xml:space="preserve">  (incluye Tarjetas de Crédito)</t>
        </is>
      </c>
    </row>
    <row r="13">
      <c r="A13" s="21" t="inlineStr">
        <is>
          <t>TOTAL PASIVOS</t>
        </is>
      </c>
      <c r="B13" s="22">
        <f>B11</f>
        <v/>
      </c>
      <c r="C13" s="23">
        <f>B13/540</f>
        <v/>
      </c>
    </row>
    <row r="15">
      <c r="A15" s="19" t="inlineStr">
        <is>
          <t>💼 PATRIMONIO</t>
        </is>
      </c>
    </row>
    <row r="16">
      <c r="A16" s="24" t="inlineStr">
        <is>
          <t>Patrimonio Neto</t>
        </is>
      </c>
      <c r="B16" s="25">
        <f>B8-B13</f>
        <v/>
      </c>
      <c r="C16" s="26">
        <f>B16/540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3">
    <mergeCell ref="A5:C5"/>
    <mergeCell ref="A15:C15"/>
    <mergeCell ref="A10:C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6" t="inlineStr">
        <is>
          <t>FLUJO DE CAJA</t>
        </is>
      </c>
    </row>
    <row r="2">
      <c r="A2" s="17" t="inlineStr">
        <is>
          <t>AlvaroVelascoNet SRL - Período: November 2025</t>
        </is>
      </c>
    </row>
    <row r="4">
      <c r="A4" s="18" t="inlineStr">
        <is>
          <t>CONCEPTO</t>
        </is>
      </c>
      <c r="B4" s="18" t="inlineStr">
        <is>
          <t>MONTO (₡)</t>
        </is>
      </c>
      <c r="C4" s="18" t="inlineStr">
        <is>
          <t>MONTO ($)</t>
        </is>
      </c>
    </row>
    <row r="5">
      <c r="A5" s="19" t="inlineStr">
        <is>
          <t>📈 ENTRADAS DE EFECTIVO</t>
        </is>
      </c>
    </row>
    <row r="6">
      <c r="A6" t="inlineStr">
        <is>
          <t>Cobros de Ventas</t>
        </is>
      </c>
      <c r="B6" s="9">
        <f>SUMIFS(TRANSACCIONES!I:I,TRANSACCIONES!C:C,"INGRESO",TRANSACCIONES!L:L,"COBRADO")</f>
        <v/>
      </c>
      <c r="C6" s="20">
        <f>B6/540</f>
        <v/>
      </c>
    </row>
    <row r="7">
      <c r="A7" t="inlineStr">
        <is>
          <t>Otros Ingresos</t>
        </is>
      </c>
      <c r="B7" s="9">
        <f>0</f>
        <v/>
      </c>
      <c r="C7" s="20">
        <f>B7/540</f>
        <v/>
      </c>
    </row>
    <row r="8">
      <c r="A8" s="21" t="inlineStr">
        <is>
          <t>TOTAL ENTRADAS</t>
        </is>
      </c>
      <c r="B8" s="22">
        <f>SUM(B6:B7)</f>
        <v/>
      </c>
      <c r="C8" s="23">
        <f>B8/540</f>
        <v/>
      </c>
    </row>
    <row r="10">
      <c r="A10" s="19" t="inlineStr">
        <is>
          <t>📉 SALIDAS DE EFECTIVO</t>
        </is>
      </c>
    </row>
    <row r="11">
      <c r="A11" t="inlineStr">
        <is>
          <t>Pagos a Proveedores</t>
        </is>
      </c>
      <c r="B11" s="9">
        <f>ABS(SUMIFS(TRANSACCIONES!I:I,TRANSACCIONES!C:C,"EGRESO",TRANSACCIONES!L:L,"PAGADO"))</f>
        <v/>
      </c>
      <c r="C11" s="20">
        <f>B11/540</f>
        <v/>
      </c>
    </row>
    <row r="12">
      <c r="A12" t="inlineStr">
        <is>
          <t>Gastos Operativos</t>
        </is>
      </c>
      <c r="B12" s="9">
        <f>0</f>
        <v/>
      </c>
      <c r="C12" s="20">
        <f>B12/540</f>
        <v/>
      </c>
    </row>
    <row r="13">
      <c r="A13" s="21" t="inlineStr">
        <is>
          <t>TOTAL SALIDAS</t>
        </is>
      </c>
      <c r="B13" s="22">
        <f>SUM(B11:B12)</f>
        <v/>
      </c>
      <c r="C13" s="23">
        <f>B13/540</f>
        <v/>
      </c>
    </row>
    <row r="15">
      <c r="A15" s="19" t="inlineStr">
        <is>
          <t>💰 FLUJO NETO DE CAJA</t>
        </is>
      </c>
    </row>
    <row r="16">
      <c r="A16" s="24" t="inlineStr">
        <is>
          <t>FLUJO DEL PERÍODO</t>
        </is>
      </c>
      <c r="B16" s="25">
        <f>B8-B13</f>
        <v/>
      </c>
      <c r="C16" s="26">
        <f>B16/540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3">
    <mergeCell ref="A5:C5"/>
    <mergeCell ref="A15:C15"/>
    <mergeCell ref="A10:C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8" t="inlineStr">
        <is>
          <t>📊 DASHBOARD FINANCIERO</t>
        </is>
      </c>
    </row>
    <row r="2">
      <c r="A2" s="29" t="inlineStr">
        <is>
          <t>Actualizado: 14/11/2025 17:47</t>
        </is>
      </c>
    </row>
    <row r="4">
      <c r="A4" s="30" t="inlineStr">
        <is>
          <t>EFECTIVO DISPONIBLE</t>
        </is>
      </c>
      <c r="B4" s="31" t="n"/>
      <c r="C4" s="31" t="n"/>
      <c r="E4" s="30" t="inlineStr">
        <is>
          <t>CUENTAS POR COBRAR</t>
        </is>
      </c>
      <c r="F4" s="31" t="n"/>
      <c r="G4" s="31" t="n"/>
      <c r="I4" s="30" t="inlineStr">
        <is>
          <t>CUENTAS POR PAGAR</t>
        </is>
      </c>
      <c r="J4" s="31" t="n"/>
      <c r="K4" s="31" t="n"/>
    </row>
    <row r="5">
      <c r="A5" s="32">
        <f>SUMIFS(TRANSACCIONES!I:I,TRANSACCIONES!L:L,"PAGADO",TRANSACCIONES!C:C,"INGRESO")-SUMIFS(TRANSACCIONES!I:I,TRANSACCIONES!L:L,"PAGADO",TRANSACCIONES!C:C,"EGRESO")</f>
        <v/>
      </c>
      <c r="B5" s="31" t="n"/>
      <c r="C5" s="31" t="n"/>
      <c r="E5" s="33">
        <f>SUMIFS(TRANSACCIONES!I:I,TRANSACCIONES!C:C,"INGRESO",TRANSACCIONES!L:L,"POR COBRAR")</f>
        <v/>
      </c>
      <c r="F5" s="31" t="n"/>
      <c r="G5" s="31" t="n"/>
      <c r="I5" s="34">
        <f>ABS(SUMIFS(TRANSACCIONES!I:I,TRANSACCIONES!C:C,"EGRESO",TRANSACCIONES!L:L,"PENDIENTE"))</f>
        <v/>
      </c>
      <c r="J5" s="31" t="n"/>
      <c r="K5" s="31" t="n"/>
    </row>
    <row r="7">
      <c r="A7" s="30" t="inlineStr">
        <is>
          <t>INGRESOS DEL MES</t>
        </is>
      </c>
      <c r="B7" s="31" t="n"/>
      <c r="C7" s="31" t="n"/>
      <c r="E7" s="30" t="inlineStr">
        <is>
          <t>GASTOS DEL MES</t>
        </is>
      </c>
      <c r="F7" s="31" t="n"/>
      <c r="G7" s="31" t="n"/>
      <c r="I7" s="30" t="inlineStr">
        <is>
          <t>UTILIDAD/PÉRDIDA</t>
        </is>
      </c>
      <c r="J7" s="31" t="n"/>
      <c r="K7" s="31" t="n"/>
    </row>
    <row r="8">
      <c r="A8" s="32">
        <f>SUMIFS(TRANSACCIONES!I:I,TRANSACCIONES!C:C,"INGRESO",TRANSACCIONES!L:L,"COBRADO")</f>
        <v/>
      </c>
      <c r="B8" s="31" t="n"/>
      <c r="C8" s="31" t="n"/>
      <c r="E8" s="34">
        <f>ABS(SUMIFS(TRANSACCIONES!I:I,TRANSACCIONES!C:C,"EGRESO",TRANSACCIONES!L:L,"PAGADO"))</f>
        <v/>
      </c>
      <c r="F8" s="31" t="n"/>
      <c r="G8" s="31" t="n"/>
      <c r="I8" s="33">
        <f>A8-E8</f>
        <v/>
      </c>
      <c r="J8" s="31" t="n"/>
      <c r="K8" s="31" t="n"/>
    </row>
    <row r="11">
      <c r="A11" s="3" t="inlineStr">
        <is>
          <t>CONCEPTO</t>
        </is>
      </c>
      <c r="B11" s="3" t="inlineStr">
        <is>
          <t>MONTO</t>
        </is>
      </c>
    </row>
    <row r="12">
      <c r="A12" t="inlineStr">
        <is>
          <t>Ingresos</t>
        </is>
      </c>
      <c r="B12">
        <f>A7</f>
        <v/>
      </c>
    </row>
    <row r="13">
      <c r="A13" t="inlineStr">
        <is>
          <t>Gastos</t>
        </is>
      </c>
      <c r="B13">
        <f>E7</f>
        <v/>
      </c>
    </row>
    <row r="31">
      <c r="A31" s="35" t="inlineStr">
        <is>
          <t>⚠️ ALERTAS Y NOTIFICACIONES</t>
        </is>
      </c>
    </row>
    <row r="32">
      <c r="A32" t="inlineStr">
        <is>
          <t>CxP vencen en 7 días:</t>
        </is>
      </c>
      <c r="B32" s="36">
        <f>COUNTIFS(CxP!F:F,"&lt;"&amp;TODAY()+7,CxP!F:F,"&gt;="&amp;TODAY())</f>
        <v/>
      </c>
    </row>
    <row r="33">
      <c r="A33" t="inlineStr">
        <is>
          <t>CxP VENCIDAS:</t>
        </is>
      </c>
      <c r="B33" s="37">
        <f>COUNTIF(CxP!F:F,"&lt;"&amp;TODAY())</f>
        <v/>
      </c>
    </row>
    <row r="34">
      <c r="A34" t="inlineStr">
        <is>
          <t>CxC atrasadas (+30 días):</t>
        </is>
      </c>
      <c r="B34" s="37">
        <f>COUNTIF(CxC!F:F,"&lt;"&amp;TODAY()-30)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12">
    <mergeCell ref="A5:C5"/>
    <mergeCell ref="E5:G5"/>
    <mergeCell ref="I5:K5"/>
    <mergeCell ref="A8:C8"/>
    <mergeCell ref="E8:G8"/>
    <mergeCell ref="I8:K8"/>
    <mergeCell ref="E4:G4"/>
    <mergeCell ref="A7:C7"/>
    <mergeCell ref="I4:K4"/>
    <mergeCell ref="A4:C4"/>
    <mergeCell ref="E7:G7"/>
    <mergeCell ref="I7:K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8" customWidth="1" min="4" max="4"/>
    <col width="15" customWidth="1" min="5" max="5"/>
  </cols>
  <sheetData>
    <row r="1">
      <c r="A1" s="16" t="inlineStr">
        <is>
          <t>CONCILIACIÓN BANCARIA</t>
        </is>
      </c>
    </row>
    <row r="2">
      <c r="A2" s="17" t="inlineStr">
        <is>
          <t>Fecha: 14/11/2025</t>
        </is>
      </c>
    </row>
    <row r="4">
      <c r="A4" s="38" t="inlineStr">
        <is>
          <t>📋 INSTRUCCIONES:</t>
        </is>
      </c>
    </row>
    <row r="5">
      <c r="A5" s="27" t="inlineStr">
        <is>
          <t>1. Ingresa el saldo según tu extracto bancario en la columna "Saldo Extracto"</t>
        </is>
      </c>
    </row>
    <row r="6">
      <c r="A6" s="27" t="inlineStr">
        <is>
          <t>2. El sistema calculará automáticamente el saldo según transacciones</t>
        </is>
      </c>
    </row>
    <row r="7">
      <c r="A7" s="27" t="inlineStr">
        <is>
          <t>3. La columna "Diferencia" mostrará cualquier discrepancia</t>
        </is>
      </c>
    </row>
    <row r="8">
      <c r="A8" s="27" t="inlineStr">
        <is>
          <t>4. Investiga las diferencias (pueden ser transacciones en tránsito o errores)</t>
        </is>
      </c>
    </row>
    <row r="9">
      <c r="A9" s="27" t="inlineStr"/>
    </row>
    <row r="10">
      <c r="A10" s="27" t="inlineStr">
        <is>
          <t>💡 TIPS:</t>
        </is>
      </c>
    </row>
    <row r="11">
      <c r="A11" s="27" t="inlineStr">
        <is>
          <t xml:space="preserve">  - Verde = Saldos coinciden</t>
        </is>
      </c>
    </row>
    <row r="12">
      <c r="A12" s="27" t="inlineStr">
        <is>
          <t xml:space="preserve">  - Rojo = Hay diferencia (revisar)</t>
        </is>
      </c>
    </row>
    <row r="13">
      <c r="A13" s="27" t="inlineStr">
        <is>
          <t xml:space="preserve">  - Considera cheques no cobrados y depósitos en tránsito</t>
        </is>
      </c>
    </row>
    <row r="15">
      <c r="A15" s="18" t="inlineStr">
        <is>
          <t>CUENTA</t>
        </is>
      </c>
      <c r="B15" s="18" t="inlineStr">
        <is>
          <t>SALDO SISTEMA (₡)</t>
        </is>
      </c>
      <c r="C15" s="18" t="inlineStr">
        <is>
          <t>SALDO EXTRACTO (₡)</t>
        </is>
      </c>
      <c r="D15" s="18" t="inlineStr">
        <is>
          <t>DIFERENCIA (₡)</t>
        </is>
      </c>
      <c r="E15" s="18" t="inlineStr">
        <is>
          <t>STATUS</t>
        </is>
      </c>
    </row>
    <row r="16">
      <c r="A16" t="inlineStr">
        <is>
          <t>BNCR Ahorros Colones (***8618)</t>
        </is>
      </c>
      <c r="B16" s="9">
        <f>SUMIFS(TRANSACCIONES!I:I,TRANSACCIONES!G:G,A16,TRANSACCIONES!L:L,"PAGADO",TRANSACCIONES!C:C,"INGRESO")-SUMIFS(TRANSACCIONES!I:I,TRANSACCIONES!G:G,A16,TRANSACCIONES!L:L,"PAGADO",TRANSACCIONES!C:C,"EGRESO")</f>
        <v/>
      </c>
      <c r="C16" s="39" t="n"/>
      <c r="D16" s="9">
        <f>C16-B16</f>
        <v/>
      </c>
      <c r="E16">
        <f>IF(C16="","Pendiente",IF(ABS(D16)&lt;1,"✅ OK","⚠️ Revisar"))</f>
        <v/>
      </c>
    </row>
    <row r="17">
      <c r="A17" t="inlineStr">
        <is>
          <t>BNCR Ahorros Dólares (***1066)</t>
        </is>
      </c>
      <c r="B17" s="9">
        <f>SUMIFS(TRANSACCIONES!I:I,TRANSACCIONES!G:G,A17,TRANSACCIONES!L:L,"PAGADO",TRANSACCIONES!C:C,"INGRESO")-SUMIFS(TRANSACCIONES!I:I,TRANSACCIONES!G:G,A17,TRANSACCIONES!L:L,"PAGADO",TRANSACCIONES!C:C,"EGRESO")</f>
        <v/>
      </c>
      <c r="C17" s="39" t="n"/>
      <c r="D17" s="40">
        <f>C17-B17</f>
        <v/>
      </c>
      <c r="E17">
        <f>IF(C17="","Pendiente",IF(ABS(D17)&lt;1,"✅ OK","⚠️ Revisar"))</f>
        <v/>
      </c>
    </row>
    <row r="18">
      <c r="A18" t="inlineStr">
        <is>
          <t>BNCR CC Colones (***2186)</t>
        </is>
      </c>
      <c r="B18" s="9">
        <f>SUMIFS(TRANSACCIONES!I:I,TRANSACCIONES!G:G,A18,TRANSACCIONES!L:L,"PAGADO",TRANSACCIONES!C:C,"INGRESO")-SUMIFS(TRANSACCIONES!I:I,TRANSACCIONES!G:G,A18,TRANSACCIONES!L:L,"PAGADO",TRANSACCIONES!C:C,"EGRESO")</f>
        <v/>
      </c>
      <c r="C18" s="39" t="n"/>
      <c r="D18" s="40">
        <f>C18-B18</f>
        <v/>
      </c>
      <c r="E18">
        <f>IF(C18="","Pendiente",IF(ABS(D18)&lt;1,"✅ OK","⚠️ Revisar"))</f>
        <v/>
      </c>
    </row>
    <row r="19">
      <c r="A19" t="inlineStr">
        <is>
          <t>BNCR CC Dólares (***9589)</t>
        </is>
      </c>
      <c r="B19" s="9">
        <f>SUMIFS(TRANSACCIONES!I:I,TRANSACCIONES!G:G,A19,TRANSACCIONES!L:L,"PAGADO",TRANSACCIONES!C:C,"INGRESO")-SUMIFS(TRANSACCIONES!I:I,TRANSACCIONES!G:G,A19,TRANSACCIONES!L:L,"PAGADO",TRANSACCIONES!C:C,"EGRESO")</f>
        <v/>
      </c>
      <c r="C19" s="39" t="n"/>
      <c r="D19" s="40">
        <f>C19-B19</f>
        <v/>
      </c>
      <c r="E19">
        <f>IF(C19="","Pendiente",IF(ABS(D19)&lt;1,"✅ OK","⚠️ Revisar"))</f>
        <v/>
      </c>
    </row>
    <row r="20">
      <c r="A20" t="inlineStr">
        <is>
          <t>BNCR CC Dólares (***1112)</t>
        </is>
      </c>
      <c r="B20" s="9">
        <f>SUMIFS(TRANSACCIONES!I:I,TRANSACCIONES!G:G,A20,TRANSACCIONES!L:L,"PAGADO",TRANSACCIONES!C:C,"INGRESO")-SUMIFS(TRANSACCIONES!I:I,TRANSACCIONES!G:G,A20,TRANSACCIONES!L:L,"PAGADO",TRANSACCIONES!C:C,"EGRESO")</f>
        <v/>
      </c>
      <c r="C20" s="39" t="n"/>
      <c r="D20" s="40">
        <f>C20-B20</f>
        <v/>
      </c>
      <c r="E20">
        <f>IF(C20="","Pendiente",IF(ABS(D20)&lt;1,"✅ OK","⚠️ Revisar"))</f>
        <v/>
      </c>
    </row>
    <row r="21">
      <c r="A21" t="inlineStr">
        <is>
          <t>Promerica SINPE Colones (***1708)</t>
        </is>
      </c>
      <c r="B21" s="9">
        <f>SUMIFS(TRANSACCIONES!I:I,TRANSACCIONES!G:G,A21,TRANSACCIONES!L:L,"PAGADO",TRANSACCIONES!C:C,"INGRESO")-SUMIFS(TRANSACCIONES!I:I,TRANSACCIONES!G:G,A21,TRANSACCIONES!L:L,"PAGADO",TRANSACCIONES!C:C,"EGRESO")</f>
        <v/>
      </c>
      <c r="C21" s="39" t="n"/>
      <c r="D21" s="40">
        <f>C21-B21</f>
        <v/>
      </c>
      <c r="E21">
        <f>IF(C21="","Pendiente",IF(ABS(D21)&lt;1,"✅ OK","⚠️ Revisar"))</f>
        <v/>
      </c>
    </row>
    <row r="22">
      <c r="A22" t="inlineStr">
        <is>
          <t>Promerica CC Corporativa Dólares (***1774)</t>
        </is>
      </c>
      <c r="B22" s="9">
        <f>SUMIFS(TRANSACCIONES!I:I,TRANSACCIONES!G:G,A22,TRANSACCIONES!L:L,"PAGADO",TRANSACCIONES!C:C,"INGRESO")-SUMIFS(TRANSACCIONES!I:I,TRANSACCIONES!G:G,A22,TRANSACCIONES!L:L,"PAGADO",TRANSACCIONES!C:C,"EGRESO")</f>
        <v/>
      </c>
      <c r="C22" s="39" t="n"/>
      <c r="D22" s="40">
        <f>C22-B22</f>
        <v/>
      </c>
      <c r="E22">
        <f>IF(C22="","Pendiente",IF(ABS(D22)&lt;1,"✅ OK","⚠️ Revisar"))</f>
        <v/>
      </c>
    </row>
    <row r="25">
      <c r="A25" s="19" t="inlineStr">
        <is>
          <t>📊 RESUMEN</t>
        </is>
      </c>
    </row>
    <row r="26">
      <c r="A26" t="inlineStr">
        <is>
          <t>Total Saldo Sistema:</t>
        </is>
      </c>
      <c r="B26" s="41">
        <f>SUM(B16:B23)</f>
        <v/>
      </c>
    </row>
    <row r="27">
      <c r="A27" t="inlineStr">
        <is>
          <t>Total Saldo Extractos:</t>
        </is>
      </c>
      <c r="B27" s="41">
        <f>SUM(C16:C24)</f>
        <v/>
      </c>
    </row>
    <row r="28">
      <c r="A28" t="inlineStr">
        <is>
          <t>DIFERENCIA TOTAL:</t>
        </is>
      </c>
      <c r="B28" s="42">
        <f>B27-B26</f>
        <v/>
      </c>
    </row>
    <row r="30">
      <c r="A30" t="inlineStr">
        <is>
          <t>Cuentas conciliadas:</t>
        </is>
      </c>
      <c r="B30" s="43">
        <f>COUNTIF(E16:E26,"✅ OK")</f>
        <v/>
      </c>
    </row>
    <row r="31">
      <c r="A31" t="inlineStr">
        <is>
          <t>Cuentas con diferencias:</t>
        </is>
      </c>
      <c r="B31" s="44">
        <f>COUNTIF(E16:E27,"⚠️ Revisar")</f>
        <v/>
      </c>
    </row>
    <row r="34">
      <c r="A34" s="19" t="inlineStr">
        <is>
          <t>🔄 TRANSACCIONES EN TRÁNSITO</t>
        </is>
      </c>
    </row>
    <row r="35">
      <c r="A35" s="3" t="inlineStr">
        <is>
          <t>Posibles causas de diferencias:</t>
        </is>
      </c>
    </row>
    <row r="36">
      <c r="A36" s="45" t="inlineStr">
        <is>
          <t>• Cheques emitidos no cobrados</t>
        </is>
      </c>
    </row>
    <row r="37">
      <c r="A37" s="45" t="inlineStr">
        <is>
          <t>• Depósitos en tránsito</t>
        </is>
      </c>
    </row>
    <row r="38">
      <c r="A38" s="45" t="inlineStr">
        <is>
          <t>• Cargos bancarios no registrados</t>
        </is>
      </c>
    </row>
    <row r="39">
      <c r="A39" s="45" t="inlineStr">
        <is>
          <t>• Intereses no contabilizados</t>
        </is>
      </c>
    </row>
    <row r="40">
      <c r="A40" s="45" t="inlineStr">
        <is>
          <t>• Errores de captura</t>
        </is>
      </c>
    </row>
    <row r="41">
      <c r="A41" s="45" t="inlineStr">
        <is>
          <t>• Transacciones del extracto no ingresadas al sistema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2">
    <mergeCell ref="A34:E34"/>
    <mergeCell ref="A25:E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0" customWidth="1" min="4" max="4"/>
    <col width="20" customWidth="1" min="5" max="5"/>
  </cols>
  <sheetData>
    <row r="1" ht="30" customHeight="1">
      <c r="A1" s="46" t="inlineStr">
        <is>
          <t>CONFIGURACIONES DEL SISTEMA v4.0</t>
        </is>
      </c>
    </row>
    <row r="3" ht="25" customHeight="1">
      <c r="A3" s="47" t="inlineStr">
        <is>
          <t>💱 TIPO DE CAMBIO</t>
        </is>
      </c>
    </row>
    <row r="4">
      <c r="A4" s="48" t="inlineStr">
        <is>
          <t>Tipo de Cambio Actual (USD → CRC)</t>
        </is>
      </c>
      <c r="B4" s="48" t="inlineStr">
        <is>
          <t>Valor</t>
        </is>
      </c>
      <c r="C4" s="48" t="inlineStr">
        <is>
          <t>Fecha</t>
        </is>
      </c>
    </row>
    <row r="5">
      <c r="A5" s="49" t="inlineStr">
        <is>
          <t>TC USD a CRC</t>
        </is>
      </c>
      <c r="B5" s="50" t="n">
        <v>540</v>
      </c>
      <c r="C5" s="51" t="n">
        <v>45975.74132835228</v>
      </c>
    </row>
    <row r="7" ht="25" customHeight="1">
      <c r="A7" s="47" t="inlineStr">
        <is>
          <t>💳 FECHAS DE PAGO TARJETAS DE CRÉDITO</t>
        </is>
      </c>
    </row>
    <row r="8">
      <c r="A8" s="48" t="inlineStr">
        <is>
          <t>Tarjeta</t>
        </is>
      </c>
      <c r="B8" s="48" t="inlineStr">
        <is>
          <t>Día de Pago</t>
        </is>
      </c>
      <c r="C8" s="48" t="inlineStr">
        <is>
          <t>Límite</t>
        </is>
      </c>
      <c r="D8" s="48" t="inlineStr">
        <is>
          <t>Entidad</t>
        </is>
      </c>
    </row>
    <row r="9">
      <c r="A9" s="49" t="inlineStr">
        <is>
          <t>Visa Clásica BNCR (***3519)</t>
        </is>
      </c>
      <c r="B9" s="52" t="n">
        <v>17</v>
      </c>
      <c r="C9" s="53" t="inlineStr">
        <is>
          <t>$1,200.00</t>
        </is>
      </c>
      <c r="D9" s="49" t="inlineStr">
        <is>
          <t>BNCR</t>
        </is>
      </c>
    </row>
    <row r="10">
      <c r="A10" s="49" t="inlineStr">
        <is>
          <t>Visa Platino BNCR (***8055)</t>
        </is>
      </c>
      <c r="B10" s="52" t="n">
        <v>5</v>
      </c>
      <c r="C10" s="53" t="inlineStr">
        <is>
          <t>$1,600.00</t>
        </is>
      </c>
      <c r="D10" s="49" t="inlineStr">
        <is>
          <t>BNCR</t>
        </is>
      </c>
    </row>
    <row r="11">
      <c r="A11" s="49" t="inlineStr">
        <is>
          <t>MasterCard Oro BNCR (***9208)</t>
        </is>
      </c>
      <c r="B11" s="52" t="n">
        <v>13</v>
      </c>
      <c r="C11" s="53" t="inlineStr">
        <is>
          <t>$5,000.00</t>
        </is>
      </c>
      <c r="D11" s="49" t="inlineStr">
        <is>
          <t>BNCR</t>
        </is>
      </c>
    </row>
    <row r="12">
      <c r="A12" s="49" t="inlineStr">
        <is>
          <t>Credomatic (***XXXX)</t>
        </is>
      </c>
      <c r="B12" s="52" t="n">
        <v>15</v>
      </c>
      <c r="C12" s="53" t="inlineStr">
        <is>
          <t>Por definir</t>
        </is>
      </c>
      <c r="D12" s="49" t="inlineStr">
        <is>
          <t>Credomatic</t>
        </is>
      </c>
    </row>
    <row r="14" ht="25" customHeight="1">
      <c r="A14" s="47" t="inlineStr">
        <is>
          <t>⚙️ CONFIGURACIONES GENERALES</t>
        </is>
      </c>
    </row>
    <row r="15">
      <c r="A15" s="48" t="inlineStr">
        <is>
          <t>Configuración</t>
        </is>
      </c>
      <c r="B15" s="48" t="inlineStr">
        <is>
          <t>Valor</t>
        </is>
      </c>
      <c r="C15" s="48" t="inlineStr">
        <is>
          <t>Descripción</t>
        </is>
      </c>
      <c r="D15" s="54" t="n"/>
      <c r="E15" s="55" t="n"/>
    </row>
    <row r="16">
      <c r="A16" s="49" t="inlineStr">
        <is>
          <t>Empresa</t>
        </is>
      </c>
      <c r="B16" s="56" t="inlineStr">
        <is>
          <t>AV Business Solutions</t>
        </is>
      </c>
      <c r="C16" s="57" t="inlineStr">
        <is>
          <t>Nombre de la empresa principal</t>
        </is>
      </c>
      <c r="D16" s="54" t="n"/>
      <c r="E16" s="55" t="n"/>
    </row>
    <row r="17">
      <c r="A17" s="49" t="inlineStr">
        <is>
          <t>Propietario</t>
        </is>
      </c>
      <c r="B17" s="56" t="inlineStr">
        <is>
          <t>Álvaro Velasco</t>
        </is>
      </c>
      <c r="C17" s="57" t="inlineStr">
        <is>
          <t>Propietario del negocio</t>
        </is>
      </c>
      <c r="D17" s="54" t="n"/>
      <c r="E17" s="55" t="n"/>
    </row>
    <row r="18">
      <c r="A18" s="49" t="inlineStr">
        <is>
          <t>Moneda Base</t>
        </is>
      </c>
      <c r="B18" s="56" t="inlineStr">
        <is>
          <t>CRC</t>
        </is>
      </c>
      <c r="C18" s="57" t="inlineStr">
        <is>
          <t>Moneda base para reportes</t>
        </is>
      </c>
      <c r="D18" s="54" t="n"/>
      <c r="E18" s="55" t="n"/>
    </row>
    <row r="19">
      <c r="A19" s="49" t="inlineStr">
        <is>
          <t>Tasa IVA (%)</t>
        </is>
      </c>
      <c r="B19" s="56" t="n">
        <v>13</v>
      </c>
      <c r="C19" s="57" t="inlineStr">
        <is>
          <t>Tasa de IVA en Costa Rica</t>
        </is>
      </c>
      <c r="D19" s="54" t="n"/>
      <c r="E19" s="55" t="n"/>
    </row>
    <row r="20">
      <c r="A20" s="49" t="inlineStr">
        <is>
          <t>Días alerta CxP</t>
        </is>
      </c>
      <c r="B20" s="56" t="n">
        <v>7</v>
      </c>
      <c r="C20" s="57" t="inlineStr">
        <is>
          <t>Días antes de vencimiento para alertas</t>
        </is>
      </c>
      <c r="D20" s="54" t="n"/>
      <c r="E20" s="55" t="n"/>
    </row>
    <row r="21">
      <c r="A21" s="49" t="inlineStr">
        <is>
          <t>Días alerta CxC</t>
        </is>
      </c>
      <c r="B21" s="56" t="n">
        <v>15</v>
      </c>
      <c r="C21" s="57" t="inlineStr">
        <is>
          <t>Días después de vencimiento para alertas</t>
        </is>
      </c>
      <c r="D21" s="54" t="n"/>
      <c r="E21" s="55" t="n"/>
    </row>
    <row r="23" ht="25" customHeight="1">
      <c r="A23" s="47" t="inlineStr">
        <is>
          <t>🏭 EMPRESAS ZONA FRANCA (EXENTAS DE IVA)</t>
        </is>
      </c>
    </row>
    <row r="24">
      <c r="A24" s="48" t="inlineStr">
        <is>
          <t>Empresa</t>
        </is>
      </c>
      <c r="B24" s="48" t="inlineStr">
        <is>
          <t>Nombre Completo</t>
        </is>
      </c>
      <c r="C24" s="55" t="n"/>
      <c r="D24" s="48" t="inlineStr">
        <is>
          <t>Notas</t>
        </is>
      </c>
      <c r="E24" s="55" t="n"/>
    </row>
    <row r="25">
      <c r="A25" s="49" t="inlineStr">
        <is>
          <t>VWR</t>
        </is>
      </c>
      <c r="B25" s="49" t="inlineStr">
        <is>
          <t>VWR Internacional Ltda</t>
        </is>
      </c>
      <c r="C25" s="55" t="n"/>
      <c r="D25" s="58" t="inlineStr">
        <is>
          <t>Zona franca - NO cobra IVA</t>
        </is>
      </c>
      <c r="E25" s="55" t="n"/>
    </row>
    <row r="26">
      <c r="A26" s="49" t="inlineStr">
        <is>
          <t>RS Hughes</t>
        </is>
      </c>
      <c r="B26" s="49" t="inlineStr">
        <is>
          <t>RS Hughes Co.</t>
        </is>
      </c>
      <c r="C26" s="55" t="n"/>
      <c r="D26" s="58" t="inlineStr">
        <is>
          <t>Zona franca - NO cobra IVA</t>
        </is>
      </c>
      <c r="E26" s="55" t="n"/>
    </row>
    <row r="28" ht="25" customHeight="1">
      <c r="A28" s="47" t="inlineStr">
        <is>
          <t>📋 INSTRUCCIONES DE USO</t>
        </is>
      </c>
    </row>
    <row r="29">
      <c r="A29" s="59" t="inlineStr">
        <is>
          <t>✅ Esta hoja NO está protegida - puedes editar las celdas amarillas</t>
        </is>
      </c>
    </row>
    <row r="30">
      <c r="A30" s="59" t="inlineStr">
        <is>
          <t>💡 Actualiza el tipo de cambio periódicamente para cálculos precisos</t>
        </is>
      </c>
    </row>
    <row r="31">
      <c r="A31" s="59" t="inlineStr">
        <is>
          <t>📅 Verifica las fechas de pago de tarjetas mensualmente</t>
        </is>
      </c>
    </row>
    <row r="32">
      <c r="A32" s="59" t="inlineStr">
        <is>
          <t>🏭 Las empresas de zona franca (VWR, RS Hughes) NO pagan IVA</t>
        </is>
      </c>
    </row>
    <row r="33">
      <c r="A33" s="59" t="inlineStr">
        <is>
          <t>⚠️ NO modifiques las fórmulas en otras hojas que referencian esta CONFIG</t>
        </is>
      </c>
    </row>
  </sheetData>
  <mergeCells count="24">
    <mergeCell ref="C16:E16"/>
    <mergeCell ref="A30:E30"/>
    <mergeCell ref="C20:E20"/>
    <mergeCell ref="B25:C25"/>
    <mergeCell ref="A1:E1"/>
    <mergeCell ref="C21:E21"/>
    <mergeCell ref="A7:E7"/>
    <mergeCell ref="C17:E17"/>
    <mergeCell ref="A3:E3"/>
    <mergeCell ref="C19:E19"/>
    <mergeCell ref="A33:E33"/>
    <mergeCell ref="C18:E18"/>
    <mergeCell ref="A23:E23"/>
    <mergeCell ref="A32:E32"/>
    <mergeCell ref="A14:E14"/>
    <mergeCell ref="C15:E15"/>
    <mergeCell ref="D25:E25"/>
    <mergeCell ref="B24:C24"/>
    <mergeCell ref="A29:E29"/>
    <mergeCell ref="D24:E24"/>
    <mergeCell ref="A28:E28"/>
    <mergeCell ref="B26:C26"/>
    <mergeCell ref="D26:E26"/>
    <mergeCell ref="A31:E3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30" customWidth="1" min="5" max="5"/>
  </cols>
  <sheetData>
    <row r="1" ht="30" customHeight="1">
      <c r="A1" s="46" t="inlineStr">
        <is>
          <t>CONTROL DE IVA - DECLARACIÓN FISCAL</t>
        </is>
      </c>
    </row>
    <row r="2">
      <c r="A2" s="60" t="inlineStr">
        <is>
          <t>Reporte generado: 14/11/2025 17:47</t>
        </is>
      </c>
    </row>
    <row r="4" ht="25" customHeight="1">
      <c r="A4" s="47" t="inlineStr">
        <is>
          <t>📊 RESUMEN IVA</t>
        </is>
      </c>
    </row>
    <row r="5">
      <c r="A5" s="48" t="inlineStr">
        <is>
          <t>Concepto</t>
        </is>
      </c>
      <c r="B5" s="48" t="inlineStr">
        <is>
          <t>Monto</t>
        </is>
      </c>
      <c r="C5" s="48" t="inlineStr">
        <is>
          <t>IVA (13%)</t>
        </is>
      </c>
      <c r="D5" s="48" t="inlineStr">
        <is>
          <t>Estado</t>
        </is>
      </c>
    </row>
    <row r="6">
      <c r="A6" s="61" t="inlineStr">
        <is>
          <t>✅ IVA Compras (Crédito Fiscal)</t>
        </is>
      </c>
      <c r="B6" s="62">
        <f>SUMIFS(TRANSACCIONES!I:I,TRANSACCIONES!C:C,"EGRESO",TRANSACCIONES!L:L,"PAGADO")-SUMIFS(TRANSACCIONES!I:I,TRANSACCIONES!C:C,"EGRESO",TRANSACCIONES!L:L,"PAGADO",TRANSACCIONES!F:F,"VWR*")-SUMIFS(TRANSACCIONES!I:I,TRANSACCIONES!C:C,"EGRESO",TRANSACCIONES!L:L,"PAGADO",TRANSACCIONES!F:F,"RS Hughes*")</f>
        <v/>
      </c>
      <c r="C6" s="63">
        <f>SUMIFS(TRANSACCIONES!M:M,TRANSACCIONES!C:C,"EGRESO",TRANSACCIONES!L:L,"PAGADO")-SUMIFS(TRANSACCIONES!M:M,TRANSACCIONES!C:C,"EGRESO",TRANSACCIONES!L:L,"PAGADO",TRANSACCIONES!F:F,"VWR*")-SUMIFS(TRANSACCIONES!M:M,TRANSACCIONES!C:C,"EGRESO",TRANSACCIONES!L:L,"PAGADO",TRANSACCIONES!F:F,"RS Hughes*")</f>
        <v/>
      </c>
      <c r="D6" s="64" t="inlineStr">
        <is>
          <t>A favor del contribuyente</t>
        </is>
      </c>
    </row>
    <row r="7">
      <c r="A7" s="65" t="inlineStr">
        <is>
          <t>💰 IVA Ventas (Débito Fiscal)</t>
        </is>
      </c>
      <c r="B7" s="62">
        <f>SUMIFS(TRANSACCIONES!I:I,TRANSACCIONES!C:C,"INGRESO",TRANSACCIONES!L:L,"COBRADO")</f>
        <v/>
      </c>
      <c r="C7" s="66">
        <f>SUMIFS(TRANSACCIONES!M:M,TRANSACCIONES!C:C,"INGRESO",TRANSACCIONES!L:L,"COBRADO")</f>
        <v/>
      </c>
      <c r="D7" s="64" t="inlineStr">
        <is>
          <t>A pagar a Hacienda</t>
        </is>
      </c>
    </row>
    <row r="8">
      <c r="A8" s="67" t="inlineStr">
        <is>
          <t>📈 BALANCE IVA (Débito - Crédito)</t>
        </is>
      </c>
      <c r="B8" s="68" t="inlineStr"/>
      <c r="C8" s="69">
        <f>C7-ABS(C6)</f>
        <v/>
      </c>
      <c r="D8" s="67">
        <f>IF(C8&gt;0,"A PAGAR",IF(C8&lt;0,"A FAVOR","EN CERO"))</f>
        <v/>
      </c>
    </row>
    <row r="10" ht="25" customHeight="1">
      <c r="A10" s="47" t="inlineStr">
        <is>
          <t>🏭 EMPRESAS ZONA FRANCA (EXENTAS DE IVA)</t>
        </is>
      </c>
    </row>
    <row r="11">
      <c r="A11" s="48" t="inlineStr">
        <is>
          <t>Empresa</t>
        </is>
      </c>
      <c r="B11" s="48" t="inlineStr">
        <is>
          <t>Total Compras</t>
        </is>
      </c>
      <c r="C11" s="48" t="inlineStr">
        <is>
          <t>IVA (₡0)</t>
        </is>
      </c>
      <c r="D11" s="48" t="inlineStr">
        <is>
          <t>Estado</t>
        </is>
      </c>
    </row>
    <row r="12">
      <c r="A12" s="70" t="inlineStr">
        <is>
          <t>VWR Internacional Ltda</t>
        </is>
      </c>
      <c r="B12" s="71">
        <f>SUMIFS(TRANSACCIONES!I:I,TRANSACCIONES!F:F,"VWR*",TRANSACCIONES!C:C,"EGRESO",TRANSACCIONES!L:L,"PAGADO")</f>
        <v/>
      </c>
      <c r="C12" s="72" t="n">
        <v>0</v>
      </c>
      <c r="D12" s="73" t="inlineStr">
        <is>
          <t>EXENTO - Zona Franca</t>
        </is>
      </c>
    </row>
    <row r="13">
      <c r="A13" s="70" t="inlineStr">
        <is>
          <t>RS Hughes Co.</t>
        </is>
      </c>
      <c r="B13" s="71">
        <f>SUMIFS(TRANSACCIONES!I:I,TRANSACCIONES!F:F,"RS Hughes*",TRANSACCIONES!C:C,"EGRESO",TRANSACCIONES!L:L,"PAGADO")</f>
        <v/>
      </c>
      <c r="C13" s="72" t="n">
        <v>0</v>
      </c>
      <c r="D13" s="73" t="inlineStr">
        <is>
          <t>EXENTO - Zona Franca</t>
        </is>
      </c>
    </row>
    <row r="15" ht="25" customHeight="1">
      <c r="A15" s="47" t="inlineStr">
        <is>
          <t>📋 INSTRUCCIONES PARA DECLARACIÓN</t>
        </is>
      </c>
    </row>
    <row r="16">
      <c r="A16" s="59" t="inlineStr">
        <is>
          <t>✅ Revise el BALANCE IVA antes de hacer la declaración mensual</t>
        </is>
      </c>
    </row>
    <row r="17">
      <c r="A17" s="59" t="inlineStr">
        <is>
          <t>💡 Si el balance es positivo, debe PAGAR a Hacienda</t>
        </is>
      </c>
    </row>
    <row r="18">
      <c r="A18" s="59" t="inlineStr">
        <is>
          <t>💡 Si el balance es negativo, tiene CRÉDITO FISCAL para el siguiente mes</t>
        </is>
      </c>
    </row>
    <row r="19">
      <c r="A19" s="59" t="inlineStr">
        <is>
          <t>🏭 VWR y RS Hughes NO generan IVA (zona franca)</t>
        </is>
      </c>
    </row>
    <row r="20">
      <c r="A20" s="59" t="inlineStr">
        <is>
          <t>⚠️ Asegúrese de que todas las facturas en TRANSACCIONES tengan el IVA correctamente registrado en columna M</t>
        </is>
      </c>
    </row>
    <row r="21">
      <c r="A21" s="59" t="inlineStr">
        <is>
          <t>📅 La declaración de IVA se hace mensualmente (15 del mes siguiente)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11">
    <mergeCell ref="A21:E21"/>
    <mergeCell ref="A4:E4"/>
    <mergeCell ref="A20:E20"/>
    <mergeCell ref="A2:E2"/>
    <mergeCell ref="A16:E16"/>
    <mergeCell ref="A15:E15"/>
    <mergeCell ref="A10:E10"/>
    <mergeCell ref="A19:E19"/>
    <mergeCell ref="A1:E1"/>
    <mergeCell ref="A17:E17"/>
    <mergeCell ref="A18:E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5" customWidth="1" min="6" max="6"/>
  </cols>
  <sheetData>
    <row r="1" ht="30" customHeight="1">
      <c r="A1" s="46" t="inlineStr">
        <is>
          <t>CONTROL PRESUPUESTARIO - PRESUPUESTO VS REAL</t>
        </is>
      </c>
    </row>
    <row r="3" ht="25" customHeight="1">
      <c r="A3" s="74" t="inlineStr">
        <is>
          <t>💰 PRESUPUESTO DE INGRESOS MENSUALES</t>
        </is>
      </c>
    </row>
    <row r="4">
      <c r="A4" s="75" t="inlineStr">
        <is>
          <t>Categoría</t>
        </is>
      </c>
      <c r="B4" s="75" t="inlineStr">
        <is>
          <t>Presupuestado</t>
        </is>
      </c>
      <c r="C4" s="75" t="inlineStr">
        <is>
          <t>Real</t>
        </is>
      </c>
      <c r="D4" s="75" t="inlineStr">
        <is>
          <t>Variación</t>
        </is>
      </c>
      <c r="E4" s="75" t="inlineStr">
        <is>
          <t>% Ejecución</t>
        </is>
      </c>
      <c r="F4" s="75" t="inlineStr">
        <is>
          <t>Estado</t>
        </is>
      </c>
    </row>
    <row r="5">
      <c r="A5" s="49" t="inlineStr">
        <is>
          <t>Ingresos</t>
        </is>
      </c>
      <c r="B5" s="76" t="n">
        <v>0</v>
      </c>
      <c r="C5" s="62">
        <f>SUMIFS(TRANSACCIONES!I:I,TRANSACCIONES!C:C,"INGRESO",TRANSACCIONES!L:L,"COBRADO",TRANSACCIONES!D:D,A5)</f>
        <v/>
      </c>
      <c r="D5" s="62">
        <f>C5-B5</f>
        <v/>
      </c>
      <c r="E5" s="77">
        <f>IF(B5=0,0,C5/B5)</f>
        <v/>
      </c>
      <c r="F5" s="78">
        <f>IF(B5=0,"Sin presupuesto",IF(E5&gt;=1,"✅ Cumplido",IF(E5&gt;=0.8,"⚠️ Por debajo","🔴 Crítico")))</f>
        <v/>
      </c>
    </row>
    <row r="6">
      <c r="A6" s="49" t="inlineStr">
        <is>
          <t>Ventas</t>
        </is>
      </c>
      <c r="B6" s="76" t="n">
        <v>0</v>
      </c>
      <c r="C6" s="62">
        <f>SUMIFS(TRANSACCIONES!I:I,TRANSACCIONES!C:C,"INGRESO",TRANSACCIONES!L:L,"COBRADO",TRANSACCIONES!D:D,A6)</f>
        <v/>
      </c>
      <c r="D6" s="62">
        <f>C6-B6</f>
        <v/>
      </c>
      <c r="E6" s="77">
        <f>IF(B6=0,0,C6/B6)</f>
        <v/>
      </c>
      <c r="F6" s="78">
        <f>IF(B6=0,"Sin presupuesto",IF(E6&gt;=1,"✅ Cumplido",IF(E6&gt;=0.8,"⚠️ Por debajo","🔴 Crítico")))</f>
        <v/>
      </c>
    </row>
    <row r="7">
      <c r="A7" s="49" t="inlineStr">
        <is>
          <t>Proyectos</t>
        </is>
      </c>
      <c r="B7" s="76" t="n">
        <v>0</v>
      </c>
      <c r="C7" s="62">
        <f>SUMIFS(TRANSACCIONES!I:I,TRANSACCIONES!C:C,"INGRESO",TRANSACCIONES!L:L,"COBRADO",TRANSACCIONES!D:D,A7)</f>
        <v/>
      </c>
      <c r="D7" s="62">
        <f>C7-B7</f>
        <v/>
      </c>
      <c r="E7" s="77">
        <f>IF(B7=0,0,C7/B7)</f>
        <v/>
      </c>
      <c r="F7" s="78">
        <f>IF(B7=0,"Sin presupuesto",IF(E7&gt;=1,"✅ Cumplido",IF(E7&gt;=0.8,"⚠️ Por debajo","🔴 Crítico")))</f>
        <v/>
      </c>
    </row>
    <row r="8">
      <c r="A8" s="49" t="inlineStr">
        <is>
          <t>Otros</t>
        </is>
      </c>
      <c r="B8" s="76" t="n">
        <v>0</v>
      </c>
      <c r="C8" s="62">
        <f>SUMIFS(TRANSACCIONES!I:I,TRANSACCIONES!C:C,"INGRESO",TRANSACCIONES!L:L,"COBRADO",TRANSACCIONES!D:D,A8)</f>
        <v/>
      </c>
      <c r="D8" s="62">
        <f>C8-B8</f>
        <v/>
      </c>
      <c r="E8" s="77">
        <f>IF(B8=0,0,C8/B8)</f>
        <v/>
      </c>
      <c r="F8" s="78">
        <f>IF(B8=0,"Sin presupuesto",IF(E8&gt;=1,"✅ Cumplido",IF(E8&gt;=0.8,"⚠️ Por debajo","🔴 Crítico")))</f>
        <v/>
      </c>
    </row>
    <row r="9">
      <c r="A9" s="67" t="inlineStr">
        <is>
          <t>TOTAL INGRESOS</t>
        </is>
      </c>
      <c r="B9" s="69">
        <f>SUM(B5:B8)</f>
        <v/>
      </c>
      <c r="C9" s="69">
        <f>SUM(C5:C8)</f>
        <v/>
      </c>
      <c r="D9" s="69">
        <f>C9-B9</f>
        <v/>
      </c>
      <c r="E9" s="79">
        <f>IF(B9=0,0,C9/B9)</f>
        <v/>
      </c>
      <c r="F9" s="80" t="inlineStr"/>
    </row>
    <row r="11" ht="25" customHeight="1">
      <c r="A11" s="81" t="inlineStr">
        <is>
          <t>💸 PRESUPUESTO DE GASTOS MENSUALES</t>
        </is>
      </c>
    </row>
    <row r="12">
      <c r="A12" s="75" t="inlineStr">
        <is>
          <t>Categoría</t>
        </is>
      </c>
      <c r="B12" s="75" t="inlineStr">
        <is>
          <t>Presupuestado</t>
        </is>
      </c>
      <c r="C12" s="75" t="inlineStr">
        <is>
          <t>Real</t>
        </is>
      </c>
      <c r="D12" s="75" t="inlineStr">
        <is>
          <t>Variación</t>
        </is>
      </c>
      <c r="E12" s="75" t="inlineStr">
        <is>
          <t>% Ejecución</t>
        </is>
      </c>
      <c r="F12" s="75" t="inlineStr">
        <is>
          <t>Estado</t>
        </is>
      </c>
    </row>
    <row r="13">
      <c r="A13" s="49" t="inlineStr">
        <is>
          <t>Operaciones</t>
        </is>
      </c>
      <c r="B13" s="76" t="n">
        <v>0</v>
      </c>
      <c r="C13" s="62">
        <f>ABS(SUMIFS(TRANSACCIONES!I:I,TRANSACCIONES!C:C,"EGRESO",TRANSACCIONES!L:L,"PAGADO",TRANSACCIONES!D:D,A13))</f>
        <v/>
      </c>
      <c r="D13" s="62">
        <f>B13-C13</f>
        <v/>
      </c>
      <c r="E13" s="77">
        <f>IF(B13=0,0,C13/B13)</f>
        <v/>
      </c>
      <c r="F13" s="78">
        <f>IF(B13=0,"Sin presupuesto",IF(E13&lt;=1,"✅ Dentro",IF(E13&lt;=1.1,"⚠️ Excedido","🔴 Crítico")))</f>
        <v/>
      </c>
    </row>
    <row r="14">
      <c r="A14" s="49" t="inlineStr">
        <is>
          <t>Proyectos</t>
        </is>
      </c>
      <c r="B14" s="76" t="n">
        <v>0</v>
      </c>
      <c r="C14" s="62">
        <f>ABS(SUMIFS(TRANSACCIONES!I:I,TRANSACCIONES!C:C,"EGRESO",TRANSACCIONES!L:L,"PAGADO",TRANSACCIONES!D:D,A14))</f>
        <v/>
      </c>
      <c r="D14" s="62">
        <f>B14-C14</f>
        <v/>
      </c>
      <c r="E14" s="77">
        <f>IF(B14=0,0,C14/B14)</f>
        <v/>
      </c>
      <c r="F14" s="78">
        <f>IF(B14=0,"Sin presupuesto",IF(E14&lt;=1,"✅ Dentro",IF(E14&lt;=1.1,"⚠️ Excedido","🔴 Crítico")))</f>
        <v/>
      </c>
    </row>
    <row r="15">
      <c r="A15" s="49" t="inlineStr">
        <is>
          <t>Administrativo</t>
        </is>
      </c>
      <c r="B15" s="76" t="n">
        <v>0</v>
      </c>
      <c r="C15" s="62">
        <f>ABS(SUMIFS(TRANSACCIONES!I:I,TRANSACCIONES!C:C,"EGRESO",TRANSACCIONES!L:L,"PAGADO",TRANSACCIONES!D:D,A15))</f>
        <v/>
      </c>
      <c r="D15" s="62">
        <f>B15-C15</f>
        <v/>
      </c>
      <c r="E15" s="77">
        <f>IF(B15=0,0,C15/B15)</f>
        <v/>
      </c>
      <c r="F15" s="78">
        <f>IF(B15=0,"Sin presupuesto",IF(E15&lt;=1,"✅ Dentro",IF(E15&lt;=1.1,"⚠️ Excedido","🔴 Crítico")))</f>
        <v/>
      </c>
    </row>
    <row r="16">
      <c r="A16" s="49" t="inlineStr">
        <is>
          <t>Otros</t>
        </is>
      </c>
      <c r="B16" s="76" t="n">
        <v>0</v>
      </c>
      <c r="C16" s="62">
        <f>ABS(SUMIFS(TRANSACCIONES!I:I,TRANSACCIONES!C:C,"EGRESO",TRANSACCIONES!L:L,"PAGADO",TRANSACCIONES!D:D,A16))</f>
        <v/>
      </c>
      <c r="D16" s="62">
        <f>B16-C16</f>
        <v/>
      </c>
      <c r="E16" s="77">
        <f>IF(B16=0,0,C16/B16)</f>
        <v/>
      </c>
      <c r="F16" s="78">
        <f>IF(B16=0,"Sin presupuesto",IF(E16&lt;=1,"✅ Dentro",IF(E16&lt;=1.1,"⚠️ Excedido","🔴 Crítico")))</f>
        <v/>
      </c>
    </row>
    <row r="17">
      <c r="A17" s="67" t="inlineStr">
        <is>
          <t>TOTAL GASTOS</t>
        </is>
      </c>
      <c r="B17" s="69">
        <f>SUM(B13:B16)</f>
        <v/>
      </c>
      <c r="C17" s="69">
        <f>SUM(C13:C16)</f>
        <v/>
      </c>
      <c r="D17" s="69">
        <f>B17-C17</f>
        <v/>
      </c>
      <c r="E17" s="79">
        <f>IF(B17=0,0,C17/B17)</f>
        <v/>
      </c>
      <c r="F17" s="80" t="inlineStr"/>
    </row>
    <row r="19" ht="25" customHeight="1">
      <c r="A19" s="82" t="inlineStr">
        <is>
          <t>📊 RESUMEN GENERAL</t>
        </is>
      </c>
    </row>
    <row r="20">
      <c r="A20" s="48" t="inlineStr">
        <is>
          <t>Concepto</t>
        </is>
      </c>
      <c r="B20" s="48" t="inlineStr">
        <is>
          <t>Presupuestado</t>
        </is>
      </c>
      <c r="C20" s="48" t="inlineStr">
        <is>
          <t>Real</t>
        </is>
      </c>
      <c r="D20" s="48" t="inlineStr">
        <is>
          <t>Variación</t>
        </is>
      </c>
    </row>
    <row r="21">
      <c r="A21" s="67" t="inlineStr">
        <is>
          <t>UTILIDAD NETA</t>
        </is>
      </c>
      <c r="B21" s="69">
        <f>B9-B17</f>
        <v/>
      </c>
      <c r="C21" s="69">
        <f>C9-C17</f>
        <v/>
      </c>
      <c r="D21" s="69">
        <f>C21-B21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4">
    <mergeCell ref="A3:F3"/>
    <mergeCell ref="A11:F11"/>
    <mergeCell ref="A19:F19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5" customWidth="1" min="5" max="5"/>
  </cols>
  <sheetData>
    <row r="1" ht="30" customHeight="1">
      <c r="A1" s="46" t="inlineStr">
        <is>
          <t>🏢 ANÁLISIS: GASTOS PERSONALES VS NEGOCIO</t>
        </is>
      </c>
    </row>
    <row r="2">
      <c r="A2" s="60" t="inlineStr">
        <is>
          <t>Objetivo: Sanear finanzas separando claramente lo personal de lo del negocio</t>
        </is>
      </c>
    </row>
    <row r="4" ht="25" customHeight="1">
      <c r="A4" s="47" t="inlineStr">
        <is>
          <t>📊 RESUMEN COMPARATIVO</t>
        </is>
      </c>
    </row>
    <row r="5">
      <c r="A5" s="48" t="inlineStr">
        <is>
          <t>Tipo</t>
        </is>
      </c>
      <c r="B5" s="48" t="inlineStr">
        <is>
          <t>Total Ingresos</t>
        </is>
      </c>
      <c r="C5" s="48" t="inlineStr">
        <is>
          <t>Total Gastos</t>
        </is>
      </c>
      <c r="D5" s="48" t="inlineStr">
        <is>
          <t>Balance</t>
        </is>
      </c>
      <c r="E5" s="48" t="inlineStr">
        <is>
          <t>% del Total</t>
        </is>
      </c>
    </row>
    <row r="6">
      <c r="A6" s="83" t="inlineStr">
        <is>
          <t>🏢 NEGOCIO</t>
        </is>
      </c>
      <c r="B6" s="84">
        <f>SUMIFS(TRANSACCIONES!I:I,TRANSACCIONES!C:C,"INGRESO",TRANSACCIONES!P:P,"Negocio",TRANSACCIONES!L:L,"COBRADO")</f>
        <v/>
      </c>
      <c r="C6" s="84">
        <f>ABS(SUMIFS(TRANSACCIONES!I:I,TRANSACCIONES!C:C,"EGRESO",TRANSACCIONES!P:P,"Negocio",TRANSACCIONES!L:L,"PAGADO"))</f>
        <v/>
      </c>
      <c r="D6" s="85">
        <f>B6-C6</f>
        <v/>
      </c>
      <c r="E6" s="86">
        <f>C6/(C6+C7)</f>
        <v/>
      </c>
    </row>
    <row r="7">
      <c r="A7" s="87" t="inlineStr">
        <is>
          <t>👤 PERSONAL (Álvaro)</t>
        </is>
      </c>
      <c r="B7" s="88">
        <f>SUMIFS(TRANSACCIONES!I:I,TRANSACCIONES!C:C,"INGRESO",TRANSACCIONES!P:P,"Personal",TRANSACCIONES!L:L,"COBRADO")</f>
        <v/>
      </c>
      <c r="C7" s="88">
        <f>ABS(SUMIFS(TRANSACCIONES!I:I,TRANSACCIONES!C:C,"EGRESO",TRANSACCIONES!P:P,"Personal",TRANSACCIONES!L:L,"PAGADO"))</f>
        <v/>
      </c>
      <c r="D7" s="89">
        <f>B7-C7</f>
        <v/>
      </c>
      <c r="E7" s="90">
        <f>C7/(C6+C7)</f>
        <v/>
      </c>
    </row>
    <row r="8">
      <c r="A8" s="91" t="inlineStr">
        <is>
          <t>TOTAL</t>
        </is>
      </c>
      <c r="B8" s="92">
        <f>B6+B7</f>
        <v/>
      </c>
      <c r="C8" s="92">
        <f>C6+C7</f>
        <v/>
      </c>
      <c r="D8" s="92">
        <f>D6+D7</f>
        <v/>
      </c>
      <c r="E8" s="91" t="inlineStr">
        <is>
          <t>100%</t>
        </is>
      </c>
    </row>
    <row r="10" ht="25" customHeight="1">
      <c r="A10" s="47" t="inlineStr">
        <is>
          <t>📋 DESGLOSE DE GASTOS POR CATEGORÍA</t>
        </is>
      </c>
    </row>
    <row r="11">
      <c r="A11" s="48" t="inlineStr">
        <is>
          <t>Categoría</t>
        </is>
      </c>
      <c r="B11" s="48" t="inlineStr">
        <is>
          <t>Negocio</t>
        </is>
      </c>
      <c r="C11" s="48" t="inlineStr">
        <is>
          <t>Personal</t>
        </is>
      </c>
      <c r="D11" s="48" t="inlineStr">
        <is>
          <t>Total</t>
        </is>
      </c>
      <c r="E11" s="48" t="inlineStr">
        <is>
          <t>% Personal</t>
        </is>
      </c>
    </row>
    <row r="12">
      <c r="A12" s="49" t="inlineStr">
        <is>
          <t>Operaciones</t>
        </is>
      </c>
      <c r="B12" s="84">
        <f>ABS(SUMIFS(TRANSACCIONES!I:I,TRANSACCIONES!C:C,"EGRESO",TRANSACCIONES!D:D,A12,TRANSACCIONES!P:P,"Negocio",TRANSACCIONES!L:L,"PAGADO"))</f>
        <v/>
      </c>
      <c r="C12" s="88">
        <f>ABS(SUMIFS(TRANSACCIONES!I:I,TRANSACCIONES!C:C,"EGRESO",TRANSACCIONES!D:D,A12,TRANSACCIONES!P:P,"Personal",TRANSACCIONES!L:L,"PAGADO"))</f>
        <v/>
      </c>
      <c r="D12" s="62">
        <f>B12+C12</f>
        <v/>
      </c>
      <c r="E12" s="77">
        <f>IF(D12=0,0,C12/D12)</f>
        <v/>
      </c>
    </row>
    <row r="13">
      <c r="A13" s="49" t="inlineStr">
        <is>
          <t>Proyectos</t>
        </is>
      </c>
      <c r="B13" s="84">
        <f>ABS(SUMIFS(TRANSACCIONES!I:I,TRANSACCIONES!C:C,"EGRESO",TRANSACCIONES!D:D,A13,TRANSACCIONES!P:P,"Negocio",TRANSACCIONES!L:L,"PAGADO"))</f>
        <v/>
      </c>
      <c r="C13" s="88">
        <f>ABS(SUMIFS(TRANSACCIONES!I:I,TRANSACCIONES!C:C,"EGRESO",TRANSACCIONES!D:D,A13,TRANSACCIONES!P:P,"Personal",TRANSACCIONES!L:L,"PAGADO"))</f>
        <v/>
      </c>
      <c r="D13" s="62">
        <f>B13+C13</f>
        <v/>
      </c>
      <c r="E13" s="77">
        <f>IF(D13=0,0,C13/D13)</f>
        <v/>
      </c>
    </row>
    <row r="14">
      <c r="A14" s="49" t="inlineStr">
        <is>
          <t>Administrativo</t>
        </is>
      </c>
      <c r="B14" s="84">
        <f>ABS(SUMIFS(TRANSACCIONES!I:I,TRANSACCIONES!C:C,"EGRESO",TRANSACCIONES!D:D,A14,TRANSACCIONES!P:P,"Negocio",TRANSACCIONES!L:L,"PAGADO"))</f>
        <v/>
      </c>
      <c r="C14" s="88">
        <f>ABS(SUMIFS(TRANSACCIONES!I:I,TRANSACCIONES!C:C,"EGRESO",TRANSACCIONES!D:D,A14,TRANSACCIONES!P:P,"Personal",TRANSACCIONES!L:L,"PAGADO"))</f>
        <v/>
      </c>
      <c r="D14" s="62">
        <f>B14+C14</f>
        <v/>
      </c>
      <c r="E14" s="77">
        <f>IF(D14=0,0,C14/D14)</f>
        <v/>
      </c>
    </row>
    <row r="15">
      <c r="A15" s="49" t="inlineStr">
        <is>
          <t>Ventas</t>
        </is>
      </c>
      <c r="B15" s="84">
        <f>ABS(SUMIFS(TRANSACCIONES!I:I,TRANSACCIONES!C:C,"EGRESO",TRANSACCIONES!D:D,A15,TRANSACCIONES!P:P,"Negocio",TRANSACCIONES!L:L,"PAGADO"))</f>
        <v/>
      </c>
      <c r="C15" s="88">
        <f>ABS(SUMIFS(TRANSACCIONES!I:I,TRANSACCIONES!C:C,"EGRESO",TRANSACCIONES!D:D,A15,TRANSACCIONES!P:P,"Personal",TRANSACCIONES!L:L,"PAGADO"))</f>
        <v/>
      </c>
      <c r="D15" s="62">
        <f>B15+C15</f>
        <v/>
      </c>
      <c r="E15" s="77">
        <f>IF(D15=0,0,C15/D15)</f>
        <v/>
      </c>
    </row>
    <row r="16">
      <c r="A16" s="49" t="inlineStr">
        <is>
          <t>Otros</t>
        </is>
      </c>
      <c r="B16" s="84">
        <f>ABS(SUMIFS(TRANSACCIONES!I:I,TRANSACCIONES!C:C,"EGRESO",TRANSACCIONES!D:D,A16,TRANSACCIONES!P:P,"Negocio",TRANSACCIONES!L:L,"PAGADO"))</f>
        <v/>
      </c>
      <c r="C16" s="88">
        <f>ABS(SUMIFS(TRANSACCIONES!I:I,TRANSACCIONES!C:C,"EGRESO",TRANSACCIONES!D:D,A16,TRANSACCIONES!P:P,"Personal",TRANSACCIONES!L:L,"PAGADO"))</f>
        <v/>
      </c>
      <c r="D16" s="62">
        <f>B16+C16</f>
        <v/>
      </c>
      <c r="E16" s="77">
        <f>IF(D16=0,0,C16/D16)</f>
        <v/>
      </c>
    </row>
    <row r="18" ht="25" customHeight="1">
      <c r="A18" s="47" t="inlineStr">
        <is>
          <t>⚠️ ALERTAS Y RECOMENDACIONES</t>
        </is>
      </c>
    </row>
    <row r="19">
      <c r="A19" s="48" t="inlineStr">
        <is>
          <t>Alerta</t>
        </is>
      </c>
      <c r="B19" s="55" t="n"/>
      <c r="C19" s="48" t="inlineStr">
        <is>
          <t>Valor</t>
        </is>
      </c>
      <c r="D19" s="48" t="inlineStr">
        <is>
          <t>Estado</t>
        </is>
      </c>
      <c r="E19" s="55" t="n"/>
    </row>
    <row r="20">
      <c r="A20" s="49" t="inlineStr">
        <is>
          <t>Porcentaje de gastos personales</t>
        </is>
      </c>
      <c r="B20" s="55" t="n"/>
      <c r="C20" s="77">
        <f>E7</f>
        <v/>
      </c>
      <c r="D20" s="49">
        <f>IF(C20&gt;0.5,"🔴 MUY ALTO - Reducir gastos personales",IF(C20&gt;0.3,"⚠️ MODERADO - Revisar clasificación","✅ OK - Bien separado"))</f>
        <v/>
      </c>
      <c r="E20" s="55" t="n"/>
    </row>
    <row r="21">
      <c r="A21" s="49" t="inlineStr">
        <is>
          <t>Balance personal (debe ser positivo)</t>
        </is>
      </c>
      <c r="B21" s="55" t="n"/>
      <c r="C21" s="62">
        <f>D7</f>
        <v/>
      </c>
      <c r="D21" s="49">
        <f>IF(C21&lt;0,"🔴 NEGATIVO - Gastos personales exceden ingresos","✅ OK - Balance positivo")</f>
        <v/>
      </c>
      <c r="E21" s="55" t="n"/>
    </row>
    <row r="23" ht="25" customHeight="1">
      <c r="A23" s="47" t="inlineStr">
        <is>
          <t>📋 INSTRUCCIONES PARA SANEAMIENTO</t>
        </is>
      </c>
    </row>
    <row r="24">
      <c r="A24" s="59" t="inlineStr">
        <is>
          <t>✅ Al ingresar transacciones en TRANSACCIONES, marca en columna P si es "Personal" o "Negocio"</t>
        </is>
      </c>
    </row>
    <row r="25">
      <c r="A25" s="59" t="inlineStr">
        <is>
          <t>💡 Gastos de Álvaro (comida, transporte personal, etc.) = Personal</t>
        </is>
      </c>
    </row>
    <row r="26">
      <c r="A26" s="59" t="inlineStr">
        <is>
          <t>💡 Gastos del negocio (nómina, proveedores, servicios) = Negocio</t>
        </is>
      </c>
    </row>
    <row r="27">
      <c r="A27" s="59" t="inlineStr">
        <is>
          <t>⚠️ NUNCA mezcles fondos - separa claramente las cuentas</t>
        </is>
      </c>
    </row>
    <row r="28">
      <c r="A28" s="59" t="inlineStr">
        <is>
          <t>📊 Revisa este reporte mensualmente para verificar que la separación sea correcta</t>
        </is>
      </c>
    </row>
    <row r="29">
      <c r="A29" s="59" t="inlineStr">
        <is>
          <t>🎯 META: Lograr que gastos personales sean &lt; 30% del total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18">
    <mergeCell ref="D20:E20"/>
    <mergeCell ref="A20:B20"/>
    <mergeCell ref="A21:B21"/>
    <mergeCell ref="A4:E4"/>
    <mergeCell ref="A29:E29"/>
    <mergeCell ref="A26:E26"/>
    <mergeCell ref="A24:E24"/>
    <mergeCell ref="A2:E2"/>
    <mergeCell ref="D19:E19"/>
    <mergeCell ref="A10:E10"/>
    <mergeCell ref="A19:B19"/>
    <mergeCell ref="A25:E25"/>
    <mergeCell ref="A28:E28"/>
    <mergeCell ref="A1:E1"/>
    <mergeCell ref="A23:E23"/>
    <mergeCell ref="A18:E18"/>
    <mergeCell ref="A27:E27"/>
    <mergeCell ref="D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2025-11-14T17:47:30Z</dcterms:created>
  <dcterms:modified xsi:type="dcterms:W3CDTF">2025-11-14T17:47:30Z</dcterms:modified>
</cp:coreProperties>
</file>